
<file path=[Content_Types].xml><?xml version="1.0" encoding="utf-8"?>
<Types xmlns="http://schemas.openxmlformats.org/package/2006/content-types">
  <Default Extension="bin" ContentType="application/vnd.openxmlformats-officedocument.spreadsheetml.printerSettings"/>
  <Default Extension="jpg" ContentType="image/jpeg"/>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D:\document\e-trees\Q-LEAP\e7awg_porting\e7awg_sw_simple_multi\manuals\zcu111\hw\figures\"/>
    </mc:Choice>
  </mc:AlternateContent>
  <xr:revisionPtr revIDLastSave="0" documentId="13_ncr:1_{348C8FC1-6A23-491A-9CC8-E076D60159C0}" xr6:coauthVersionLast="47" xr6:coauthVersionMax="47" xr10:uidLastSave="{00000000-0000-0000-0000-000000000000}"/>
  <bookViews>
    <workbookView xWindow="3945" yWindow="1785" windowWidth="20520" windowHeight="18795" tabRatio="798" activeTab="5" xr2:uid="{8801B8C6-3D98-4B0B-A0B5-1E828D53B5C6}"/>
  </bookViews>
  <sheets>
    <sheet name="概略図" sheetId="1" r:id="rId1"/>
    <sheet name="状態遷移図" sheetId="2" r:id="rId2"/>
    <sheet name="UDPパケット" sheetId="11" r:id="rId3"/>
    <sheet name="アドレッシング" sheetId="8" r:id="rId4"/>
    <sheet name="データレイアウト" sheetId="20" r:id="rId5"/>
    <sheet name="ユーザ定義波形" sheetId="13" r:id="rId6"/>
    <sheet name="キャプチャ区間" sheetId="18" r:id="rId7"/>
    <sheet name="AWG-Capture接続" sheetId="14" r:id="rId8"/>
    <sheet name="Dout レジスタ" sheetId="16" r:id="rId9"/>
    <sheet name="AWG レジスタ" sheetId="17" r:id="rId10"/>
    <sheet name="キャプチャレジスタ" sheetId="19" r:id="rId1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O22" i="20" l="1"/>
  <c r="I22" i="20"/>
  <c r="G123" i="19"/>
  <c r="G108" i="19"/>
  <c r="G99" i="19"/>
  <c r="G90" i="19"/>
  <c r="G67" i="19"/>
  <c r="G38" i="19"/>
  <c r="V85" i="11"/>
  <c r="R85" i="11"/>
  <c r="N85" i="11"/>
  <c r="J85" i="11"/>
  <c r="V71" i="11"/>
  <c r="R71" i="11"/>
  <c r="N71" i="11"/>
  <c r="J71" i="11"/>
  <c r="V56" i="11"/>
  <c r="R56" i="11"/>
  <c r="N56" i="11"/>
  <c r="J56" i="11"/>
  <c r="V48" i="11"/>
  <c r="R48" i="11"/>
  <c r="N48" i="11"/>
  <c r="J48" i="11"/>
  <c r="V40" i="11"/>
  <c r="R40" i="11"/>
  <c r="N40" i="11"/>
  <c r="J40" i="11"/>
  <c r="V26" i="11"/>
  <c r="R26" i="11"/>
  <c r="N26" i="11"/>
  <c r="J26" i="11"/>
  <c r="V11" i="11"/>
  <c r="R11" i="11"/>
  <c r="N11" i="11"/>
  <c r="J11" i="11"/>
  <c r="V3" i="11"/>
  <c r="R3" i="11"/>
  <c r="N3" i="11"/>
  <c r="J3" i="11"/>
  <c r="AL154" i="11" l="1"/>
  <c r="AH154" i="11"/>
  <c r="AD154" i="11"/>
  <c r="Z154" i="11"/>
  <c r="V154" i="11"/>
  <c r="R154" i="11"/>
  <c r="N154" i="11"/>
  <c r="J154" i="11"/>
  <c r="AL211" i="11" l="1"/>
  <c r="AH211" i="11"/>
  <c r="AD211" i="11"/>
  <c r="Z211" i="11"/>
  <c r="V211" i="11"/>
  <c r="R211" i="11"/>
  <c r="N211" i="11"/>
  <c r="J211" i="11"/>
  <c r="AL99" i="11"/>
  <c r="AH99" i="11"/>
  <c r="AD99" i="11"/>
  <c r="Z99" i="11"/>
  <c r="V99" i="11"/>
  <c r="R99" i="11"/>
  <c r="N99" i="11"/>
  <c r="J99" i="11"/>
  <c r="AL94" i="11"/>
  <c r="AH94" i="11"/>
  <c r="AD94" i="11"/>
  <c r="Z94" i="11"/>
  <c r="V94" i="11"/>
  <c r="R94" i="11"/>
  <c r="N94" i="11"/>
  <c r="J94" i="11"/>
</calcChain>
</file>

<file path=xl/sharedStrings.xml><?xml version="1.0" encoding="utf-8"?>
<sst xmlns="http://schemas.openxmlformats.org/spreadsheetml/2006/main" count="2816" uniqueCount="1180">
  <si>
    <t>・・・</t>
    <phoneticPr fontId="1"/>
  </si>
  <si>
    <t>アドレス</t>
    <phoneticPr fontId="1"/>
  </si>
  <si>
    <t>[7:0]</t>
    <phoneticPr fontId="1"/>
  </si>
  <si>
    <t>[39:32]</t>
    <phoneticPr fontId="1"/>
  </si>
  <si>
    <t>[31:24]</t>
    <phoneticPr fontId="1"/>
  </si>
  <si>
    <t>[23:16]</t>
    <phoneticPr fontId="1"/>
  </si>
  <si>
    <t>[15:8]</t>
    <phoneticPr fontId="1"/>
  </si>
  <si>
    <t>Byte 0</t>
  </si>
  <si>
    <t>Byte 4</t>
    <phoneticPr fontId="1"/>
  </si>
  <si>
    <t>Byte 8</t>
    <phoneticPr fontId="1"/>
  </si>
  <si>
    <t>Byte 12</t>
    <phoneticPr fontId="1"/>
  </si>
  <si>
    <t>Q データ 3</t>
    <phoneticPr fontId="1"/>
  </si>
  <si>
    <t>I データ 3</t>
    <phoneticPr fontId="1"/>
  </si>
  <si>
    <t>Q データ 2</t>
    <phoneticPr fontId="1"/>
  </si>
  <si>
    <t>I データ 2</t>
    <phoneticPr fontId="1"/>
  </si>
  <si>
    <t>Q データ 1</t>
    <phoneticPr fontId="1"/>
  </si>
  <si>
    <t>I データ 1</t>
    <phoneticPr fontId="1"/>
  </si>
  <si>
    <t>Q データ 0</t>
    <phoneticPr fontId="1"/>
  </si>
  <si>
    <t>I データ 0</t>
    <phoneticPr fontId="1"/>
  </si>
  <si>
    <t>メモリアドレス</t>
    <phoneticPr fontId="1"/>
  </si>
  <si>
    <t>I データ 4</t>
    <phoneticPr fontId="1"/>
  </si>
  <si>
    <t>Q データ 4</t>
    <phoneticPr fontId="1"/>
  </si>
  <si>
    <t>I データ 5</t>
    <phoneticPr fontId="1"/>
  </si>
  <si>
    <t>Q データ 5</t>
    <phoneticPr fontId="1"/>
  </si>
  <si>
    <t>I データ 6</t>
    <phoneticPr fontId="1"/>
  </si>
  <si>
    <t>Q データ 6</t>
    <phoneticPr fontId="1"/>
  </si>
  <si>
    <t>I データ 7</t>
    <phoneticPr fontId="1"/>
  </si>
  <si>
    <t>Q データ 7</t>
    <phoneticPr fontId="1"/>
  </si>
  <si>
    <t>I データ 4*m</t>
    <phoneticPr fontId="1"/>
  </si>
  <si>
    <t>Q データ 4*m</t>
    <phoneticPr fontId="1"/>
  </si>
  <si>
    <t>I データ 4*m+1</t>
    <phoneticPr fontId="1"/>
  </si>
  <si>
    <t>Q データ 4*m+1</t>
    <phoneticPr fontId="1"/>
  </si>
  <si>
    <t>Q データ 4*m+2</t>
    <phoneticPr fontId="1"/>
  </si>
  <si>
    <t>I データ 4*m+2</t>
    <phoneticPr fontId="1"/>
  </si>
  <si>
    <t>I データ 4*m+3</t>
    <phoneticPr fontId="1"/>
  </si>
  <si>
    <t>Q データ 4*m+3</t>
    <phoneticPr fontId="1"/>
  </si>
  <si>
    <t>仮数部</t>
    <rPh sb="0" eb="3">
      <t>カスウブ</t>
    </rPh>
    <phoneticPr fontId="1"/>
  </si>
  <si>
    <t>指数部</t>
    <rPh sb="0" eb="2">
      <t>シスウ</t>
    </rPh>
    <rPh sb="2" eb="3">
      <t>ブ</t>
    </rPh>
    <phoneticPr fontId="1"/>
  </si>
  <si>
    <t>符号</t>
    <rPh sb="0" eb="2">
      <t>フゴウ</t>
    </rPh>
    <phoneticPr fontId="1"/>
  </si>
  <si>
    <t>単精度浮動小数点数</t>
    <rPh sb="0" eb="3">
      <t>タンセイド</t>
    </rPh>
    <rPh sb="3" eb="8">
      <t>フドウショウスウテン</t>
    </rPh>
    <rPh sb="8" eb="9">
      <t>スウ</t>
    </rPh>
    <phoneticPr fontId="1"/>
  </si>
  <si>
    <t>m</t>
    <phoneticPr fontId="1"/>
  </si>
  <si>
    <t>(Byte)</t>
    <phoneticPr fontId="1"/>
  </si>
  <si>
    <t>A</t>
    <phoneticPr fontId="1"/>
  </si>
  <si>
    <t>A+32</t>
    <phoneticPr fontId="1"/>
  </si>
  <si>
    <t>A+32*m</t>
    <phoneticPr fontId="1"/>
  </si>
  <si>
    <t>wait word</t>
    <phoneticPr fontId="1"/>
  </si>
  <si>
    <t>波形パート</t>
    <rPh sb="0" eb="2">
      <t>ハケイ</t>
    </rPh>
    <phoneticPr fontId="1"/>
  </si>
  <si>
    <t>ポストブランク</t>
    <phoneticPr fontId="1"/>
  </si>
  <si>
    <t>I データ 15</t>
    <phoneticPr fontId="1"/>
  </si>
  <si>
    <t>Q データ 15</t>
    <phoneticPr fontId="1"/>
  </si>
  <si>
    <t>符号付整数</t>
    <rPh sb="0" eb="3">
      <t>フゴウツキ</t>
    </rPh>
    <rPh sb="3" eb="5">
      <t>セイスウ</t>
    </rPh>
    <phoneticPr fontId="1"/>
  </si>
  <si>
    <t>LSB</t>
    <phoneticPr fontId="1"/>
  </si>
  <si>
    <t>MSB</t>
    <phoneticPr fontId="1"/>
  </si>
  <si>
    <t>[47:40]</t>
    <phoneticPr fontId="1"/>
  </si>
  <si>
    <t>[55:48]</t>
    <phoneticPr fontId="1"/>
  </si>
  <si>
    <t>[63:56]</t>
    <phoneticPr fontId="1"/>
  </si>
  <si>
    <t>[71:64]</t>
    <phoneticPr fontId="1"/>
  </si>
  <si>
    <t>[79:72]</t>
    <phoneticPr fontId="1"/>
  </si>
  <si>
    <t>[87:80]</t>
    <phoneticPr fontId="1"/>
  </si>
  <si>
    <t>[95:88]</t>
    <phoneticPr fontId="1"/>
  </si>
  <si>
    <t>[103:96]</t>
    <phoneticPr fontId="1"/>
  </si>
  <si>
    <t>[111:104]</t>
    <phoneticPr fontId="1"/>
  </si>
  <si>
    <t>[119:112]</t>
    <phoneticPr fontId="1"/>
  </si>
  <si>
    <t>[127:120]</t>
    <phoneticPr fontId="1"/>
  </si>
  <si>
    <t>[135:128]</t>
    <phoneticPr fontId="1"/>
  </si>
  <si>
    <t>[143:136]</t>
    <phoneticPr fontId="1"/>
  </si>
  <si>
    <t>[151:144]</t>
    <phoneticPr fontId="1"/>
  </si>
  <si>
    <t>[159:152]</t>
    <phoneticPr fontId="1"/>
  </si>
  <si>
    <t>[167:160]</t>
    <phoneticPr fontId="1"/>
  </si>
  <si>
    <t>[175:168]</t>
    <phoneticPr fontId="1"/>
  </si>
  <si>
    <t>[183:176]</t>
    <phoneticPr fontId="1"/>
  </si>
  <si>
    <t>[191:184]</t>
    <phoneticPr fontId="1"/>
  </si>
  <si>
    <t>[199:192]</t>
    <phoneticPr fontId="1"/>
  </si>
  <si>
    <t>[207:200]</t>
    <phoneticPr fontId="1"/>
  </si>
  <si>
    <t>[215:208]</t>
    <phoneticPr fontId="1"/>
  </si>
  <si>
    <t>[223:216]</t>
    <phoneticPr fontId="1"/>
  </si>
  <si>
    <t>[231:224]</t>
    <phoneticPr fontId="1"/>
  </si>
  <si>
    <t>[239:232]</t>
    <phoneticPr fontId="1"/>
  </si>
  <si>
    <t>[247:240]</t>
    <phoneticPr fontId="1"/>
  </si>
  <si>
    <t>[255:248]</t>
    <phoneticPr fontId="1"/>
  </si>
  <si>
    <t>Byte 16</t>
    <phoneticPr fontId="1"/>
  </si>
  <si>
    <t>Byte 24</t>
    <phoneticPr fontId="1"/>
  </si>
  <si>
    <t>Byte 32</t>
    <phoneticPr fontId="1"/>
  </si>
  <si>
    <t>Byte 40</t>
    <phoneticPr fontId="1"/>
  </si>
  <si>
    <t>Byte 48</t>
    <phoneticPr fontId="1"/>
  </si>
  <si>
    <t>Byte 56</t>
    <phoneticPr fontId="1"/>
  </si>
  <si>
    <t>Byte 64</t>
    <phoneticPr fontId="1"/>
  </si>
  <si>
    <t>ワード 0</t>
    <phoneticPr fontId="1"/>
  </si>
  <si>
    <t>ワード 1</t>
    <phoneticPr fontId="1"/>
  </si>
  <si>
    <t>ワード 2</t>
    <phoneticPr fontId="1"/>
  </si>
  <si>
    <t>レジスタ値 1</t>
    <phoneticPr fontId="1"/>
  </si>
  <si>
    <t>レジスタ値 2</t>
    <phoneticPr fontId="1"/>
  </si>
  <si>
    <t>ワードデータ 1</t>
    <phoneticPr fontId="1"/>
  </si>
  <si>
    <t>ワードデータ 2</t>
    <phoneticPr fontId="1"/>
  </si>
  <si>
    <t>AWG 0 波形データ</t>
    <rPh sb="6" eb="8">
      <t>ハケイ</t>
    </rPh>
    <phoneticPr fontId="1"/>
  </si>
  <si>
    <t>AWG 1 波形データ</t>
    <rPh sb="6" eb="8">
      <t>ハケイ</t>
    </rPh>
    <phoneticPr fontId="1"/>
  </si>
  <si>
    <t>AWG 2 波形データ</t>
    <rPh sb="6" eb="8">
      <t>ハケイ</t>
    </rPh>
    <phoneticPr fontId="1"/>
  </si>
  <si>
    <t>AWG 3 波形データ</t>
    <rPh sb="6" eb="8">
      <t>ハケイ</t>
    </rPh>
    <phoneticPr fontId="1"/>
  </si>
  <si>
    <t>AWG 4 波形データ</t>
    <rPh sb="6" eb="8">
      <t>ハケイ</t>
    </rPh>
    <phoneticPr fontId="1"/>
  </si>
  <si>
    <t>AWG 5 波形データ</t>
    <rPh sb="6" eb="8">
      <t>ハケイ</t>
    </rPh>
    <phoneticPr fontId="1"/>
  </si>
  <si>
    <t>AWG 6 波形データ</t>
    <rPh sb="6" eb="8">
      <t>ハケイ</t>
    </rPh>
    <phoneticPr fontId="1"/>
  </si>
  <si>
    <t>AWG 7 波形データ</t>
    <rPh sb="6" eb="8">
      <t>ハケイ</t>
    </rPh>
    <phoneticPr fontId="1"/>
  </si>
  <si>
    <t>～</t>
    <phoneticPr fontId="1"/>
  </si>
  <si>
    <t>領域</t>
    <rPh sb="0" eb="2">
      <t>リョウイキ</t>
    </rPh>
    <phoneticPr fontId="1"/>
  </si>
  <si>
    <t>四値化結果 0</t>
    <rPh sb="0" eb="3">
      <t>ヨンチカ</t>
    </rPh>
    <rPh sb="3" eb="5">
      <t>ケッカ</t>
    </rPh>
    <phoneticPr fontId="1"/>
  </si>
  <si>
    <t>四値化結果 1</t>
    <phoneticPr fontId="1"/>
  </si>
  <si>
    <t>四値化結果 127</t>
    <phoneticPr fontId="1"/>
  </si>
  <si>
    <t>四値化結果 128</t>
    <rPh sb="0" eb="3">
      <t>ヨンチカ</t>
    </rPh>
    <rPh sb="3" eb="5">
      <t>ケッカ</t>
    </rPh>
    <phoneticPr fontId="1"/>
  </si>
  <si>
    <t>四値化結果 129</t>
    <phoneticPr fontId="1"/>
  </si>
  <si>
    <t>四値化結果 255</t>
    <phoneticPr fontId="1"/>
  </si>
  <si>
    <t>四値化結果 128*m</t>
    <rPh sb="0" eb="3">
      <t>ヨンチカ</t>
    </rPh>
    <rPh sb="3" eb="5">
      <t>ケッカ</t>
    </rPh>
    <phoneticPr fontId="1"/>
  </si>
  <si>
    <t>四値化結果 128*m + 1</t>
    <rPh sb="0" eb="3">
      <t>ヨンチカ</t>
    </rPh>
    <rPh sb="3" eb="5">
      <t>ケッカ</t>
    </rPh>
    <phoneticPr fontId="1"/>
  </si>
  <si>
    <t>四値化結果 128*m + 127</t>
    <rPh sb="0" eb="3">
      <t>ヨンチカ</t>
    </rPh>
    <rPh sb="3" eb="5">
      <t>ケッカ</t>
    </rPh>
    <phoneticPr fontId="1"/>
  </si>
  <si>
    <t>符号無し整数</t>
    <rPh sb="0" eb="1">
      <t>フ</t>
    </rPh>
    <rPh sb="2" eb="3">
      <t>ナ</t>
    </rPh>
    <rPh sb="4" eb="6">
      <t>セイスウ</t>
    </rPh>
    <phoneticPr fontId="1"/>
  </si>
  <si>
    <t>アドレス [= A]</t>
    <phoneticPr fontId="1"/>
  </si>
  <si>
    <t>バイト数 [= B]</t>
    <rPh sb="3" eb="4">
      <t>スウ</t>
    </rPh>
    <phoneticPr fontId="1"/>
  </si>
  <si>
    <t>タイプ [= 10h]</t>
    <phoneticPr fontId="1"/>
  </si>
  <si>
    <t>タイプ [= 11h]</t>
    <phoneticPr fontId="1"/>
  </si>
  <si>
    <t>タイプ [= 12h]</t>
    <phoneticPr fontId="1"/>
  </si>
  <si>
    <t>タイプ [= 13h]</t>
    <phoneticPr fontId="1"/>
  </si>
  <si>
    <t>タイプ [= 00h]</t>
    <phoneticPr fontId="1"/>
  </si>
  <si>
    <t>タイプ [= 01h]</t>
    <phoneticPr fontId="1"/>
  </si>
  <si>
    <t>タイプ [= 02h]</t>
    <phoneticPr fontId="1"/>
  </si>
  <si>
    <t>タイプ [= 03h]</t>
    <phoneticPr fontId="1"/>
  </si>
  <si>
    <t>バイト数 [= 4N]</t>
    <rPh sb="3" eb="4">
      <t>スウ</t>
    </rPh>
    <phoneticPr fontId="1"/>
  </si>
  <si>
    <t>レジスタ値 N</t>
    <phoneticPr fontId="1"/>
  </si>
  <si>
    <t>ワードデータ N</t>
    <phoneticPr fontId="1"/>
  </si>
  <si>
    <t>バイト数</t>
    <rPh sb="3" eb="4">
      <t>スウ</t>
    </rPh>
    <phoneticPr fontId="1"/>
  </si>
  <si>
    <t>Byte (4N+4)</t>
    <phoneticPr fontId="1"/>
  </si>
  <si>
    <t>サイズ (MBytes)</t>
    <phoneticPr fontId="1"/>
  </si>
  <si>
    <t>0x1FFF_FFFF</t>
    <phoneticPr fontId="1"/>
  </si>
  <si>
    <t>0x0000_0000</t>
    <phoneticPr fontId="1"/>
  </si>
  <si>
    <t>0x2000_0000</t>
    <phoneticPr fontId="1"/>
  </si>
  <si>
    <t>0x3FFF_FFFF</t>
    <phoneticPr fontId="1"/>
  </si>
  <si>
    <t>0x4000_0000</t>
    <phoneticPr fontId="1"/>
  </si>
  <si>
    <t>0x5FFF_FFFF</t>
    <phoneticPr fontId="1"/>
  </si>
  <si>
    <t>0x6000_0000</t>
    <phoneticPr fontId="1"/>
  </si>
  <si>
    <t>0x7FFF_FFFF</t>
    <phoneticPr fontId="1"/>
  </si>
  <si>
    <t>0x8000_0000</t>
    <phoneticPr fontId="1"/>
  </si>
  <si>
    <t>0x9FEF_FFFF</t>
    <phoneticPr fontId="1"/>
  </si>
  <si>
    <t>0xA000_0000</t>
    <phoneticPr fontId="1"/>
  </si>
  <si>
    <t>0xBFFF_FFFF</t>
    <phoneticPr fontId="1"/>
  </si>
  <si>
    <t>0xC000_0000</t>
    <phoneticPr fontId="1"/>
  </si>
  <si>
    <t>0xDFFF_FFFF</t>
    <phoneticPr fontId="1"/>
  </si>
  <si>
    <t>0xE000_0000</t>
    <phoneticPr fontId="1"/>
  </si>
  <si>
    <t>0xFFFF_FFFF</t>
    <phoneticPr fontId="1"/>
  </si>
  <si>
    <t>バイト数 [= 64N]</t>
    <rPh sb="3" eb="4">
      <t>スウ</t>
    </rPh>
    <phoneticPr fontId="1"/>
  </si>
  <si>
    <t>[263:256]</t>
    <phoneticPr fontId="1"/>
  </si>
  <si>
    <t>[271:264]</t>
    <phoneticPr fontId="1"/>
  </si>
  <si>
    <t>[279:272]</t>
    <phoneticPr fontId="1"/>
  </si>
  <si>
    <t>[287:280]</t>
    <phoneticPr fontId="1"/>
  </si>
  <si>
    <t>[295:288]</t>
    <phoneticPr fontId="1"/>
  </si>
  <si>
    <t>[303:296]</t>
    <phoneticPr fontId="1"/>
  </si>
  <si>
    <t>[311:304]</t>
    <phoneticPr fontId="1"/>
  </si>
  <si>
    <t>[319:312]</t>
    <phoneticPr fontId="1"/>
  </si>
  <si>
    <t>[327:320]</t>
    <phoneticPr fontId="1"/>
  </si>
  <si>
    <t>[335:328]</t>
    <phoneticPr fontId="1"/>
  </si>
  <si>
    <t>[343:336]</t>
    <phoneticPr fontId="1"/>
  </si>
  <si>
    <t>[351:344]</t>
    <phoneticPr fontId="1"/>
  </si>
  <si>
    <t>[359:352]</t>
    <phoneticPr fontId="1"/>
  </si>
  <si>
    <t>[367:360]</t>
    <phoneticPr fontId="1"/>
  </si>
  <si>
    <t>[375:368]</t>
    <phoneticPr fontId="1"/>
  </si>
  <si>
    <t>[383:376]</t>
    <phoneticPr fontId="1"/>
  </si>
  <si>
    <t>[391:384]</t>
    <phoneticPr fontId="1"/>
  </si>
  <si>
    <t>[399:392]</t>
    <phoneticPr fontId="1"/>
  </si>
  <si>
    <t>[407:400]</t>
    <phoneticPr fontId="1"/>
  </si>
  <si>
    <t>[415:408]</t>
    <phoneticPr fontId="1"/>
  </si>
  <si>
    <t>[423:416]</t>
    <phoneticPr fontId="1"/>
  </si>
  <si>
    <t>[431:424]</t>
    <phoneticPr fontId="1"/>
  </si>
  <si>
    <t>[439:432]</t>
    <phoneticPr fontId="1"/>
  </si>
  <si>
    <t>[447:440]</t>
    <phoneticPr fontId="1"/>
  </si>
  <si>
    <t>[455:448]</t>
    <phoneticPr fontId="1"/>
  </si>
  <si>
    <t>[463:456]</t>
    <phoneticPr fontId="1"/>
  </si>
  <si>
    <t>[471:464]</t>
    <phoneticPr fontId="1"/>
  </si>
  <si>
    <t>[479:472]</t>
    <phoneticPr fontId="1"/>
  </si>
  <si>
    <t>[487:480]</t>
    <phoneticPr fontId="1"/>
  </si>
  <si>
    <t>[495:488]</t>
    <phoneticPr fontId="1"/>
  </si>
  <si>
    <t>[503:496]</t>
    <phoneticPr fontId="1"/>
  </si>
  <si>
    <t>[511:504]</t>
    <phoneticPr fontId="1"/>
  </si>
  <si>
    <t>Byte 72</t>
    <phoneticPr fontId="1"/>
  </si>
  <si>
    <t>Byte 80</t>
    <phoneticPr fontId="1"/>
  </si>
  <si>
    <t>Byte 88</t>
    <phoneticPr fontId="1"/>
  </si>
  <si>
    <t>Byte 96</t>
    <phoneticPr fontId="1"/>
  </si>
  <si>
    <t>Byte 128</t>
    <phoneticPr fontId="1"/>
  </si>
  <si>
    <t>Byte 104</t>
    <phoneticPr fontId="1"/>
  </si>
  <si>
    <t>Byte 112</t>
    <phoneticPr fontId="1"/>
  </si>
  <si>
    <t>Byte 120</t>
    <phoneticPr fontId="1"/>
  </si>
  <si>
    <t>Byte (64N-24)</t>
    <phoneticPr fontId="1"/>
  </si>
  <si>
    <t>Byte 64N</t>
    <phoneticPr fontId="1"/>
  </si>
  <si>
    <t>Byte (64N-8)</t>
    <phoneticPr fontId="1"/>
  </si>
  <si>
    <t>Byte (64N-16)</t>
    <phoneticPr fontId="1"/>
  </si>
  <si>
    <t>Byte (64N-32)</t>
    <phoneticPr fontId="1"/>
  </si>
  <si>
    <t>Byte (64N-40)</t>
    <phoneticPr fontId="1"/>
  </si>
  <si>
    <t>Byte (64N-48)</t>
    <phoneticPr fontId="1"/>
  </si>
  <si>
    <t>Byte (64N-56)</t>
    <phoneticPr fontId="1"/>
  </si>
  <si>
    <t>0xFFFF_FFC0</t>
    <phoneticPr fontId="1"/>
  </si>
  <si>
    <t>ワード 67108863</t>
    <phoneticPr fontId="1"/>
  </si>
  <si>
    <t>I データ 16</t>
    <phoneticPr fontId="1"/>
  </si>
  <si>
    <t>Q データ 16</t>
    <phoneticPr fontId="1"/>
  </si>
  <si>
    <t>I データ 17</t>
    <phoneticPr fontId="1"/>
  </si>
  <si>
    <t>Q データ 17</t>
    <phoneticPr fontId="1"/>
  </si>
  <si>
    <t>I データ 16*m</t>
    <phoneticPr fontId="1"/>
  </si>
  <si>
    <t>Q データ 16*m</t>
    <phoneticPr fontId="1"/>
  </si>
  <si>
    <t>I データ 16*m+1</t>
    <phoneticPr fontId="1"/>
  </si>
  <si>
    <t>Q データ 16*m+1</t>
    <phoneticPr fontId="1"/>
  </si>
  <si>
    <t>I データ 16*m+15</t>
    <phoneticPr fontId="1"/>
  </si>
  <si>
    <t>Q データ 16*m+15</t>
    <phoneticPr fontId="1"/>
  </si>
  <si>
    <t>A+64</t>
    <phoneticPr fontId="1"/>
  </si>
  <si>
    <t>A+64*m</t>
    <phoneticPr fontId="1"/>
  </si>
  <si>
    <t>I データ 31</t>
    <phoneticPr fontId="1"/>
  </si>
  <si>
    <t>Q データ 31</t>
    <phoneticPr fontId="1"/>
  </si>
  <si>
    <t>波形サイクル</t>
    <rPh sb="0" eb="2">
      <t>ハケイ</t>
    </rPh>
    <phoneticPr fontId="1"/>
  </si>
  <si>
    <r>
      <t>S</t>
    </r>
    <r>
      <rPr>
        <vertAlign val="subscript"/>
        <sz val="11"/>
        <color theme="1"/>
        <rFont val="游ゴシック"/>
        <family val="3"/>
        <charset val="128"/>
        <scheme val="minor"/>
      </rPr>
      <t>0</t>
    </r>
    <phoneticPr fontId="1"/>
  </si>
  <si>
    <r>
      <t>S</t>
    </r>
    <r>
      <rPr>
        <vertAlign val="subscript"/>
        <sz val="11"/>
        <color theme="1"/>
        <rFont val="游ゴシック"/>
        <family val="3"/>
        <charset val="128"/>
        <scheme val="minor"/>
      </rPr>
      <t>1</t>
    </r>
    <phoneticPr fontId="1"/>
  </si>
  <si>
    <r>
      <t>S</t>
    </r>
    <r>
      <rPr>
        <vertAlign val="subscript"/>
        <sz val="11"/>
        <color theme="1"/>
        <rFont val="游ゴシック"/>
        <family val="3"/>
        <charset val="128"/>
        <scheme val="minor"/>
      </rPr>
      <t>7</t>
    </r>
    <phoneticPr fontId="1"/>
  </si>
  <si>
    <r>
      <t>S</t>
    </r>
    <r>
      <rPr>
        <vertAlign val="subscript"/>
        <sz val="11"/>
        <color theme="1"/>
        <rFont val="游ゴシック"/>
        <family val="3"/>
        <charset val="128"/>
        <scheme val="minor"/>
      </rPr>
      <t>8n+0</t>
    </r>
    <phoneticPr fontId="1"/>
  </si>
  <si>
    <r>
      <t>S</t>
    </r>
    <r>
      <rPr>
        <vertAlign val="subscript"/>
        <sz val="11"/>
        <color theme="1"/>
        <rFont val="游ゴシック"/>
        <family val="3"/>
        <charset val="128"/>
        <scheme val="minor"/>
      </rPr>
      <t>8n+1</t>
    </r>
    <phoneticPr fontId="1"/>
  </si>
  <si>
    <r>
      <t>S</t>
    </r>
    <r>
      <rPr>
        <vertAlign val="subscript"/>
        <sz val="11"/>
        <color theme="1"/>
        <rFont val="游ゴシック"/>
        <family val="3"/>
        <charset val="128"/>
        <scheme val="minor"/>
      </rPr>
      <t>8n+7</t>
    </r>
    <phoneticPr fontId="1"/>
  </si>
  <si>
    <r>
      <t>S</t>
    </r>
    <r>
      <rPr>
        <vertAlign val="subscript"/>
        <sz val="11"/>
        <color theme="1"/>
        <rFont val="游ゴシック"/>
        <family val="3"/>
        <charset val="128"/>
        <scheme val="minor"/>
      </rPr>
      <t>511</t>
    </r>
    <phoneticPr fontId="1"/>
  </si>
  <si>
    <r>
      <t>S</t>
    </r>
    <r>
      <rPr>
        <vertAlign val="subscript"/>
        <sz val="11"/>
        <color theme="1"/>
        <rFont val="游ゴシック"/>
        <family val="3"/>
        <charset val="128"/>
        <scheme val="minor"/>
      </rPr>
      <t>512n+0</t>
    </r>
    <phoneticPr fontId="1"/>
  </si>
  <si>
    <r>
      <t>S</t>
    </r>
    <r>
      <rPr>
        <vertAlign val="subscript"/>
        <sz val="11"/>
        <color theme="1"/>
        <rFont val="游ゴシック"/>
        <family val="3"/>
        <charset val="128"/>
        <scheme val="minor"/>
      </rPr>
      <t>512n+1</t>
    </r>
    <phoneticPr fontId="1"/>
  </si>
  <si>
    <r>
      <t>S</t>
    </r>
    <r>
      <rPr>
        <vertAlign val="subscript"/>
        <sz val="11"/>
        <color theme="1"/>
        <rFont val="游ゴシック"/>
        <family val="3"/>
        <charset val="128"/>
        <scheme val="minor"/>
      </rPr>
      <t>512n+511</t>
    </r>
    <phoneticPr fontId="1"/>
  </si>
  <si>
    <t>I データ</t>
    <phoneticPr fontId="1"/>
  </si>
  <si>
    <t>Q データ</t>
    <phoneticPr fontId="1"/>
  </si>
  <si>
    <t>出力値
(0x01)</t>
    <phoneticPr fontId="1"/>
  </si>
  <si>
    <t>出力値
(0x02)</t>
    <phoneticPr fontId="1"/>
  </si>
  <si>
    <t>出力値
(0x04)</t>
    <phoneticPr fontId="1"/>
  </si>
  <si>
    <t>パターン 1</t>
    <phoneticPr fontId="1"/>
  </si>
  <si>
    <t>出力値
(0x01)</t>
    <rPh sb="0" eb="3">
      <t>シュツリョクアタイ</t>
    </rPh>
    <phoneticPr fontId="1"/>
  </si>
  <si>
    <t>出力値
(0x02)</t>
    <rPh sb="0" eb="3">
      <t>シュツリョクアタイ</t>
    </rPh>
    <phoneticPr fontId="1"/>
  </si>
  <si>
    <t>パターン 2</t>
    <phoneticPr fontId="1"/>
  </si>
  <si>
    <t>出力値
(0x03)</t>
    <rPh sb="0" eb="3">
      <t>シュツリョクアタイ</t>
    </rPh>
    <phoneticPr fontId="1"/>
  </si>
  <si>
    <t>0 データ
(10 AWG ワード)</t>
    <phoneticPr fontId="1"/>
  </si>
  <si>
    <t>samples_0</t>
    <phoneticPr fontId="1"/>
  </si>
  <si>
    <t>samples_1</t>
    <phoneticPr fontId="1"/>
  </si>
  <si>
    <t>0 データ
(3 AWG ワード)</t>
    <phoneticPr fontId="1"/>
  </si>
  <si>
    <t>〇</t>
    <phoneticPr fontId="1"/>
  </si>
  <si>
    <t>●</t>
    <phoneticPr fontId="1"/>
  </si>
  <si>
    <t>基板</t>
    <rPh sb="0" eb="2">
      <t>キバン</t>
    </rPh>
    <phoneticPr fontId="1"/>
  </si>
  <si>
    <t>ディジタル値 0</t>
    <rPh sb="5" eb="6">
      <t>アタイ</t>
    </rPh>
    <phoneticPr fontId="1"/>
  </si>
  <si>
    <t>ディジタル値 2</t>
    <phoneticPr fontId="1"/>
  </si>
  <si>
    <t>ディジタル値 1</t>
    <rPh sb="5" eb="6">
      <t>アタイ</t>
    </rPh>
    <phoneticPr fontId="1"/>
  </si>
  <si>
    <t>ディジタル値 N</t>
    <rPh sb="5" eb="6">
      <t>アタイ</t>
    </rPh>
    <phoneticPr fontId="1"/>
  </si>
  <si>
    <t>タイプ [= 30h]</t>
    <phoneticPr fontId="1"/>
  </si>
  <si>
    <t>タイプ [= 31h]</t>
    <phoneticPr fontId="1"/>
  </si>
  <si>
    <t>タイプ [= 32h]</t>
    <phoneticPr fontId="1"/>
  </si>
  <si>
    <t>タイプ [= 33h]</t>
    <phoneticPr fontId="1"/>
  </si>
  <si>
    <t>DAC 6Gsps デザイン</t>
    <phoneticPr fontId="1"/>
  </si>
  <si>
    <t>DAC 1Gsps デザイン</t>
    <phoneticPr fontId="1"/>
  </si>
  <si>
    <t>0x0000</t>
    <phoneticPr fontId="1"/>
  </si>
  <si>
    <t>0x0080</t>
    <phoneticPr fontId="1"/>
  </si>
  <si>
    <t>0x0100</t>
    <phoneticPr fontId="1"/>
  </si>
  <si>
    <t>0x0180</t>
    <phoneticPr fontId="1"/>
  </si>
  <si>
    <t>0x0200</t>
    <phoneticPr fontId="1"/>
  </si>
  <si>
    <t>0x0280</t>
    <phoneticPr fontId="1"/>
  </si>
  <si>
    <t>0x0300</t>
    <phoneticPr fontId="1"/>
  </si>
  <si>
    <t>0x0380</t>
    <phoneticPr fontId="1"/>
  </si>
  <si>
    <t>0x0400</t>
    <phoneticPr fontId="1"/>
  </si>
  <si>
    <t>予約</t>
    <rPh sb="0" eb="2">
      <t>ヨヤク</t>
    </rPh>
    <phoneticPr fontId="1"/>
  </si>
  <si>
    <t>-</t>
    <phoneticPr fontId="1"/>
  </si>
  <si>
    <t>0x1000</t>
    <phoneticPr fontId="1"/>
  </si>
  <si>
    <t>デジタル出力 全体制御</t>
    <rPh sb="4" eb="6">
      <t>シュツリョク</t>
    </rPh>
    <rPh sb="7" eb="9">
      <t>ゼンタイ</t>
    </rPh>
    <rPh sb="9" eb="11">
      <t>セイギョ</t>
    </rPh>
    <phoneticPr fontId="1"/>
  </si>
  <si>
    <t>DIGITAL_OUT_REG_BASE</t>
    <phoneticPr fontId="1"/>
  </si>
  <si>
    <t>デジタル出力 0 制御</t>
    <rPh sb="4" eb="6">
      <t>シュツリョク</t>
    </rPh>
    <rPh sb="9" eb="11">
      <t>セイギョ</t>
    </rPh>
    <phoneticPr fontId="1"/>
  </si>
  <si>
    <t>DIGITAL_OUT_0_REG_BASE</t>
    <phoneticPr fontId="1"/>
  </si>
  <si>
    <t>デジタル出力 1 制御</t>
    <rPh sb="4" eb="6">
      <t>シュツリョク</t>
    </rPh>
    <rPh sb="9" eb="11">
      <t>セイギョ</t>
    </rPh>
    <phoneticPr fontId="1"/>
  </si>
  <si>
    <t>DIGITAL_OUT_1_REG_BASE</t>
    <phoneticPr fontId="1"/>
  </si>
  <si>
    <t>デジタル出力 2 制御</t>
    <rPh sb="4" eb="6">
      <t>シュツリョク</t>
    </rPh>
    <rPh sb="9" eb="11">
      <t>セイギョ</t>
    </rPh>
    <phoneticPr fontId="1"/>
  </si>
  <si>
    <t>DIGITAL_OUT_2_REG_BASE</t>
    <phoneticPr fontId="1"/>
  </si>
  <si>
    <t>デジタル出力 3 制御</t>
    <rPh sb="4" eb="6">
      <t>シュツリョク</t>
    </rPh>
    <rPh sb="9" eb="11">
      <t>セイギョ</t>
    </rPh>
    <phoneticPr fontId="1"/>
  </si>
  <si>
    <t>DIGITAL_OUT_3_REG_BASE</t>
    <phoneticPr fontId="1"/>
  </si>
  <si>
    <t>デジタル出力 4 制御</t>
    <rPh sb="4" eb="6">
      <t>シュツリョク</t>
    </rPh>
    <rPh sb="9" eb="11">
      <t>セイギョ</t>
    </rPh>
    <phoneticPr fontId="1"/>
  </si>
  <si>
    <t>DIGITAL_OUT_4_REG_BASE</t>
    <phoneticPr fontId="1"/>
  </si>
  <si>
    <t>デジタル出力 5 制御</t>
    <rPh sb="4" eb="6">
      <t>シュツリョク</t>
    </rPh>
    <rPh sb="9" eb="11">
      <t>セイギョ</t>
    </rPh>
    <phoneticPr fontId="1"/>
  </si>
  <si>
    <t>DIGITAL_OUT_5_REG_BASE</t>
    <phoneticPr fontId="1"/>
  </si>
  <si>
    <t>デジタル出力 6 制御</t>
    <rPh sb="4" eb="6">
      <t>シュツリョク</t>
    </rPh>
    <rPh sb="9" eb="11">
      <t>セイギョ</t>
    </rPh>
    <phoneticPr fontId="1"/>
  </si>
  <si>
    <t>DIGITAL_OUT_6_REG_BASE</t>
    <phoneticPr fontId="1"/>
  </si>
  <si>
    <t>デジタル出力 7 制御</t>
    <rPh sb="4" eb="6">
      <t>シュツリョク</t>
    </rPh>
    <rPh sb="9" eb="11">
      <t>セイギョ</t>
    </rPh>
    <phoneticPr fontId="1"/>
  </si>
  <si>
    <t>DIGITAL_OUT_7_REG_BASE</t>
    <phoneticPr fontId="1"/>
  </si>
  <si>
    <t>デジタル出力 8 制御</t>
    <rPh sb="4" eb="6">
      <t>シュツリョク</t>
    </rPh>
    <rPh sb="9" eb="11">
      <t>セイギョ</t>
    </rPh>
    <phoneticPr fontId="1"/>
  </si>
  <si>
    <t>DIGITAL_OUT_8_REG_BASE</t>
    <phoneticPr fontId="1"/>
  </si>
  <si>
    <t>デジタル出力 9 制御</t>
    <rPh sb="4" eb="6">
      <t>シュツリョク</t>
    </rPh>
    <rPh sb="9" eb="11">
      <t>セイギョ</t>
    </rPh>
    <phoneticPr fontId="1"/>
  </si>
  <si>
    <t>DIGITAL_OUT_9_REG_BASE</t>
    <phoneticPr fontId="1"/>
  </si>
  <si>
    <t>デジタル出力 10 制御</t>
    <rPh sb="4" eb="6">
      <t>シュツリョク</t>
    </rPh>
    <rPh sb="10" eb="12">
      <t>セイギョ</t>
    </rPh>
    <phoneticPr fontId="1"/>
  </si>
  <si>
    <t>DIGITAL_OUT_10_REG_BASE</t>
    <phoneticPr fontId="1"/>
  </si>
  <si>
    <t>デジタル出力 11 制御</t>
    <rPh sb="4" eb="6">
      <t>シュツリョク</t>
    </rPh>
    <rPh sb="10" eb="12">
      <t>セイギョ</t>
    </rPh>
    <phoneticPr fontId="1"/>
  </si>
  <si>
    <t>DIGITAL_OUT_11_REG_BASE</t>
    <phoneticPr fontId="1"/>
  </si>
  <si>
    <t>デジタル出力 12 制御</t>
    <rPh sb="4" eb="6">
      <t>シュツリョク</t>
    </rPh>
    <rPh sb="10" eb="12">
      <t>セイギョ</t>
    </rPh>
    <phoneticPr fontId="1"/>
  </si>
  <si>
    <t>DIGITAL_OUT_12_REG_BASE</t>
    <phoneticPr fontId="1"/>
  </si>
  <si>
    <t>デジタル出力 13 制御</t>
    <rPh sb="4" eb="6">
      <t>シュツリョク</t>
    </rPh>
    <rPh sb="10" eb="12">
      <t>セイギョ</t>
    </rPh>
    <phoneticPr fontId="1"/>
  </si>
  <si>
    <t>DIGITAL_OUT_13_REG_BASE</t>
    <phoneticPr fontId="1"/>
  </si>
  <si>
    <t>デジタル出力 14 制御</t>
    <rPh sb="4" eb="6">
      <t>シュツリョク</t>
    </rPh>
    <rPh sb="10" eb="12">
      <t>セイギョ</t>
    </rPh>
    <phoneticPr fontId="1"/>
  </si>
  <si>
    <t>DIGITAL_OUT_14_REG_BASE</t>
    <phoneticPr fontId="1"/>
  </si>
  <si>
    <t>デジタル出力 15 制御</t>
    <rPh sb="4" eb="6">
      <t>シュツリョク</t>
    </rPh>
    <rPh sb="10" eb="12">
      <t>セイギョ</t>
    </rPh>
    <phoneticPr fontId="1"/>
  </si>
  <si>
    <t>DIGITAL_OUT_15_REG_BASE</t>
    <phoneticPr fontId="1"/>
  </si>
  <si>
    <t>デジタル出力 16 制御</t>
    <rPh sb="4" eb="6">
      <t>シュツリョク</t>
    </rPh>
    <rPh sb="10" eb="12">
      <t>セイギョ</t>
    </rPh>
    <phoneticPr fontId="1"/>
  </si>
  <si>
    <t>DIGITAL_OUT_16_REG_BASE</t>
    <phoneticPr fontId="1"/>
  </si>
  <si>
    <t>デジタル出力 17 制御</t>
    <rPh sb="4" eb="6">
      <t>シュツリョク</t>
    </rPh>
    <rPh sb="10" eb="12">
      <t>セイギョ</t>
    </rPh>
    <phoneticPr fontId="1"/>
  </si>
  <si>
    <t>DIGITAL_OUT_17_REG_BASE</t>
    <phoneticPr fontId="1"/>
  </si>
  <si>
    <t>デジタル出力 18 制御</t>
    <rPh sb="4" eb="6">
      <t>シュツリョク</t>
    </rPh>
    <rPh sb="10" eb="12">
      <t>セイギョ</t>
    </rPh>
    <phoneticPr fontId="1"/>
  </si>
  <si>
    <t>DIGITAL_OUT_18_REG_BASE</t>
    <phoneticPr fontId="1"/>
  </si>
  <si>
    <t>デジタル出力 19 制御</t>
    <rPh sb="4" eb="6">
      <t>シュツリョク</t>
    </rPh>
    <rPh sb="10" eb="12">
      <t>セイギョ</t>
    </rPh>
    <phoneticPr fontId="1"/>
  </si>
  <si>
    <t>DIGITAL_OUT_19_REG_BASE</t>
    <phoneticPr fontId="1"/>
  </si>
  <si>
    <t>デジタル出力 20 制御</t>
    <rPh sb="4" eb="6">
      <t>シュツリョク</t>
    </rPh>
    <rPh sb="10" eb="12">
      <t>セイギョ</t>
    </rPh>
    <phoneticPr fontId="1"/>
  </si>
  <si>
    <t>DIGITAL_OUT_20_REG_BASE</t>
    <phoneticPr fontId="1"/>
  </si>
  <si>
    <t>デジタル出力 21 制御</t>
    <rPh sb="4" eb="6">
      <t>シュツリョク</t>
    </rPh>
    <rPh sb="10" eb="12">
      <t>セイギョ</t>
    </rPh>
    <phoneticPr fontId="1"/>
  </si>
  <si>
    <t>DIGITAL_OUT_21_REG_BASE</t>
    <phoneticPr fontId="1"/>
  </si>
  <si>
    <t>デジタル出力 22 制御</t>
    <rPh sb="4" eb="6">
      <t>シュツリョク</t>
    </rPh>
    <rPh sb="10" eb="12">
      <t>セイギョ</t>
    </rPh>
    <phoneticPr fontId="1"/>
  </si>
  <si>
    <t>DIGITAL_OUT_22_REG_BASE</t>
    <phoneticPr fontId="1"/>
  </si>
  <si>
    <t>デジタル出力 23 制御</t>
    <rPh sb="4" eb="6">
      <t>シュツリョク</t>
    </rPh>
    <rPh sb="10" eb="12">
      <t>セイギョ</t>
    </rPh>
    <phoneticPr fontId="1"/>
  </si>
  <si>
    <t>DIGITAL_OUT_23_REG_BASE</t>
    <phoneticPr fontId="1"/>
  </si>
  <si>
    <t>デジタル出力 24 制御</t>
    <rPh sb="4" eb="6">
      <t>シュツリョク</t>
    </rPh>
    <rPh sb="10" eb="12">
      <t>セイギョ</t>
    </rPh>
    <phoneticPr fontId="1"/>
  </si>
  <si>
    <t>DIGITAL_OUT_24_REG_BASE</t>
    <phoneticPr fontId="1"/>
  </si>
  <si>
    <t>デジタル出力 25 制御</t>
    <rPh sb="4" eb="6">
      <t>シュツリョク</t>
    </rPh>
    <rPh sb="10" eb="12">
      <t>セイギョ</t>
    </rPh>
    <phoneticPr fontId="1"/>
  </si>
  <si>
    <t>DIGITAL_OUT_25_REG_BASE</t>
    <phoneticPr fontId="1"/>
  </si>
  <si>
    <t>デジタル出力 26 制御</t>
    <rPh sb="4" eb="6">
      <t>シュツリョク</t>
    </rPh>
    <rPh sb="10" eb="12">
      <t>セイギョ</t>
    </rPh>
    <phoneticPr fontId="1"/>
  </si>
  <si>
    <t>DIGITAL_OUT_26_REG_BASE</t>
    <phoneticPr fontId="1"/>
  </si>
  <si>
    <t>デジタル出力 27 制御</t>
    <rPh sb="4" eb="6">
      <t>シュツリョク</t>
    </rPh>
    <rPh sb="10" eb="12">
      <t>セイギョ</t>
    </rPh>
    <phoneticPr fontId="1"/>
  </si>
  <si>
    <t>DIGITAL_OUT_27_REG_BASE</t>
    <phoneticPr fontId="1"/>
  </si>
  <si>
    <t>デジタル出力 28 制御</t>
    <rPh sb="4" eb="6">
      <t>シュツリョク</t>
    </rPh>
    <rPh sb="10" eb="12">
      <t>セイギョ</t>
    </rPh>
    <phoneticPr fontId="1"/>
  </si>
  <si>
    <t>DIGITAL_OUT_28_REG_BASE</t>
    <phoneticPr fontId="1"/>
  </si>
  <si>
    <t>デジタル出力 29 制御</t>
    <rPh sb="4" eb="6">
      <t>シュツリョク</t>
    </rPh>
    <rPh sb="10" eb="12">
      <t>セイギョ</t>
    </rPh>
    <phoneticPr fontId="1"/>
  </si>
  <si>
    <t>DIGITAL_OUT_29_REG_BASE</t>
    <phoneticPr fontId="1"/>
  </si>
  <si>
    <t>デジタル出力 30 制御</t>
    <rPh sb="4" eb="6">
      <t>シュツリョク</t>
    </rPh>
    <rPh sb="10" eb="12">
      <t>セイギョ</t>
    </rPh>
    <phoneticPr fontId="1"/>
  </si>
  <si>
    <t>DIGITAL_OUT_30_REG_BASE</t>
    <phoneticPr fontId="1"/>
  </si>
  <si>
    <t>デジタル出力 31 制御</t>
    <rPh sb="4" eb="6">
      <t>シュツリョク</t>
    </rPh>
    <rPh sb="10" eb="12">
      <t>セイギョ</t>
    </rPh>
    <phoneticPr fontId="1"/>
  </si>
  <si>
    <t>DIGITAL_OUT_31_REG_BASE</t>
    <phoneticPr fontId="1"/>
  </si>
  <si>
    <t>デジタル出力 32 制御</t>
    <rPh sb="4" eb="6">
      <t>シュツリョク</t>
    </rPh>
    <rPh sb="10" eb="12">
      <t>セイギョ</t>
    </rPh>
    <phoneticPr fontId="1"/>
  </si>
  <si>
    <t>DIGITAL_OUT_32_REG_BASE</t>
    <phoneticPr fontId="1"/>
  </si>
  <si>
    <t>デジタル出力 33 制御</t>
    <rPh sb="4" eb="6">
      <t>シュツリョク</t>
    </rPh>
    <rPh sb="10" eb="12">
      <t>セイギョ</t>
    </rPh>
    <phoneticPr fontId="1"/>
  </si>
  <si>
    <t>DIGITAL_OUT_33_REG_BASE</t>
    <phoneticPr fontId="1"/>
  </si>
  <si>
    <t>デジタル出力パターン0</t>
    <rPh sb="4" eb="6">
      <t>シュツリョク</t>
    </rPh>
    <phoneticPr fontId="1"/>
  </si>
  <si>
    <t>DIGITAL_OUT_0_PATTERN</t>
    <phoneticPr fontId="1"/>
  </si>
  <si>
    <t>0x10_0000</t>
    <phoneticPr fontId="1"/>
  </si>
  <si>
    <t>デジタル出力パターン1</t>
    <rPh sb="4" eb="6">
      <t>シュツリョク</t>
    </rPh>
    <phoneticPr fontId="1"/>
  </si>
  <si>
    <t>DIGITAL_OUT_1_PATTERN</t>
    <phoneticPr fontId="1"/>
  </si>
  <si>
    <t>0x14_0000</t>
    <phoneticPr fontId="1"/>
  </si>
  <si>
    <t>デジタル出力パターン2</t>
    <rPh sb="4" eb="6">
      <t>シュツリョク</t>
    </rPh>
    <phoneticPr fontId="1"/>
  </si>
  <si>
    <t>DIGITAL_OUT_2_PATTERN</t>
    <phoneticPr fontId="1"/>
  </si>
  <si>
    <t>0x18_0000</t>
    <phoneticPr fontId="1"/>
  </si>
  <si>
    <t>デジタル出力パターン3</t>
    <rPh sb="4" eb="6">
      <t>シュツリョク</t>
    </rPh>
    <phoneticPr fontId="1"/>
  </si>
  <si>
    <t>DIGITAL_OUT_3_PATTERN</t>
    <phoneticPr fontId="1"/>
  </si>
  <si>
    <t>0x1C_0000</t>
    <phoneticPr fontId="1"/>
  </si>
  <si>
    <t>デジタル出力パターン4</t>
    <rPh sb="4" eb="6">
      <t>シュツリョク</t>
    </rPh>
    <phoneticPr fontId="1"/>
  </si>
  <si>
    <t>DIGITAL_OUT_4_PATTERN</t>
    <phoneticPr fontId="1"/>
  </si>
  <si>
    <t>0x20_0000</t>
    <phoneticPr fontId="1"/>
  </si>
  <si>
    <t>デジタル出力パターン5</t>
    <rPh sb="4" eb="6">
      <t>シュツリョク</t>
    </rPh>
    <phoneticPr fontId="1"/>
  </si>
  <si>
    <t>DIGITAL_OUT_5_PATTERN</t>
    <phoneticPr fontId="1"/>
  </si>
  <si>
    <t>0x24_0000</t>
    <phoneticPr fontId="1"/>
  </si>
  <si>
    <t>デジタル出力パターン6</t>
    <rPh sb="4" eb="6">
      <t>シュツリョク</t>
    </rPh>
    <phoneticPr fontId="1"/>
  </si>
  <si>
    <t>DIGITAL_OUT_6_PATTERN</t>
    <phoneticPr fontId="1"/>
  </si>
  <si>
    <t>0x28_0000</t>
    <phoneticPr fontId="1"/>
  </si>
  <si>
    <t>デジタル出力パターン7</t>
    <phoneticPr fontId="1"/>
  </si>
  <si>
    <t>DIGITAL_OUT_7_PATTERN</t>
    <phoneticPr fontId="1"/>
  </si>
  <si>
    <t>0x2C_0000</t>
    <phoneticPr fontId="1"/>
  </si>
  <si>
    <t>デジタル出力パターン8</t>
    <rPh sb="4" eb="6">
      <t>シュツリョク</t>
    </rPh>
    <phoneticPr fontId="1"/>
  </si>
  <si>
    <t>DIGITAL_OUT_8_PATTERN</t>
    <phoneticPr fontId="1"/>
  </si>
  <si>
    <t>0x30_0000</t>
    <phoneticPr fontId="1"/>
  </si>
  <si>
    <t>デジタル出力パターン9</t>
    <rPh sb="4" eb="6">
      <t>シュツリョク</t>
    </rPh>
    <phoneticPr fontId="1"/>
  </si>
  <si>
    <t>DIGITAL_OUT_9_PATTERN</t>
    <phoneticPr fontId="1"/>
  </si>
  <si>
    <t>0x34_0000</t>
    <phoneticPr fontId="1"/>
  </si>
  <si>
    <t>デジタル出力パターン10</t>
    <rPh sb="4" eb="6">
      <t>シュツリョク</t>
    </rPh>
    <phoneticPr fontId="1"/>
  </si>
  <si>
    <t>DIGITAL_OUT_10_PATTERN</t>
    <phoneticPr fontId="1"/>
  </si>
  <si>
    <t>0x38_0000</t>
    <phoneticPr fontId="1"/>
  </si>
  <si>
    <t>デジタル出力パターン11</t>
    <rPh sb="4" eb="6">
      <t>シュツリョク</t>
    </rPh>
    <phoneticPr fontId="1"/>
  </si>
  <si>
    <t>DIGITAL_OUT_11_PATTERN</t>
    <phoneticPr fontId="1"/>
  </si>
  <si>
    <t>0x3C_0000</t>
    <phoneticPr fontId="1"/>
  </si>
  <si>
    <t>デジタル出力パターン12</t>
    <rPh sb="4" eb="6">
      <t>シュツリョク</t>
    </rPh>
    <phoneticPr fontId="1"/>
  </si>
  <si>
    <t>DIGITAL_OUT_12_PATTERN</t>
    <phoneticPr fontId="1"/>
  </si>
  <si>
    <t>0x40_0000</t>
    <phoneticPr fontId="1"/>
  </si>
  <si>
    <t>デジタル出力パターン13</t>
    <rPh sb="4" eb="6">
      <t>シュツリョク</t>
    </rPh>
    <phoneticPr fontId="1"/>
  </si>
  <si>
    <t>DIGITAL_OUT_13_PATTERN</t>
    <phoneticPr fontId="1"/>
  </si>
  <si>
    <t>0x44_0000</t>
    <phoneticPr fontId="1"/>
  </si>
  <si>
    <t>デジタル出力パターン14</t>
    <rPh sb="4" eb="6">
      <t>シュツリョク</t>
    </rPh>
    <phoneticPr fontId="1"/>
  </si>
  <si>
    <t>DIGITAL_OUT_14_PATTERN</t>
    <phoneticPr fontId="1"/>
  </si>
  <si>
    <t>0x48_0000</t>
    <phoneticPr fontId="1"/>
  </si>
  <si>
    <t>デジタル出力パターン15</t>
    <rPh sb="4" eb="6">
      <t>シュツリョク</t>
    </rPh>
    <phoneticPr fontId="1"/>
  </si>
  <si>
    <t>DIGITAL_OUT_15_PATTERN</t>
    <phoneticPr fontId="1"/>
  </si>
  <si>
    <t>0x4C_0000</t>
    <phoneticPr fontId="1"/>
  </si>
  <si>
    <t>デジタル出力パターン16</t>
    <rPh sb="4" eb="6">
      <t>シュツリョク</t>
    </rPh>
    <phoneticPr fontId="1"/>
  </si>
  <si>
    <t>DIGITAL_OUT_16_PATTERN</t>
    <phoneticPr fontId="1"/>
  </si>
  <si>
    <t>0x50_0000</t>
    <phoneticPr fontId="1"/>
  </si>
  <si>
    <t>デジタル出力パターン17</t>
    <rPh sb="4" eb="6">
      <t>シュツリョク</t>
    </rPh>
    <phoneticPr fontId="1"/>
  </si>
  <si>
    <t>DIGITAL_OUT_17_PATTERN</t>
    <phoneticPr fontId="1"/>
  </si>
  <si>
    <t>0x54_0000</t>
    <phoneticPr fontId="1"/>
  </si>
  <si>
    <t>デジタル出力パターン18</t>
    <rPh sb="4" eb="6">
      <t>シュツリョク</t>
    </rPh>
    <phoneticPr fontId="1"/>
  </si>
  <si>
    <t>DIGITAL_OUT_18_PATTERN</t>
    <phoneticPr fontId="1"/>
  </si>
  <si>
    <t>0x58_0000</t>
    <phoneticPr fontId="1"/>
  </si>
  <si>
    <t>デジタル出力パターン19</t>
    <rPh sb="4" eb="6">
      <t>シュツリョク</t>
    </rPh>
    <phoneticPr fontId="1"/>
  </si>
  <si>
    <t>DIGITAL_OUT_19_PATTERN</t>
    <phoneticPr fontId="1"/>
  </si>
  <si>
    <t>0x5C_0000</t>
    <phoneticPr fontId="1"/>
  </si>
  <si>
    <t>デジタル出力パターン20</t>
    <rPh sb="4" eb="6">
      <t>シュツリョク</t>
    </rPh>
    <phoneticPr fontId="1"/>
  </si>
  <si>
    <t>DIGITAL_OUT_20_PATTERN</t>
    <phoneticPr fontId="1"/>
  </si>
  <si>
    <t>0x60_0000</t>
    <phoneticPr fontId="1"/>
  </si>
  <si>
    <t>デジタル出力パターン21</t>
    <rPh sb="4" eb="6">
      <t>シュツリョク</t>
    </rPh>
    <phoneticPr fontId="1"/>
  </si>
  <si>
    <t>DIGITAL_OUT_21_PATTERN</t>
    <phoneticPr fontId="1"/>
  </si>
  <si>
    <t>0x64_0000</t>
    <phoneticPr fontId="1"/>
  </si>
  <si>
    <t>デジタル出力パターン22</t>
    <phoneticPr fontId="1"/>
  </si>
  <si>
    <t>DIGITAL_OUT_22_PATTERN</t>
    <phoneticPr fontId="1"/>
  </si>
  <si>
    <t>0x68_0000</t>
    <phoneticPr fontId="1"/>
  </si>
  <si>
    <t>デジタル出力パターン23</t>
    <rPh sb="4" eb="6">
      <t>シュツリョク</t>
    </rPh>
    <phoneticPr fontId="1"/>
  </si>
  <si>
    <t>DIGITAL_OUT_23_PATTERN</t>
    <phoneticPr fontId="1"/>
  </si>
  <si>
    <t>0x6C_0000</t>
    <phoneticPr fontId="1"/>
  </si>
  <si>
    <t>デジタル出力パターン24</t>
    <rPh sb="4" eb="6">
      <t>シュツリョク</t>
    </rPh>
    <phoneticPr fontId="1"/>
  </si>
  <si>
    <t>DIGITAL_OUT_24_PATTERN</t>
    <phoneticPr fontId="1"/>
  </si>
  <si>
    <t>0x70_0000</t>
    <phoneticPr fontId="1"/>
  </si>
  <si>
    <t>デジタル出力パターン25</t>
    <rPh sb="4" eb="6">
      <t>シュツリョク</t>
    </rPh>
    <phoneticPr fontId="1"/>
  </si>
  <si>
    <t>DIGITAL_OUT_25_PATTERN</t>
    <phoneticPr fontId="1"/>
  </si>
  <si>
    <t>0x74_0000</t>
    <phoneticPr fontId="1"/>
  </si>
  <si>
    <t>デジタル出力パターン26</t>
    <rPh sb="4" eb="6">
      <t>シュツリョク</t>
    </rPh>
    <phoneticPr fontId="1"/>
  </si>
  <si>
    <t>DIGITAL_OUT_26_PATTERN</t>
    <phoneticPr fontId="1"/>
  </si>
  <si>
    <t>0x78_0000</t>
    <phoneticPr fontId="1"/>
  </si>
  <si>
    <t>デジタル出力パターン27</t>
    <rPh sb="4" eb="6">
      <t>シュツリョク</t>
    </rPh>
    <phoneticPr fontId="1"/>
  </si>
  <si>
    <t>DIGITAL_OUT_27_PATTERN</t>
    <phoneticPr fontId="1"/>
  </si>
  <si>
    <t>0x7C_0000</t>
    <phoneticPr fontId="1"/>
  </si>
  <si>
    <t>デジタル出力パターン28</t>
    <rPh sb="4" eb="6">
      <t>シュツリョク</t>
    </rPh>
    <phoneticPr fontId="1"/>
  </si>
  <si>
    <t>DIGITAL_OUT_28_PATTERN</t>
    <phoneticPr fontId="1"/>
  </si>
  <si>
    <t>0x80_0000</t>
    <phoneticPr fontId="1"/>
  </si>
  <si>
    <t>デジタル出力パターン29</t>
    <rPh sb="4" eb="6">
      <t>シュツリョク</t>
    </rPh>
    <phoneticPr fontId="1"/>
  </si>
  <si>
    <t>DIGITAL_OUT_29_PATTERN</t>
    <phoneticPr fontId="1"/>
  </si>
  <si>
    <t>0x84_0000</t>
    <phoneticPr fontId="1"/>
  </si>
  <si>
    <t>デジタル出力パターン30</t>
    <rPh sb="4" eb="6">
      <t>シュツリョク</t>
    </rPh>
    <phoneticPr fontId="1"/>
  </si>
  <si>
    <t>DIGITAL_OUT_30_PATTERN</t>
    <phoneticPr fontId="1"/>
  </si>
  <si>
    <t>0x88_0000</t>
    <phoneticPr fontId="1"/>
  </si>
  <si>
    <t>デジタル出力パターン31</t>
    <rPh sb="4" eb="6">
      <t>シュツリョク</t>
    </rPh>
    <phoneticPr fontId="1"/>
  </si>
  <si>
    <t>DIGITAL_OUT_31_PATTERN</t>
    <phoneticPr fontId="1"/>
  </si>
  <si>
    <t>0x8C_0000</t>
    <phoneticPr fontId="1"/>
  </si>
  <si>
    <t>デジタル出力パターン32</t>
    <rPh sb="4" eb="6">
      <t>シュツリョク</t>
    </rPh>
    <phoneticPr fontId="1"/>
  </si>
  <si>
    <t>DIGITAL_OUT_32_PATTERN</t>
    <phoneticPr fontId="1"/>
  </si>
  <si>
    <t>0x90_0000</t>
    <phoneticPr fontId="1"/>
  </si>
  <si>
    <t>デジタル出力パターン33</t>
    <rPh sb="4" eb="6">
      <t>シュツリョク</t>
    </rPh>
    <phoneticPr fontId="1"/>
  </si>
  <si>
    <t>DIGITAL_OUT_33_PATTERN</t>
    <phoneticPr fontId="1"/>
  </si>
  <si>
    <t>0x94_0000</t>
    <phoneticPr fontId="1"/>
  </si>
  <si>
    <t>レジスタ名</t>
    <rPh sb="4" eb="5">
      <t>メイ</t>
    </rPh>
    <phoneticPr fontId="1"/>
  </si>
  <si>
    <t>bit</t>
    <phoneticPr fontId="1"/>
  </si>
  <si>
    <t>フィールド名</t>
    <rPh sb="5" eb="6">
      <t>メイ</t>
    </rPh>
    <phoneticPr fontId="1"/>
  </si>
  <si>
    <t>R/W</t>
    <phoneticPr fontId="1"/>
  </si>
  <si>
    <t>説明</t>
    <rPh sb="0" eb="2">
      <t>セツメイ</t>
    </rPh>
    <phoneticPr fontId="1"/>
  </si>
  <si>
    <t>バージョン</t>
    <phoneticPr fontId="1"/>
  </si>
  <si>
    <t>[31:0]</t>
    <phoneticPr fontId="1"/>
  </si>
  <si>
    <t>version</t>
    <phoneticPr fontId="1"/>
  </si>
  <si>
    <t>r</t>
    <phoneticPr fontId="1"/>
  </si>
  <si>
    <t>rw</t>
    <phoneticPr fontId="1"/>
  </si>
  <si>
    <t>[0]</t>
    <phoneticPr fontId="1"/>
  </si>
  <si>
    <t>reset</t>
    <phoneticPr fontId="1"/>
  </si>
  <si>
    <t>[1]</t>
    <phoneticPr fontId="1"/>
  </si>
  <si>
    <t>[2]</t>
    <phoneticPr fontId="1"/>
  </si>
  <si>
    <t>start</t>
    <phoneticPr fontId="1"/>
  </si>
  <si>
    <t>[3]</t>
    <phoneticPr fontId="1"/>
  </si>
  <si>
    <t>terminate</t>
    <phoneticPr fontId="1"/>
  </si>
  <si>
    <t>[4]</t>
    <phoneticPr fontId="1"/>
  </si>
  <si>
    <t>done clr</t>
    <phoneticPr fontId="1"/>
  </si>
  <si>
    <t>[5]</t>
    <phoneticPr fontId="1"/>
  </si>
  <si>
    <t>pause</t>
    <phoneticPr fontId="1"/>
  </si>
  <si>
    <t>[6]</t>
    <phoneticPr fontId="1"/>
  </si>
  <si>
    <t>resume</t>
    <phoneticPr fontId="1"/>
  </si>
  <si>
    <t>wakeup</t>
    <phoneticPr fontId="1"/>
  </si>
  <si>
    <t>busy</t>
    <phoneticPr fontId="1"/>
  </si>
  <si>
    <t>r</t>
  </si>
  <si>
    <t>done</t>
    <phoneticPr fontId="1"/>
  </si>
  <si>
    <t>paused</t>
    <phoneticPr fontId="1"/>
  </si>
  <si>
    <t>[31:7]</t>
    <phoneticPr fontId="1"/>
  </si>
  <si>
    <t>[31:2]</t>
    <phoneticPr fontId="1"/>
  </si>
  <si>
    <t>[31 : 0]</t>
    <phoneticPr fontId="1"/>
  </si>
  <si>
    <t>デジタル出力全体制御</t>
    <rPh sb="4" eb="6">
      <t>シュツリョク</t>
    </rPh>
    <rPh sb="6" eb="10">
      <t>ゼンタイセイギョ</t>
    </rPh>
    <phoneticPr fontId="1"/>
  </si>
  <si>
    <t>DIGITAL_OUT_REG_BASE + 0x0</t>
    <phoneticPr fontId="1"/>
  </si>
  <si>
    <t>デジタル出力のバージョン</t>
    <rPh sb="4" eb="6">
      <t>シュツリョク</t>
    </rPh>
    <phoneticPr fontId="1"/>
  </si>
  <si>
    <t>制御対象選択 0</t>
    <rPh sb="0" eb="2">
      <t>セイギョ</t>
    </rPh>
    <rPh sb="2" eb="4">
      <t>タイショウ</t>
    </rPh>
    <rPh sb="4" eb="6">
      <t>センタク</t>
    </rPh>
    <phoneticPr fontId="1"/>
  </si>
  <si>
    <t>DIGITAL_OUT_REG_BASE + 0x4</t>
    <phoneticPr fontId="1"/>
  </si>
  <si>
    <t>target 0</t>
    <phoneticPr fontId="1"/>
  </si>
  <si>
    <r>
      <t xml:space="preserve">n ビット目が 0 : デジタル出力 n を制御対象にしません
n ビット目が 1 : デジタル出力 n を制御対象にします
</t>
    </r>
    <r>
      <rPr>
        <b/>
        <sz val="11"/>
        <color theme="1"/>
        <rFont val="游ゴシック"/>
        <family val="3"/>
        <charset val="128"/>
        <scheme val="minor"/>
      </rPr>
      <t>※このレジスタは「デジタル出力全体制御」レジスタグループにのみ影響を与えます</t>
    </r>
    <rPh sb="5" eb="6">
      <t>メ</t>
    </rPh>
    <rPh sb="16" eb="18">
      <t>シュツリョク</t>
    </rPh>
    <rPh sb="22" eb="26">
      <t>セイギョタイショウ</t>
    </rPh>
    <rPh sb="48" eb="50">
      <t>シュツリョク</t>
    </rPh>
    <rPh sb="76" eb="78">
      <t>シュツリョク</t>
    </rPh>
    <rPh sb="78" eb="80">
      <t>ゼンタイ</t>
    </rPh>
    <rPh sb="80" eb="82">
      <t>セイギョ</t>
    </rPh>
    <rPh sb="94" eb="96">
      <t>エイキョウ</t>
    </rPh>
    <rPh sb="97" eb="98">
      <t>アタ</t>
    </rPh>
    <phoneticPr fontId="1"/>
  </si>
  <si>
    <t>制御対象選択 1</t>
    <rPh sb="0" eb="4">
      <t>セイギョタイショウ</t>
    </rPh>
    <rPh sb="4" eb="6">
      <t>センタク</t>
    </rPh>
    <phoneticPr fontId="1"/>
  </si>
  <si>
    <t>DIGITAL_OUT_REG_BASE + 0x8</t>
    <phoneticPr fontId="1"/>
  </si>
  <si>
    <t>[1:0]</t>
    <phoneticPr fontId="1"/>
  </si>
  <si>
    <t>target 1</t>
    <phoneticPr fontId="1"/>
  </si>
  <si>
    <r>
      <t xml:space="preserve">n ビット目が 0 : デジタル出力 n+32 を制御対象にしません
n ビット目が 1 : デジタル出力 n+32 を制御対象にします
</t>
    </r>
    <r>
      <rPr>
        <b/>
        <sz val="11"/>
        <color theme="1"/>
        <rFont val="游ゴシック"/>
        <family val="3"/>
        <charset val="128"/>
        <scheme val="minor"/>
      </rPr>
      <t>※このレジスタは「デジタル出力全体制御」レジスタグループにのみ影響を与えます</t>
    </r>
    <rPh sb="5" eb="6">
      <t>メ</t>
    </rPh>
    <rPh sb="16" eb="18">
      <t>シュツリョク</t>
    </rPh>
    <rPh sb="25" eb="29">
      <t>セイギョタイショウ</t>
    </rPh>
    <rPh sb="51" eb="53">
      <t>シュツリョク</t>
    </rPh>
    <rPh sb="82" eb="84">
      <t>シュツリョク</t>
    </rPh>
    <rPh sb="84" eb="86">
      <t>ゼンタイ</t>
    </rPh>
    <rPh sb="86" eb="88">
      <t>セイギョ</t>
    </rPh>
    <rPh sb="100" eb="102">
      <t>エイキョウ</t>
    </rPh>
    <rPh sb="103" eb="104">
      <t>アタ</t>
    </rPh>
    <phoneticPr fontId="1"/>
  </si>
  <si>
    <t>デジタル出力コントロール</t>
    <rPh sb="4" eb="6">
      <t>シュツリョク</t>
    </rPh>
    <phoneticPr fontId="1"/>
  </si>
  <si>
    <t>DIGITAL_OUT_REG_BASE + 0xC</t>
    <phoneticPr fontId="1"/>
  </si>
  <si>
    <t>0 : 制御対象となっているデジタル出力のリセットを解除します
1 : 制御対象となっているデジタル出力にリセットをかけます</t>
    <rPh sb="4" eb="8">
      <t>セイギョタイショウ</t>
    </rPh>
    <rPh sb="18" eb="20">
      <t>シュツリョク</t>
    </rPh>
    <rPh sb="26" eb="28">
      <t>カイジョ</t>
    </rPh>
    <phoneticPr fontId="1"/>
  </si>
  <si>
    <t>0 から 1 になったとき, 制御対象となっている全デジタル出力の動作を開始します</t>
    <rPh sb="25" eb="26">
      <t>ゼン</t>
    </rPh>
    <rPh sb="31" eb="32">
      <t>リョク</t>
    </rPh>
    <rPh sb="33" eb="35">
      <t>ドウサ</t>
    </rPh>
    <rPh sb="36" eb="38">
      <t>カイシ</t>
    </rPh>
    <phoneticPr fontId="1"/>
  </si>
  <si>
    <t>0 から 1 になったとき, 制御対象となっている全デジタル出力の動作を強制停止します</t>
    <rPh sb="36" eb="40">
      <t>キョウセイテイシ</t>
    </rPh>
    <phoneticPr fontId="1"/>
  </si>
  <si>
    <t>0 から 1 になったとき, 制御対象になっている全デジタル出力の動作終了フラグ (done) を 0 にします</t>
    <rPh sb="15" eb="19">
      <t>セイギョタイショウ</t>
    </rPh>
    <rPh sb="25" eb="26">
      <t>ゼン</t>
    </rPh>
    <rPh sb="30" eb="32">
      <t>シュツリョク</t>
    </rPh>
    <rPh sb="33" eb="35">
      <t>ドウサ</t>
    </rPh>
    <rPh sb="35" eb="37">
      <t>シュウリョウ</t>
    </rPh>
    <phoneticPr fontId="1"/>
  </si>
  <si>
    <t>0 から 1 になったとき, 制御対象になっている全デジタル出力を一時停止します</t>
    <rPh sb="15" eb="19">
      <t>セイギョタイショウ</t>
    </rPh>
    <rPh sb="25" eb="26">
      <t>ゼン</t>
    </rPh>
    <rPh sb="30" eb="32">
      <t>シュツリョク</t>
    </rPh>
    <rPh sb="33" eb="37">
      <t>イチジテイシ</t>
    </rPh>
    <phoneticPr fontId="1"/>
  </si>
  <si>
    <t>0 から 1 になったとき, 制御対象になっている全デジタル出力の動作を再開します．</t>
    <rPh sb="15" eb="19">
      <t>セイギョタイショウ</t>
    </rPh>
    <rPh sb="25" eb="26">
      <t>ゼン</t>
    </rPh>
    <rPh sb="30" eb="32">
      <t>シュツリョク</t>
    </rPh>
    <rPh sb="33" eb="35">
      <t>ドウサ</t>
    </rPh>
    <rPh sb="36" eb="38">
      <t>サイカイ</t>
    </rPh>
    <phoneticPr fontId="1"/>
  </si>
  <si>
    <t>restart</t>
    <phoneticPr fontId="1"/>
  </si>
  <si>
    <t>0 から 1 になったとき, 制御対象になっている全デジタル出力の動作を現在の設定に基づいてやり直します</t>
    <rPh sb="15" eb="19">
      <t>セイギョタイショウ</t>
    </rPh>
    <rPh sb="25" eb="26">
      <t>ゼン</t>
    </rPh>
    <rPh sb="30" eb="32">
      <t>シュツリョク</t>
    </rPh>
    <rPh sb="33" eb="35">
      <t>ドウサ</t>
    </rPh>
    <rPh sb="36" eb="38">
      <t>ゲンザイ</t>
    </rPh>
    <rPh sb="39" eb="41">
      <t>セッテイ</t>
    </rPh>
    <rPh sb="42" eb="43">
      <t>モト</t>
    </rPh>
    <rPh sb="48" eb="49">
      <t>ナオ</t>
    </rPh>
    <phoneticPr fontId="1"/>
  </si>
  <si>
    <t>スタートトリガマスク 0</t>
    <phoneticPr fontId="1"/>
  </si>
  <si>
    <t>DIGITAL_OUT_REG_BASE + 0x10</t>
    <phoneticPr fontId="1"/>
  </si>
  <si>
    <t>start trig mask 0</t>
    <phoneticPr fontId="1"/>
  </si>
  <si>
    <t>スタートトリガマスク 1</t>
    <phoneticPr fontId="1"/>
  </si>
  <si>
    <t>DIGITAL_OUT_REG_BASE + 0x14</t>
    <phoneticPr fontId="1"/>
  </si>
  <si>
    <t>start trig mask 1</t>
    <phoneticPr fontId="1"/>
  </si>
  <si>
    <t>リスタートトリガマスク 0</t>
    <phoneticPr fontId="1"/>
  </si>
  <si>
    <t>DIGITAL_OUT_REG_BASE + 0x18</t>
    <phoneticPr fontId="1"/>
  </si>
  <si>
    <t>restart trig mask 0</t>
    <phoneticPr fontId="1"/>
  </si>
  <si>
    <t>リスタートトリガマスク 1</t>
    <phoneticPr fontId="1"/>
  </si>
  <si>
    <t>DIGITAL_OUT_REG_BASE + 0x1C</t>
    <phoneticPr fontId="1"/>
  </si>
  <si>
    <t>restart trig mask 1</t>
    <phoneticPr fontId="1"/>
  </si>
  <si>
    <t>一時停止トリガマスク 0</t>
    <rPh sb="0" eb="4">
      <t>イチジテイシ</t>
    </rPh>
    <phoneticPr fontId="1"/>
  </si>
  <si>
    <t>DIGITAL_OUT_REG_BASE + 0x20</t>
    <phoneticPr fontId="1"/>
  </si>
  <si>
    <t>pause trig mask 0</t>
    <phoneticPr fontId="1"/>
  </si>
  <si>
    <t>一時停止トリガマスク 1</t>
    <rPh sb="0" eb="4">
      <t>イチジテイシ</t>
    </rPh>
    <phoneticPr fontId="1"/>
  </si>
  <si>
    <t>DIGITAL_OUT_REG_BASE + 0x24</t>
    <phoneticPr fontId="1"/>
  </si>
  <si>
    <t>pause trig mask 1</t>
    <phoneticPr fontId="1"/>
  </si>
  <si>
    <t>再開トリガマスク 0</t>
    <rPh sb="0" eb="2">
      <t>サイカイ</t>
    </rPh>
    <phoneticPr fontId="1"/>
  </si>
  <si>
    <t>DIGITAL_OUT_REG_BASE + 0x28</t>
    <phoneticPr fontId="1"/>
  </si>
  <si>
    <t>resume trig mask 0</t>
    <phoneticPr fontId="1"/>
  </si>
  <si>
    <t>再開トリガマスク 1</t>
    <phoneticPr fontId="1"/>
  </si>
  <si>
    <t>DIGITAL_OUT_REG_BASE + 0x2C</t>
    <phoneticPr fontId="1"/>
  </si>
  <si>
    <t>resume trig mask 1</t>
    <phoneticPr fontId="1"/>
  </si>
  <si>
    <t>デジタル出力 n 制御</t>
    <rPh sb="4" eb="6">
      <t>シュツリョク</t>
    </rPh>
    <rPh sb="9" eb="11">
      <t>セイギョ</t>
    </rPh>
    <phoneticPr fontId="1"/>
  </si>
  <si>
    <t>デジタル出力 nコントロール</t>
    <rPh sb="4" eb="6">
      <t>シュツリョク</t>
    </rPh>
    <phoneticPr fontId="1"/>
  </si>
  <si>
    <t>DIGITAL_OUT_n_REG_BASE + 0x0</t>
    <phoneticPr fontId="1"/>
  </si>
  <si>
    <t>0 : デジタル出力 n のリセットを解除します
1 : デジタル出力 n にリセットをかけます</t>
    <rPh sb="8" eb="10">
      <t>シュツリョク</t>
    </rPh>
    <rPh sb="19" eb="21">
      <t>カイジョ</t>
    </rPh>
    <phoneticPr fontId="1"/>
  </si>
  <si>
    <t>0 から 1 になったとき デジタル出力 n がビットパターンの出力を開始します</t>
    <rPh sb="18" eb="20">
      <t>シュツリョク</t>
    </rPh>
    <rPh sb="32" eb="34">
      <t>シュツリョク</t>
    </rPh>
    <rPh sb="35" eb="37">
      <t>カイシ</t>
    </rPh>
    <phoneticPr fontId="1"/>
  </si>
  <si>
    <t>0 から 1 になったとき デジタル出力 n を強制停止します</t>
    <rPh sb="18" eb="20">
      <t>シュツリョク</t>
    </rPh>
    <rPh sb="24" eb="28">
      <t>キョウセイテイシ</t>
    </rPh>
    <phoneticPr fontId="1"/>
  </si>
  <si>
    <t>0 から 1 になったとき, デジタル出力 n の動作終了 フラグ (done) を 0 にします</t>
    <rPh sb="19" eb="21">
      <t>シュツリョク</t>
    </rPh>
    <rPh sb="25" eb="29">
      <t>ドウサシュウリョウ</t>
    </rPh>
    <phoneticPr fontId="1"/>
  </si>
  <si>
    <t>0 から 1 になったとき, デジタル出力 n を一時停止します</t>
    <phoneticPr fontId="1"/>
  </si>
  <si>
    <t>0 から 1 になったとき, デジタル出力 n を再開します</t>
    <rPh sb="25" eb="27">
      <t>サイカイ</t>
    </rPh>
    <phoneticPr fontId="1"/>
  </si>
  <si>
    <t>0 から 1 になったとき, デジタル出力 n を動作を現在の設定に基づいてやり直します</t>
    <phoneticPr fontId="1"/>
  </si>
  <si>
    <t>デジタル出力 n ステータス</t>
    <rPh sb="4" eb="6">
      <t>シュツリョク</t>
    </rPh>
    <phoneticPr fontId="1"/>
  </si>
  <si>
    <t>DIGITAL_OUT_n_REG_BASE + 0x4</t>
    <phoneticPr fontId="1"/>
  </si>
  <si>
    <t>0 : デジタル出力 n はリセット中です
1 : デジタル出力 n はリセット中ではありません</t>
    <rPh sb="40" eb="41">
      <t>チュウ</t>
    </rPh>
    <phoneticPr fontId="1"/>
  </si>
  <si>
    <t>0 : デジタル出力 n は待機もしくはリセット中です
1 : デジタル出力 n は動作中です (ポーズ状態を含む)</t>
    <rPh sb="14" eb="16">
      <t>タイキ</t>
    </rPh>
    <rPh sb="24" eb="25">
      <t>チュウ</t>
    </rPh>
    <rPh sb="42" eb="45">
      <t>ドウサチュウ</t>
    </rPh>
    <rPh sb="52" eb="54">
      <t>ジョウタイ</t>
    </rPh>
    <rPh sb="55" eb="56">
      <t>フク</t>
    </rPh>
    <phoneticPr fontId="1"/>
  </si>
  <si>
    <t>0 : デジタル出力 n の動作が終了していません
1 : デジタル出力 n の動作が終了しています
デジタル出力を強制停止した場合も 1 になります</t>
    <rPh sb="14" eb="16">
      <t>ドウサ</t>
    </rPh>
    <rPh sb="17" eb="19">
      <t>シュウリョウ</t>
    </rPh>
    <rPh sb="55" eb="57">
      <t>シュツリョク</t>
    </rPh>
    <rPh sb="57" eb="61">
      <t>キョウセイテイシ</t>
    </rPh>
    <rPh sb="63" eb="65">
      <t>バアイ</t>
    </rPh>
    <phoneticPr fontId="1"/>
  </si>
  <si>
    <t>0 : デジタル出力 n はポーズ状態ではありません
1 : デジタル出力 n はポーズ状態です</t>
    <rPh sb="17" eb="19">
      <t>ジョウタイ</t>
    </rPh>
    <rPh sb="44" eb="46">
      <t>ジョウタイ</t>
    </rPh>
    <phoneticPr fontId="1"/>
  </si>
  <si>
    <t>[31:3]</t>
    <phoneticPr fontId="1"/>
  </si>
  <si>
    <t>出力ビットパターン数</t>
    <rPh sb="0" eb="2">
      <t>シュツリョク</t>
    </rPh>
    <rPh sb="9" eb="10">
      <t>スウ</t>
    </rPh>
    <phoneticPr fontId="1"/>
  </si>
  <si>
    <t>DIGITAL_OUT_n_REG_BASE + 0x8</t>
    <phoneticPr fontId="1"/>
  </si>
  <si>
    <t>num bit patterns</t>
    <phoneticPr fontId="1"/>
  </si>
  <si>
    <t>スタートインデックス</t>
    <phoneticPr fontId="1"/>
  </si>
  <si>
    <t>DIGITAL_OUT_n_REG_BASE + 0xC</t>
    <phoneticPr fontId="1"/>
  </si>
  <si>
    <t>start idx</t>
    <phoneticPr fontId="1"/>
  </si>
  <si>
    <t>予約 (112 Bytes)</t>
    <phoneticPr fontId="1"/>
  </si>
  <si>
    <t>デジタル出力 n パターン</t>
    <rPh sb="4" eb="6">
      <t>シュツリョク</t>
    </rPh>
    <phoneticPr fontId="1"/>
  </si>
  <si>
    <t>出力パターン 0</t>
    <rPh sb="0" eb="2">
      <t>シュツリョク</t>
    </rPh>
    <phoneticPr fontId="1"/>
  </si>
  <si>
    <t>DIGITAL_OUT_n_PATTERN + 0x0</t>
    <phoneticPr fontId="1"/>
  </si>
  <si>
    <t>[15 : 0]</t>
    <phoneticPr fontId="1"/>
  </si>
  <si>
    <t>bit pattern 0</t>
    <phoneticPr fontId="1"/>
  </si>
  <si>
    <t>出力するビットパターン</t>
    <rPh sb="0" eb="2">
      <t>シュツリョク</t>
    </rPh>
    <phoneticPr fontId="1"/>
  </si>
  <si>
    <t>[31:16]</t>
    <phoneticPr fontId="1"/>
  </si>
  <si>
    <t>出力時間 0</t>
    <rPh sb="0" eb="2">
      <t>シュツリョク</t>
    </rPh>
    <rPh sb="2" eb="4">
      <t>ジカン</t>
    </rPh>
    <phoneticPr fontId="1"/>
  </si>
  <si>
    <t>DIGITAL_OUT_n_PATTERN + 0x4</t>
    <phoneticPr fontId="1"/>
  </si>
  <si>
    <t>digital out time 0</t>
    <phoneticPr fontId="1"/>
  </si>
  <si>
    <t>出力パターン 1</t>
    <rPh sb="0" eb="2">
      <t>シュツリョク</t>
    </rPh>
    <phoneticPr fontId="1"/>
  </si>
  <si>
    <t>DIGITAL_OUT_n_PATTERN + 0x8</t>
    <phoneticPr fontId="1"/>
  </si>
  <si>
    <t>bit pattern 1</t>
    <phoneticPr fontId="1"/>
  </si>
  <si>
    <t>出力時間 1</t>
    <rPh sb="0" eb="2">
      <t>シュツリョク</t>
    </rPh>
    <rPh sb="2" eb="4">
      <t>ジカン</t>
    </rPh>
    <phoneticPr fontId="1"/>
  </si>
  <si>
    <t>DIGITAL_OUT_n_PATTERN + 0xC</t>
    <phoneticPr fontId="1"/>
  </si>
  <si>
    <t>digital out time 1</t>
    <phoneticPr fontId="1"/>
  </si>
  <si>
    <t>出力パターン 511</t>
    <rPh sb="0" eb="2">
      <t>シュツリョク</t>
    </rPh>
    <phoneticPr fontId="1"/>
  </si>
  <si>
    <t>DIGITAL_OUT_n_PATTERN + 0xFF8</t>
    <phoneticPr fontId="1"/>
  </si>
  <si>
    <t>bit pattern 511</t>
    <phoneticPr fontId="1"/>
  </si>
  <si>
    <t>出力時間 511</t>
    <rPh sb="0" eb="2">
      <t>シュツリョク</t>
    </rPh>
    <rPh sb="2" eb="4">
      <t>ジカン</t>
    </rPh>
    <phoneticPr fontId="1"/>
  </si>
  <si>
    <t>DIGITAL_OUT_n_PATTERN + 0xFFC</t>
    <phoneticPr fontId="1"/>
  </si>
  <si>
    <t>digital out time 511</t>
    <phoneticPr fontId="1"/>
  </si>
  <si>
    <t>デフォルト出力パターン</t>
    <rPh sb="5" eb="7">
      <t>シュツリョク</t>
    </rPh>
    <phoneticPr fontId="1"/>
  </si>
  <si>
    <t>DIGITAL_OUT_n_PATTERN + 0x1000</t>
    <phoneticPr fontId="1"/>
  </si>
  <si>
    <t>default
bit pattern</t>
    <phoneticPr fontId="1"/>
  </si>
  <si>
    <t>ディジタル出力モジュールが動作していないとき (リセット中も含む) に出力するビットパターン.
初期値 : 0</t>
    <rPh sb="5" eb="7">
      <t>シュツリョク</t>
    </rPh>
    <rPh sb="13" eb="15">
      <t>ドウサ</t>
    </rPh>
    <rPh sb="28" eb="29">
      <t>チュウ</t>
    </rPh>
    <rPh sb="30" eb="31">
      <t>フク</t>
    </rPh>
    <rPh sb="35" eb="37">
      <t>シュツリョク</t>
    </rPh>
    <rPh sb="48" eb="51">
      <t>ショキチ</t>
    </rPh>
    <phoneticPr fontId="1"/>
  </si>
  <si>
    <t>予約 (258044 Bytes)</t>
    <phoneticPr fontId="1"/>
  </si>
  <si>
    <t>0x0480</t>
    <phoneticPr fontId="1"/>
  </si>
  <si>
    <t>0x0500</t>
    <phoneticPr fontId="1"/>
  </si>
  <si>
    <t>0x0580</t>
    <phoneticPr fontId="1"/>
  </si>
  <si>
    <t>0x0600</t>
    <phoneticPr fontId="1"/>
  </si>
  <si>
    <t>0x0680</t>
    <phoneticPr fontId="1"/>
  </si>
  <si>
    <t>0x0700</t>
    <phoneticPr fontId="1"/>
  </si>
  <si>
    <t>0x0780</t>
    <phoneticPr fontId="1"/>
  </si>
  <si>
    <t>0x0800</t>
    <phoneticPr fontId="1"/>
  </si>
  <si>
    <t>0x0880</t>
    <phoneticPr fontId="1"/>
  </si>
  <si>
    <t>0x0900</t>
    <phoneticPr fontId="1"/>
  </si>
  <si>
    <t>0x0980</t>
    <phoneticPr fontId="1"/>
  </si>
  <si>
    <t>0x0A80</t>
    <phoneticPr fontId="1"/>
  </si>
  <si>
    <t>0x0A00</t>
    <phoneticPr fontId="1"/>
  </si>
  <si>
    <t>0x0B00</t>
    <phoneticPr fontId="1"/>
  </si>
  <si>
    <t>0x0B80</t>
    <phoneticPr fontId="1"/>
  </si>
  <si>
    <t>0x0C00</t>
    <phoneticPr fontId="1"/>
  </si>
  <si>
    <t>0x0C80</t>
    <phoneticPr fontId="1"/>
  </si>
  <si>
    <t>0x0D00</t>
    <phoneticPr fontId="1"/>
  </si>
  <si>
    <t>0x0D80</t>
    <phoneticPr fontId="1"/>
  </si>
  <si>
    <t>0x0E00</t>
    <phoneticPr fontId="1"/>
  </si>
  <si>
    <t>0x0E80</t>
    <phoneticPr fontId="1"/>
  </si>
  <si>
    <t>0x0F00</t>
    <phoneticPr fontId="1"/>
  </si>
  <si>
    <t>0x0F80</t>
    <phoneticPr fontId="1"/>
  </si>
  <si>
    <t>0x1080</t>
    <phoneticPr fontId="1"/>
  </si>
  <si>
    <t>0x1100</t>
    <phoneticPr fontId="1"/>
  </si>
  <si>
    <t>0x1180
-
0xF_FFFF</t>
    <phoneticPr fontId="1"/>
  </si>
  <si>
    <t>n ビット目が 0 : デジタル出力 n は AWG からのトリガでスタートしません
n ビット目が 1 : デジタル出力 n は AWG からのトリガでスタートします</t>
    <rPh sb="5" eb="6">
      <t>メ</t>
    </rPh>
    <rPh sb="16" eb="18">
      <t>シュツリョク</t>
    </rPh>
    <phoneticPr fontId="1"/>
  </si>
  <si>
    <t>n ビット目が 0 : デジタル出力 n+32 は AWG からのトリガでスタートしません
n ビット目が 1 : デジタル出力 n+32 は AWG からのトリガでスタートします</t>
    <rPh sb="5" eb="6">
      <t>メシュツリョク</t>
    </rPh>
    <phoneticPr fontId="1"/>
  </si>
  <si>
    <t>n ビット目が 0 : デジタル出力 n は AWG からのトリガでリスタートしません
n ビット目が 1 : デジタル出力 n は AWG からのトリガでリスタートします</t>
    <rPh sb="5" eb="6">
      <t>メ</t>
    </rPh>
    <rPh sb="16" eb="18">
      <t>シュツリョク</t>
    </rPh>
    <phoneticPr fontId="1"/>
  </si>
  <si>
    <t>n ビット目が 0 : デジタル出力 n+32 は AWG からのトリガでリスタートしません
n ビット目が 1 : デジタル出力 n+32 は AWG からのトリガでリスタートします</t>
    <rPh sb="5" eb="6">
      <t>メシュツリョク</t>
    </rPh>
    <phoneticPr fontId="1"/>
  </si>
  <si>
    <t>n ビット目が 0 : デジタル出力 n は AWG からのトリガで一時停止しません
n ビット目が 1 : デジタル出力 n は AWG からのトリガで一時停止します</t>
    <rPh sb="5" eb="6">
      <t>メ</t>
    </rPh>
    <rPh sb="16" eb="18">
      <t>シュツリョク</t>
    </rPh>
    <rPh sb="34" eb="38">
      <t>イチジテイシ</t>
    </rPh>
    <phoneticPr fontId="1"/>
  </si>
  <si>
    <t>n ビット目が 0 : デジタル出力 n+32 は AWG からのトリガで一時停止しません
n ビット目が 1 : デジタル出力 n+32 は AWG からのトリガで一時停止します</t>
    <rPh sb="5" eb="6">
      <t>メシュツリョク</t>
    </rPh>
    <rPh sb="37" eb="41">
      <t>イチジテイシ</t>
    </rPh>
    <phoneticPr fontId="1"/>
  </si>
  <si>
    <t>n ビット目が 0 : 一時停止中のデジタル出力 n は AWG からのトリガで処理を再開しません
n ビット目が 1 : 一時停止中のデジタル出力 n は AWG からのトリガで処理を再開します</t>
    <rPh sb="5" eb="6">
      <t>メ</t>
    </rPh>
    <rPh sb="12" eb="16">
      <t>イチジテイシ</t>
    </rPh>
    <rPh sb="16" eb="17">
      <t>チュウ</t>
    </rPh>
    <rPh sb="22" eb="24">
      <t>シュツリョク</t>
    </rPh>
    <rPh sb="40" eb="42">
      <t>ショリ</t>
    </rPh>
    <rPh sb="43" eb="45">
      <t>サイカイ</t>
    </rPh>
    <phoneticPr fontId="1"/>
  </si>
  <si>
    <t>n ビット目が 0 : 一時停止中のデジタル出力 n+32 は AWG からのトリガで処理を再開しません
n ビット目が 1 : 一時停止中のデジタル出力 n+32 は AWG からのトリガで処理を再開します</t>
    <phoneticPr fontId="1"/>
  </si>
  <si>
    <t>出力するビットパターンの数  (0 ~ 512).  0 の場合何も出力せずに動作を完了します．
初期値 : 0</t>
    <rPh sb="0" eb="2">
      <t>シュツリョク</t>
    </rPh>
    <rPh sb="12" eb="13">
      <t>カズ</t>
    </rPh>
    <rPh sb="30" eb="32">
      <t>バアイ</t>
    </rPh>
    <rPh sb="32" eb="33">
      <t>ナニ</t>
    </rPh>
    <rPh sb="34" eb="36">
      <t>シュツリョク</t>
    </rPh>
    <rPh sb="39" eb="41">
      <t>ドウサ</t>
    </rPh>
    <rPh sb="42" eb="44">
      <t>カンリョウ</t>
    </rPh>
    <rPh sb="49" eb="52">
      <t>ショキチ</t>
    </rPh>
    <phoneticPr fontId="1"/>
  </si>
  <si>
    <t>出力するビットパターン列の最初のビットパターンのイデックス (0 ~ 511) .
初期値 : 0</t>
    <rPh sb="0" eb="2">
      <t>シュツリョク</t>
    </rPh>
    <rPh sb="11" eb="12">
      <t>レツ</t>
    </rPh>
    <rPh sb="13" eb="15">
      <t>サイショ</t>
    </rPh>
    <rPh sb="42" eb="45">
      <t>ショキチ</t>
    </rPh>
    <phoneticPr fontId="1"/>
  </si>
  <si>
    <t>出力するビットパターン</t>
    <phoneticPr fontId="1"/>
  </si>
  <si>
    <t>レジスタグループ名</t>
    <rPh sb="8" eb="9">
      <t>メイ</t>
    </rPh>
    <phoneticPr fontId="1"/>
  </si>
  <si>
    <t>スタートアドレス</t>
    <phoneticPr fontId="1"/>
  </si>
  <si>
    <t>AWG 全体制御</t>
    <rPh sb="4" eb="6">
      <t>ゼンタイ</t>
    </rPh>
    <rPh sb="6" eb="8">
      <t>セイギョ</t>
    </rPh>
    <phoneticPr fontId="1"/>
  </si>
  <si>
    <t>AWG_REG_BASE</t>
  </si>
  <si>
    <t>AWG 0 制御</t>
    <rPh sb="6" eb="8">
      <t>セイギョ</t>
    </rPh>
    <phoneticPr fontId="1"/>
  </si>
  <si>
    <t>AWG_0_CTRL_REG_BASE</t>
  </si>
  <si>
    <t>AWG 1 制御</t>
    <rPh sb="6" eb="8">
      <t>セイギョ</t>
    </rPh>
    <phoneticPr fontId="1"/>
  </si>
  <si>
    <t xml:space="preserve">AWG_1_CTRL_REG_BASE </t>
  </si>
  <si>
    <t>AWG 2 制御</t>
    <rPh sb="6" eb="8">
      <t>セイギョ</t>
    </rPh>
    <phoneticPr fontId="1"/>
  </si>
  <si>
    <t>AWG_2_CTRL_REG_BASE</t>
  </si>
  <si>
    <t>AWG 3 制御</t>
    <rPh sb="6" eb="8">
      <t>セイギョ</t>
    </rPh>
    <phoneticPr fontId="1"/>
  </si>
  <si>
    <t>AWG_3_CTRL_REG_BASE</t>
  </si>
  <si>
    <t>AWG 4 制御</t>
    <rPh sb="6" eb="8">
      <t>セイギョ</t>
    </rPh>
    <phoneticPr fontId="1"/>
  </si>
  <si>
    <t>AWG_4_CTRL_REG_BASE</t>
  </si>
  <si>
    <t>AWG 5 制御</t>
    <rPh sb="6" eb="8">
      <t>セイギョ</t>
    </rPh>
    <phoneticPr fontId="1"/>
  </si>
  <si>
    <t>AWG_5_CTRL_REG_BASE</t>
  </si>
  <si>
    <t>AWG 6 制御</t>
    <rPh sb="6" eb="8">
      <t>セイギョ</t>
    </rPh>
    <phoneticPr fontId="1"/>
  </si>
  <si>
    <t>AWG_6_CTRL_REG_BASE</t>
  </si>
  <si>
    <t>AWG 7 制御</t>
    <rPh sb="6" eb="8">
      <t>セイギョ</t>
    </rPh>
    <phoneticPr fontId="1"/>
  </si>
  <si>
    <t>AWG_7_CTRL_REG_BASE</t>
  </si>
  <si>
    <t>レジスタグループ名</t>
    <phoneticPr fontId="1"/>
  </si>
  <si>
    <t>AWG n 波形全体パラメータ</t>
    <rPh sb="6" eb="8">
      <t>ハケイ</t>
    </rPh>
    <rPh sb="8" eb="10">
      <t>ゼンタイ</t>
    </rPh>
    <phoneticPr fontId="1"/>
  </si>
  <si>
    <t>AWG_n_WAVE_REG_BASE</t>
    <phoneticPr fontId="1"/>
  </si>
  <si>
    <t>AWG_n_WAVE_REG_BASE + 0x00</t>
    <phoneticPr fontId="1"/>
  </si>
  <si>
    <t>AWG 0 波形パラメータ</t>
    <rPh sb="6" eb="8">
      <t>ハケイ</t>
    </rPh>
    <phoneticPr fontId="1"/>
  </si>
  <si>
    <t>AWG_0_WAVE_REG_BASE</t>
    <phoneticPr fontId="1"/>
  </si>
  <si>
    <t>AWG n チャンク 0 パラメータ</t>
    <phoneticPr fontId="1"/>
  </si>
  <si>
    <t>AWG_n_CHUNK_0_REG_BASE</t>
    <phoneticPr fontId="1"/>
  </si>
  <si>
    <t>AWG_n_WAVE_REG_BASE + 0x40</t>
    <phoneticPr fontId="1"/>
  </si>
  <si>
    <t>AWG 1 波形パラメータ</t>
    <rPh sb="6" eb="8">
      <t>ハケイ</t>
    </rPh>
    <phoneticPr fontId="1"/>
  </si>
  <si>
    <t>AWG_1_WAVE_REG_BASE</t>
    <phoneticPr fontId="1"/>
  </si>
  <si>
    <t>0x1400</t>
    <phoneticPr fontId="1"/>
  </si>
  <si>
    <t>AWG n チャンク 1 パラメータ</t>
    <phoneticPr fontId="1"/>
  </si>
  <si>
    <t>AWG_n_CHUNK_1_REG_BASE</t>
    <phoneticPr fontId="1"/>
  </si>
  <si>
    <t>AWG_n_WAVE_REG_BASE + 0x50</t>
    <phoneticPr fontId="1"/>
  </si>
  <si>
    <t>AWG 2 波形パラメータ</t>
    <phoneticPr fontId="1"/>
  </si>
  <si>
    <t>AWG_2_WAVE_REG_BASE</t>
    <phoneticPr fontId="1"/>
  </si>
  <si>
    <t>0x1800</t>
    <phoneticPr fontId="1"/>
  </si>
  <si>
    <t>AWG n チャンク 2 パラメータ</t>
    <phoneticPr fontId="1"/>
  </si>
  <si>
    <t>AWG_n_CHUNK_2_REG_BASE</t>
    <phoneticPr fontId="1"/>
  </si>
  <si>
    <t>AWG_n_WAVE_REG_BASE + 0x60</t>
    <phoneticPr fontId="1"/>
  </si>
  <si>
    <t>AWG 3 波形パラメータ</t>
    <rPh sb="6" eb="8">
      <t>ハケイ</t>
    </rPh>
    <phoneticPr fontId="1"/>
  </si>
  <si>
    <t>AWG_3_WAVE_REG_BASE</t>
    <phoneticPr fontId="1"/>
  </si>
  <si>
    <t>0x1C00</t>
    <phoneticPr fontId="1"/>
  </si>
  <si>
    <t>AWG n チャンク 3 パラメータ</t>
    <phoneticPr fontId="1"/>
  </si>
  <si>
    <t>AWG_n_CHUNK_3_REG_BASE</t>
    <phoneticPr fontId="1"/>
  </si>
  <si>
    <t>AWG_n_WAVE_REG_BASE + 0x70</t>
    <phoneticPr fontId="1"/>
  </si>
  <si>
    <t>AWG 4 波形パラメータ</t>
    <rPh sb="6" eb="8">
      <t>ハケイ</t>
    </rPh>
    <phoneticPr fontId="1"/>
  </si>
  <si>
    <t>AWG_4_WAVE_REG_BASE</t>
    <phoneticPr fontId="1"/>
  </si>
  <si>
    <t>0x2000</t>
    <phoneticPr fontId="1"/>
  </si>
  <si>
    <t>AWG n チャンク 4 パラメータ</t>
    <phoneticPr fontId="1"/>
  </si>
  <si>
    <t>AWG_n_CHUNK_4_REG_BASE</t>
    <phoneticPr fontId="1"/>
  </si>
  <si>
    <t>AWG_n_WAVE_REG_BASE + 0x80</t>
    <phoneticPr fontId="1"/>
  </si>
  <si>
    <t>AWG 5 波形パラメータ</t>
    <rPh sb="6" eb="8">
      <t>ハケイ</t>
    </rPh>
    <phoneticPr fontId="1"/>
  </si>
  <si>
    <t>AWG_5_WAVE_REG_BASE</t>
    <phoneticPr fontId="1"/>
  </si>
  <si>
    <t>0x2400</t>
    <phoneticPr fontId="1"/>
  </si>
  <si>
    <t>AWG n チャンク 5 パラメータ</t>
    <phoneticPr fontId="1"/>
  </si>
  <si>
    <t>AWG_n_CHUNK_5_REG_BASE</t>
    <phoneticPr fontId="1"/>
  </si>
  <si>
    <t>AWG_n_WAVE_REG_BASE + 0x90</t>
    <phoneticPr fontId="1"/>
  </si>
  <si>
    <t>AWG 6 波形パラメータ</t>
    <rPh sb="6" eb="8">
      <t>ハケイ</t>
    </rPh>
    <phoneticPr fontId="1"/>
  </si>
  <si>
    <t>AWG_6_WAVE_REG_BASE</t>
    <phoneticPr fontId="1"/>
  </si>
  <si>
    <t>0x2800</t>
    <phoneticPr fontId="1"/>
  </si>
  <si>
    <t>AWG n チャンク 6 パラメータ</t>
    <phoneticPr fontId="1"/>
  </si>
  <si>
    <t>AWG_n_CHUNK_6_REG_BASE</t>
    <phoneticPr fontId="1"/>
  </si>
  <si>
    <t>AWG_n_WAVE_REG_BASE + 0xA0</t>
    <phoneticPr fontId="1"/>
  </si>
  <si>
    <t>AWG 7 波形パラメータ</t>
    <rPh sb="6" eb="8">
      <t>ハケイ</t>
    </rPh>
    <phoneticPr fontId="1"/>
  </si>
  <si>
    <t>AWG_7_WAVE_REG_BASE</t>
    <phoneticPr fontId="1"/>
  </si>
  <si>
    <t>0x2C00</t>
    <phoneticPr fontId="1"/>
  </si>
  <si>
    <t>AWG n チャンク 7 パラメータ</t>
    <phoneticPr fontId="1"/>
  </si>
  <si>
    <t>AWG_n_CHUNK_7_REG_BASE</t>
    <phoneticPr fontId="1"/>
  </si>
  <si>
    <t>AWG_n_WAVE_REG_BASE + 0xB0</t>
    <phoneticPr fontId="1"/>
  </si>
  <si>
    <t>AWG n チャンク 8 パラメータ</t>
    <phoneticPr fontId="1"/>
  </si>
  <si>
    <t>AWG_n_CHUNK_8_REG_BASE</t>
    <phoneticPr fontId="1"/>
  </si>
  <si>
    <t>AWG_n_WAVE_REG_BASE + 0xC0</t>
    <phoneticPr fontId="1"/>
  </si>
  <si>
    <t>AWG n チャンク 9 パラメータ</t>
    <phoneticPr fontId="1"/>
  </si>
  <si>
    <t>AWG_n_CHUNK_9_REG_BASE</t>
    <phoneticPr fontId="1"/>
  </si>
  <si>
    <t>AWG_n_WAVE_REG_BASE + 0xD0</t>
    <phoneticPr fontId="1"/>
  </si>
  <si>
    <t>AWG n チャンク 10 パラメータ</t>
    <phoneticPr fontId="1"/>
  </si>
  <si>
    <t>AWG_n_CHUNK_10_REG_BASE</t>
    <phoneticPr fontId="1"/>
  </si>
  <si>
    <t>AWG_n_WAVE_REG_BASE + 0xE0</t>
    <phoneticPr fontId="1"/>
  </si>
  <si>
    <t>AWG n チャンク 11 パラメータ</t>
    <phoneticPr fontId="1"/>
  </si>
  <si>
    <t>AWG_n_CHUNK_11_REG_BASE</t>
    <phoneticPr fontId="1"/>
  </si>
  <si>
    <t>AWG_n_WAVE_REG_BASE + 0xF0</t>
    <phoneticPr fontId="1"/>
  </si>
  <si>
    <t>AWG n チャンク 12 パラメータ</t>
    <phoneticPr fontId="1"/>
  </si>
  <si>
    <t>AWG_n_CHUNK_12_REG_BASE</t>
    <phoneticPr fontId="1"/>
  </si>
  <si>
    <t>AWG_n_WAVE_REG_BASE + 0x100</t>
    <phoneticPr fontId="1"/>
  </si>
  <si>
    <t>AWG n チャンク 13 パラメータ</t>
    <phoneticPr fontId="1"/>
  </si>
  <si>
    <t>AWG_n_CHUNK_13_REG_BASE</t>
    <phoneticPr fontId="1"/>
  </si>
  <si>
    <t>AWG_n_WAVE_REG_BASE + 0x110</t>
    <phoneticPr fontId="1"/>
  </si>
  <si>
    <t>AWG n チャンク 14 パラメータ</t>
    <phoneticPr fontId="1"/>
  </si>
  <si>
    <t>AWG_n_CHUNK_14_REG_BASE</t>
    <phoneticPr fontId="1"/>
  </si>
  <si>
    <t>AWG_n_WAVE_REG_BASE + 0x120</t>
    <phoneticPr fontId="1"/>
  </si>
  <si>
    <t>AWG n チャンク 15 パラメータ</t>
    <phoneticPr fontId="1"/>
  </si>
  <si>
    <t>AWG_n_CHUNK_15_REG_BASE</t>
    <phoneticPr fontId="1"/>
  </si>
  <si>
    <t>AWG_n_WAVE_REG_BASE + 0x130</t>
    <phoneticPr fontId="1"/>
  </si>
  <si>
    <t>AWG 全体制御</t>
    <rPh sb="4" eb="8">
      <t>ゼンタイセイギョ</t>
    </rPh>
    <phoneticPr fontId="1"/>
  </si>
  <si>
    <t>AWG_REG_BASE + 0x0</t>
    <phoneticPr fontId="1"/>
  </si>
  <si>
    <t>AWG のバージョン</t>
    <phoneticPr fontId="1"/>
  </si>
  <si>
    <t>制御対象 AWG 選択</t>
    <rPh sb="0" eb="4">
      <t>セイギョタイショウ</t>
    </rPh>
    <rPh sb="9" eb="11">
      <t>センタク</t>
    </rPh>
    <phoneticPr fontId="1"/>
  </si>
  <si>
    <t>AWG_REG_BASE + 0x4</t>
    <phoneticPr fontId="1"/>
  </si>
  <si>
    <t>target</t>
    <phoneticPr fontId="1"/>
  </si>
  <si>
    <r>
      <t xml:space="preserve">n ビット目が 0 : AWG n を制御対象にしません
n ビット目が 1 : AWG n を制御対象にします
</t>
    </r>
    <r>
      <rPr>
        <b/>
        <sz val="11"/>
        <color theme="1"/>
        <rFont val="游ゴシック"/>
        <family val="3"/>
        <charset val="128"/>
        <scheme val="minor"/>
      </rPr>
      <t>※このレジスタは「AWG 全体制御」レジスタグループにのみ影響を与えます</t>
    </r>
    <rPh sb="5" eb="6">
      <t>メ</t>
    </rPh>
    <rPh sb="19" eb="23">
      <t>セイギョタイショウ</t>
    </rPh>
    <rPh sb="70" eb="74">
      <t>ゼンタイセイギョ</t>
    </rPh>
    <rPh sb="86" eb="88">
      <t>エイキョウ</t>
    </rPh>
    <rPh sb="89" eb="90">
      <t>アタ</t>
    </rPh>
    <phoneticPr fontId="1"/>
  </si>
  <si>
    <t>AWG コントロール</t>
    <phoneticPr fontId="1"/>
  </si>
  <si>
    <t>AWG_REG_BASE + 0x8</t>
    <phoneticPr fontId="1"/>
  </si>
  <si>
    <t>0 : 制御対象となっている AWG のリセットを解除します
1 : 制御対象となっている AWG にリセットをかけます</t>
    <rPh sb="4" eb="8">
      <t>セイギョタイショウ</t>
    </rPh>
    <rPh sb="25" eb="27">
      <t>カイジョ</t>
    </rPh>
    <phoneticPr fontId="1"/>
  </si>
  <si>
    <t>prepare</t>
    <phoneticPr fontId="1"/>
  </si>
  <si>
    <t>0 から 1 になったとき, 制御対象となっている全 AWG がユーザ定義波形の出力準備を開始します</t>
    <rPh sb="25" eb="26">
      <t>ゼン</t>
    </rPh>
    <rPh sb="35" eb="37">
      <t>テイギ</t>
    </rPh>
    <rPh sb="37" eb="39">
      <t>ハケイ</t>
    </rPh>
    <rPh sb="40" eb="42">
      <t>シュツリョク</t>
    </rPh>
    <rPh sb="42" eb="44">
      <t>ジュンビ</t>
    </rPh>
    <rPh sb="45" eb="47">
      <t>カイシ</t>
    </rPh>
    <phoneticPr fontId="1"/>
  </si>
  <si>
    <t>0 から 1 になったとき, 制御対象となっている全 AWG がユーザ定義波形の出力を開始します</t>
    <rPh sb="25" eb="26">
      <t>ゼン</t>
    </rPh>
    <rPh sb="35" eb="37">
      <t>テイギ</t>
    </rPh>
    <rPh sb="37" eb="39">
      <t>ハケイ</t>
    </rPh>
    <rPh sb="40" eb="42">
      <t>シュツリョク</t>
    </rPh>
    <rPh sb="43" eb="45">
      <t>カイシ</t>
    </rPh>
    <phoneticPr fontId="1"/>
  </si>
  <si>
    <t>0 から 1 になったとき, 制御対象となっている全 AWG を強制停止します</t>
    <rPh sb="25" eb="26">
      <t>ゼン</t>
    </rPh>
    <rPh sb="32" eb="36">
      <t>キョウセイテイシ</t>
    </rPh>
    <phoneticPr fontId="1"/>
  </si>
  <si>
    <t>0 から 1 になったとき, 制御対象になっている全 AWG の波形出力完了フラグ (done) を 0 にします</t>
    <rPh sb="15" eb="19">
      <t>セイギョタイショウ</t>
    </rPh>
    <rPh sb="25" eb="26">
      <t>ゼン</t>
    </rPh>
    <rPh sb="32" eb="36">
      <t>ハケイシュツリョク</t>
    </rPh>
    <rPh sb="36" eb="38">
      <t>カンリョウ</t>
    </rPh>
    <phoneticPr fontId="1"/>
  </si>
  <si>
    <t>[31:5]</t>
    <phoneticPr fontId="1"/>
  </si>
  <si>
    <t>全 AWG ウェイクアップステータス</t>
    <phoneticPr fontId="1"/>
  </si>
  <si>
    <t>AWG_REG_BASE + 0xC</t>
    <phoneticPr fontId="1"/>
  </si>
  <si>
    <t>n ビット目が 0 : AWG n はリセット中です
n ビット目が 1 : AWG n はリセット中ではありません
※非制御対象の AWG のビットは常に 0 になります</t>
    <rPh sb="5" eb="6">
      <t>メ</t>
    </rPh>
    <rPh sb="50" eb="51">
      <t>チュウ</t>
    </rPh>
    <rPh sb="60" eb="65">
      <t>ヒセイギョタイショウ</t>
    </rPh>
    <rPh sb="76" eb="77">
      <t>ツネ</t>
    </rPh>
    <phoneticPr fontId="1"/>
  </si>
  <si>
    <t>全 AWG ビジーステータス</t>
    <rPh sb="0" eb="1">
      <t>ゼン</t>
    </rPh>
    <phoneticPr fontId="1"/>
  </si>
  <si>
    <t>AWG_REG_BASE + 0x10</t>
    <phoneticPr fontId="1"/>
  </si>
  <si>
    <t>n ビット目が 0 : AWG n は待機もしくはリセット中です
n ビット目が 1 : AWG n は 波形出力準備中, 波形出力開始待ち, 波形出力中の何れかの状態です
※非制御対象の AWG のビットは常に 0 になります</t>
    <rPh sb="5" eb="6">
      <t>メ</t>
    </rPh>
    <rPh sb="19" eb="21">
      <t>タイキ</t>
    </rPh>
    <rPh sb="29" eb="30">
      <t>チュウ</t>
    </rPh>
    <rPh sb="53" eb="60">
      <t>ハケイシュツリョクジュンビチュウ</t>
    </rPh>
    <rPh sb="62" eb="64">
      <t>ハケイ</t>
    </rPh>
    <rPh sb="64" eb="66">
      <t>シュツリョク</t>
    </rPh>
    <rPh sb="66" eb="68">
      <t>カイシ</t>
    </rPh>
    <rPh sb="68" eb="69">
      <t>マ</t>
    </rPh>
    <rPh sb="72" eb="74">
      <t>ハケイ</t>
    </rPh>
    <rPh sb="74" eb="76">
      <t>シュツリョク</t>
    </rPh>
    <rPh sb="76" eb="77">
      <t>チュウ</t>
    </rPh>
    <rPh sb="78" eb="79">
      <t>イズ</t>
    </rPh>
    <rPh sb="82" eb="84">
      <t>ジョウタイ</t>
    </rPh>
    <phoneticPr fontId="1"/>
  </si>
  <si>
    <t>全 AWG レディステータス</t>
    <rPh sb="0" eb="1">
      <t>ゼン</t>
    </rPh>
    <phoneticPr fontId="1"/>
  </si>
  <si>
    <t>AWG_REG_BASE + 0x14</t>
    <phoneticPr fontId="1"/>
  </si>
  <si>
    <t>ready</t>
    <phoneticPr fontId="1"/>
  </si>
  <si>
    <t>n ビット目が 0 : AWG n のユーザ定義波形の出力準備が完了していません
n ビット目が 1 : AWG n のユーザ定義波形の出力準備が完了しています
※非制御対象の AWG のビットは常に 0 になります</t>
    <rPh sb="5" eb="6">
      <t>メ</t>
    </rPh>
    <rPh sb="22" eb="26">
      <t>テイギハケイ</t>
    </rPh>
    <phoneticPr fontId="1"/>
  </si>
  <si>
    <t>全 AWG 完了ステータス</t>
    <rPh sb="6" eb="8">
      <t>カンリョウ</t>
    </rPh>
    <phoneticPr fontId="1"/>
  </si>
  <si>
    <t>AWG_REG_BASE + 0x18</t>
    <phoneticPr fontId="1"/>
  </si>
  <si>
    <t>n ビット目が 0 : AWG n のユーザ定義波形の出力が完了していません
n ビット目が 1 : AWG n のユーザ定義波形の出力が完了しています
AWG を強制停止した場合も 1 になります
※非制御対象の AWG のビットは常に 0 になります</t>
    <phoneticPr fontId="1"/>
  </si>
  <si>
    <t>全 AWG リードエラー</t>
    <rPh sb="0" eb="1">
      <t>ゼン</t>
    </rPh>
    <phoneticPr fontId="1"/>
  </si>
  <si>
    <t>AWG_REG_BASE + 0x1C</t>
    <phoneticPr fontId="1"/>
  </si>
  <si>
    <t>read err</t>
    <phoneticPr fontId="1"/>
  </si>
  <si>
    <t>n ビット目が0 : AWG n は, 波形読み出しエラーを起こしていません
n ビット目が1 : AWG n は, 波形読み出しエラーを起こしました
AWG をリセットすると 0 に戻ります
※非制御対象の AWG のビットは常に 0 になります</t>
    <rPh sb="5" eb="6">
      <t>メ</t>
    </rPh>
    <rPh sb="20" eb="22">
      <t>ハケイ</t>
    </rPh>
    <rPh sb="22" eb="23">
      <t>ヨ</t>
    </rPh>
    <rPh sb="24" eb="25">
      <t>ダ</t>
    </rPh>
    <rPh sb="30" eb="31">
      <t>オ</t>
    </rPh>
    <rPh sb="44" eb="45">
      <t>メ</t>
    </rPh>
    <rPh sb="59" eb="62">
      <t>ハケイヨ</t>
    </rPh>
    <rPh sb="63" eb="64">
      <t>ダ</t>
    </rPh>
    <rPh sb="69" eb="70">
      <t>オ</t>
    </rPh>
    <rPh sb="92" eb="93">
      <t>モド</t>
    </rPh>
    <phoneticPr fontId="1"/>
  </si>
  <si>
    <t>全 AWG 波形データ供給エラー</t>
    <rPh sb="0" eb="1">
      <t>ゼン</t>
    </rPh>
    <rPh sb="6" eb="8">
      <t>ハケイ</t>
    </rPh>
    <rPh sb="11" eb="13">
      <t>キョウキュウ</t>
    </rPh>
    <phoneticPr fontId="1"/>
  </si>
  <si>
    <t>AWG_REG_BASE + 0x20</t>
    <phoneticPr fontId="1"/>
  </si>
  <si>
    <t>sample shortage</t>
    <phoneticPr fontId="1"/>
  </si>
  <si>
    <t>n ビット目が0 : AWG n は, 波形サンプル供給エラーを起こしていません
n ビット目が1 : AWG n は, 波形サンプル供給エラーを起こしました
AWG をリセットすると 0 に戻ります
※非制御対象の AWG のビットは常に 0 になります</t>
    <phoneticPr fontId="1"/>
  </si>
  <si>
    <t>AWG n 制御</t>
    <rPh sb="6" eb="8">
      <t>セイギョ</t>
    </rPh>
    <phoneticPr fontId="1"/>
  </si>
  <si>
    <t>AWG nコントロール</t>
    <phoneticPr fontId="1"/>
  </si>
  <si>
    <t>AWG_n_CTRL_REG_BASE + 0x0</t>
    <phoneticPr fontId="1"/>
  </si>
  <si>
    <t>0 : AWG n のリセットを解除します
1 : AWG n にリセットをかけます</t>
    <rPh sb="16" eb="18">
      <t>カイジョ</t>
    </rPh>
    <phoneticPr fontId="1"/>
  </si>
  <si>
    <t>0 から 1 になったとき AWG n がユーザ定義波形の出力準備を開始します</t>
    <rPh sb="24" eb="26">
      <t>テイギ</t>
    </rPh>
    <rPh sb="26" eb="28">
      <t>ハケイ</t>
    </rPh>
    <rPh sb="29" eb="31">
      <t>シュツリョク</t>
    </rPh>
    <rPh sb="31" eb="33">
      <t>ジュンビ</t>
    </rPh>
    <rPh sb="34" eb="36">
      <t>カイシ</t>
    </rPh>
    <phoneticPr fontId="1"/>
  </si>
  <si>
    <t>0 から 1 になったとき AWG n がユーザ定義波形の出力を開始します</t>
    <rPh sb="24" eb="26">
      <t>テイギ</t>
    </rPh>
    <rPh sb="26" eb="28">
      <t>ハケイ</t>
    </rPh>
    <rPh sb="29" eb="31">
      <t>シュツリョク</t>
    </rPh>
    <rPh sb="32" eb="34">
      <t>カイシ</t>
    </rPh>
    <phoneticPr fontId="1"/>
  </si>
  <si>
    <t>0 から 1 になったとき AWG n を強制停止します</t>
    <rPh sb="21" eb="25">
      <t>キョウセイテイシ</t>
    </rPh>
    <phoneticPr fontId="1"/>
  </si>
  <si>
    <t>0 から 1 になったとき, AWG n の波形出力完了フラグ (done) を 0 にします</t>
    <rPh sb="22" eb="26">
      <t>ハケイシュツリョク</t>
    </rPh>
    <rPh sb="26" eb="28">
      <t>カンリョウ</t>
    </rPh>
    <phoneticPr fontId="1"/>
  </si>
  <si>
    <t>AWG n ステータス</t>
    <phoneticPr fontId="1"/>
  </si>
  <si>
    <t>AWG_n_CTRL_REG_BASE + 0x4</t>
    <phoneticPr fontId="1"/>
  </si>
  <si>
    <t>0 : AWG n はリセット中です
1 : AWG n はリセット中ではありません</t>
    <rPh sb="34" eb="35">
      <t>チュウ</t>
    </rPh>
    <phoneticPr fontId="1"/>
  </si>
  <si>
    <t>0 : AWG n は待機もしくはリセット中です
1 : AWG n は 波形出力準備中, 波形出力開始待ち, 波形出力中の何れかの状態です</t>
    <rPh sb="11" eb="13">
      <t>タイキ</t>
    </rPh>
    <rPh sb="21" eb="22">
      <t>チュウ</t>
    </rPh>
    <phoneticPr fontId="1"/>
  </si>
  <si>
    <t>0 : AWG n のユーザ定義波形の出力準備が完了していません
1 : AWG n のユーザ定義波形の出力準備が完了しています</t>
    <phoneticPr fontId="1"/>
  </si>
  <si>
    <t>0 : AWG n のユーザ定義波形の出力が完了していません
1 : AWG n のユーザ定義波形の出力が完了しています
AWG を強制停止した場合も 1 になります</t>
    <rPh sb="65" eb="69">
      <t>キョウセイテイシ</t>
    </rPh>
    <rPh sb="71" eb="73">
      <t>バアイ</t>
    </rPh>
    <phoneticPr fontId="1"/>
  </si>
  <si>
    <t>AWG n エラー</t>
    <phoneticPr fontId="1"/>
  </si>
  <si>
    <t>AWG_n_CTRL_REG_BASE + 0x8</t>
    <phoneticPr fontId="1"/>
  </si>
  <si>
    <t>0 : AWG n は, 波形読み出しエラーを起こしていません
1 : AWG n は, 波形読み出しエラーを起こしました
AWG をリセットすると 0 に戻ります</t>
    <phoneticPr fontId="1"/>
  </si>
  <si>
    <t>0 : AWG n は, サンプル供給エラーを起こしていません
1 : AWG n は, サンプル供給エラーを起こしました
AWG をリセットすると 0 に戻ります</t>
    <rPh sb="17" eb="19">
      <t>キョウキュウ</t>
    </rPh>
    <rPh sb="23" eb="24">
      <t>オ</t>
    </rPh>
    <rPh sb="49" eb="51">
      <t>キョウキュウ</t>
    </rPh>
    <rPh sb="55" eb="56">
      <t>オ</t>
    </rPh>
    <phoneticPr fontId="1"/>
  </si>
  <si>
    <t>予約 (116 Bytes)</t>
    <rPh sb="0" eb="2">
      <t>ヨヤク</t>
    </rPh>
    <phoneticPr fontId="1"/>
  </si>
  <si>
    <t>WAITワード数</t>
    <rPh sb="7" eb="8">
      <t>スウ</t>
    </rPh>
    <phoneticPr fontId="1"/>
  </si>
  <si>
    <t>AWG_n_WAVE_REG_BASE + 0x000</t>
  </si>
  <si>
    <t>num wait words</t>
    <phoneticPr fontId="1"/>
  </si>
  <si>
    <t>ユーザ定義波形の先頭に付加される 0 データの AWG ワード数
(設定可能範囲 : 0～0xFFFF_FFFF)</t>
    <rPh sb="3" eb="7">
      <t>テイギハケイ</t>
    </rPh>
    <rPh sb="8" eb="10">
      <t>セントウ</t>
    </rPh>
    <rPh sb="11" eb="13">
      <t>フカ</t>
    </rPh>
    <rPh sb="31" eb="32">
      <t>スウ</t>
    </rPh>
    <phoneticPr fontId="1"/>
  </si>
  <si>
    <t>波形シーケンスリピート回数</t>
    <rPh sb="0" eb="2">
      <t>ハケイ</t>
    </rPh>
    <rPh sb="11" eb="13">
      <t>カイスウ</t>
    </rPh>
    <phoneticPr fontId="1"/>
  </si>
  <si>
    <t>AWG_n_WAVE_REG_BASE + 0x004</t>
  </si>
  <si>
    <t>num  seq repeats</t>
    <phoneticPr fontId="1"/>
  </si>
  <si>
    <t>波形シーケンスを繰り返す回数
(設定可能範囲 : 1～0xFFFF_FFFF)</t>
    <rPh sb="0" eb="2">
      <t>ハケイ</t>
    </rPh>
    <rPh sb="8" eb="9">
      <t>ク</t>
    </rPh>
    <phoneticPr fontId="1"/>
  </si>
  <si>
    <t>チャンク数</t>
    <rPh sb="4" eb="5">
      <t>スウ</t>
    </rPh>
    <phoneticPr fontId="1"/>
  </si>
  <si>
    <t>AWG_n_WAVE_REG_BASE + 0x008</t>
  </si>
  <si>
    <t>num chunks</t>
    <phoneticPr fontId="1"/>
  </si>
  <si>
    <t>ユーザが定義した波形チャンクの数
(設定可能範囲 : 1～16)</t>
    <rPh sb="4" eb="6">
      <t>テイギ</t>
    </rPh>
    <rPh sb="8" eb="10">
      <t>ハケイ</t>
    </rPh>
    <rPh sb="15" eb="16">
      <t>カズ</t>
    </rPh>
    <phoneticPr fontId="1"/>
  </si>
  <si>
    <t>波形送信可能ブロック周期</t>
    <rPh sb="0" eb="2">
      <t>ハケイ</t>
    </rPh>
    <rPh sb="2" eb="6">
      <t>ソウシンカノウ</t>
    </rPh>
    <rPh sb="10" eb="12">
      <t>シュウキ</t>
    </rPh>
    <phoneticPr fontId="1"/>
  </si>
  <si>
    <t>AWG_n_WAVE_REG_BASE + 0x00C</t>
  </si>
  <si>
    <t>wave block interval</t>
    <phoneticPr fontId="1"/>
  </si>
  <si>
    <t>予約 (48 Bytes)</t>
    <phoneticPr fontId="1"/>
  </si>
  <si>
    <t>AWG n チャンク m パラメータ</t>
    <phoneticPr fontId="1"/>
  </si>
  <si>
    <t>波形パートアドレス</t>
    <rPh sb="0" eb="2">
      <t>ハケイ</t>
    </rPh>
    <phoneticPr fontId="1"/>
  </si>
  <si>
    <t>AWG_n_CHUNK_m_REG_BASE + 0x0</t>
    <phoneticPr fontId="1"/>
  </si>
  <si>
    <t>wave start addr</t>
    <phoneticPr fontId="1"/>
  </si>
  <si>
    <t>波形パートワード数</t>
    <rPh sb="0" eb="2">
      <t>ハケイ</t>
    </rPh>
    <rPh sb="8" eb="9">
      <t>スウ</t>
    </rPh>
    <phoneticPr fontId="1"/>
  </si>
  <si>
    <t>AWG_n_CHUNK_m_REG_BASE + 0x4</t>
    <phoneticPr fontId="1"/>
  </si>
  <si>
    <t>num wave words</t>
    <phoneticPr fontId="1"/>
  </si>
  <si>
    <t>ポストブランクワード数</t>
    <rPh sb="10" eb="11">
      <t>スウ</t>
    </rPh>
    <phoneticPr fontId="1"/>
  </si>
  <si>
    <t>AWG_n_CHUNK_m_REG_BASE + 0x8</t>
    <phoneticPr fontId="1"/>
  </si>
  <si>
    <t>num blank words</t>
    <phoneticPr fontId="1"/>
  </si>
  <si>
    <t>ポストブランクの AWG ワード数
(設定可能範囲 : 0～0xFFFF_FFFF)</t>
    <rPh sb="16" eb="17">
      <t>スウ</t>
    </rPh>
    <phoneticPr fontId="1"/>
  </si>
  <si>
    <t>チャンクリピート回数</t>
    <rPh sb="8" eb="10">
      <t>カイスウ</t>
    </rPh>
    <phoneticPr fontId="1"/>
  </si>
  <si>
    <t>AWG_n_CHUNK_m_REG_BASE + 0xC</t>
    <phoneticPr fontId="1"/>
  </si>
  <si>
    <t>num chunk repeats</t>
    <phoneticPr fontId="1"/>
  </si>
  <si>
    <t>波形チャンクを繰り返す回数
(設定可能範囲 : 1～0xFFFF_FFFF)</t>
    <rPh sb="0" eb="2">
      <t>ハケイ</t>
    </rPh>
    <rPh sb="7" eb="8">
      <t>ク</t>
    </rPh>
    <rPh sb="9" eb="10">
      <t>カエ</t>
    </rPh>
    <rPh sb="11" eb="13">
      <t>カイスウ</t>
    </rPh>
    <phoneticPr fontId="1"/>
  </si>
  <si>
    <t>0x0480
      -
0x0FFF</t>
    <phoneticPr fontId="1"/>
  </si>
  <si>
    <t>0 から 1 になったとき, 制御対象となっている全 AWG の動作を一時停止します</t>
    <rPh sb="25" eb="26">
      <t>ゼン</t>
    </rPh>
    <rPh sb="32" eb="34">
      <t>ドウサ</t>
    </rPh>
    <rPh sb="35" eb="39">
      <t>イチジテイシ</t>
    </rPh>
    <phoneticPr fontId="1"/>
  </si>
  <si>
    <t>0 から 1 になったとき, 制御対象になっている全 AWG の動作を再開します</t>
    <rPh sb="15" eb="19">
      <t>セイギョタイショウ</t>
    </rPh>
    <rPh sb="25" eb="26">
      <t>ゼン</t>
    </rPh>
    <rPh sb="32" eb="34">
      <t>ドウサ</t>
    </rPh>
    <rPh sb="35" eb="37">
      <t>サイカイ</t>
    </rPh>
    <phoneticPr fontId="1"/>
  </si>
  <si>
    <t>予約 (88 Bytes)</t>
    <rPh sb="0" eb="2">
      <t>ヨヤク</t>
    </rPh>
    <phoneticPr fontId="1"/>
  </si>
  <si>
    <t>AWG_REG_BASE + 0x24</t>
    <phoneticPr fontId="1"/>
  </si>
  <si>
    <t>全 AWG 一時停止ステータス</t>
    <rPh sb="0" eb="1">
      <t>ゼン</t>
    </rPh>
    <rPh sb="6" eb="10">
      <t>イチジテイシ</t>
    </rPh>
    <phoneticPr fontId="1"/>
  </si>
  <si>
    <t>n ビット目が0 : AWG n は一時停止中ではありません
n ビット目が1 : AWG n は一時停止中です
※非制御対象の AWG のビットは常に 0 になります</t>
    <rPh sb="18" eb="22">
      <t>イチジテイシ</t>
    </rPh>
    <rPh sb="22" eb="23">
      <t>チュウ</t>
    </rPh>
    <phoneticPr fontId="1"/>
  </si>
  <si>
    <t>0 から 1 になったとき, AWG n の動作を一時停止します</t>
    <rPh sb="22" eb="24">
      <t>ドウサ</t>
    </rPh>
    <rPh sb="25" eb="29">
      <t>イチジテイシ</t>
    </rPh>
    <phoneticPr fontId="1"/>
  </si>
  <si>
    <t>0 から 1 になったとき, AWG n の動作を再開します</t>
    <rPh sb="22" eb="24">
      <t>ドウサ</t>
    </rPh>
    <rPh sb="25" eb="27">
      <t>サイカイ</t>
    </rPh>
    <phoneticPr fontId="1"/>
  </si>
  <si>
    <t>0 : AWG n は一時停止中ではありません
1 : AWG n は一時停止中です</t>
    <rPh sb="11" eb="16">
      <t>イチジテイシチュウ</t>
    </rPh>
    <phoneticPr fontId="1"/>
  </si>
  <si>
    <t>ユーザ定義波形を送信開始可能なタイミングの周期．(初期値 = 1)
設定値を n とすると，128*n サンプル分の周期でユーザ定義波形を送信開始可能なタイミングが
訪れます.
(設定可能範囲 : 1～0xFFFF_FFFF)</t>
    <rPh sb="3" eb="5">
      <t>テイギ</t>
    </rPh>
    <rPh sb="5" eb="7">
      <t>ハケイ</t>
    </rPh>
    <rPh sb="8" eb="10">
      <t>ソウシン</t>
    </rPh>
    <rPh sb="10" eb="12">
      <t>カイシ</t>
    </rPh>
    <rPh sb="12" eb="14">
      <t>カノウ</t>
    </rPh>
    <rPh sb="21" eb="23">
      <t>シュウキ</t>
    </rPh>
    <rPh sb="34" eb="37">
      <t>セッテイアタイ</t>
    </rPh>
    <rPh sb="56" eb="57">
      <t>ブン</t>
    </rPh>
    <rPh sb="58" eb="60">
      <t>シュウキ</t>
    </rPh>
    <rPh sb="71" eb="73">
      <t>カイシ</t>
    </rPh>
    <rPh sb="73" eb="75">
      <t>カノウ</t>
    </rPh>
    <rPh sb="83" eb="84">
      <t>オトズ</t>
    </rPh>
    <phoneticPr fontId="1"/>
  </si>
  <si>
    <t>[31:8]</t>
    <phoneticPr fontId="1"/>
  </si>
  <si>
    <t>[8:0]</t>
    <phoneticPr fontId="1"/>
  </si>
  <si>
    <t>[75:0]</t>
    <phoneticPr fontId="1"/>
  </si>
  <si>
    <t>予約 (80 Bytes)</t>
    <phoneticPr fontId="1"/>
  </si>
  <si>
    <t>ワード 50331647</t>
    <phoneticPr fontId="1"/>
  </si>
  <si>
    <t>0xBFFF_FFC0</t>
    <phoneticPr fontId="1"/>
  </si>
  <si>
    <t>ワード 50331648</t>
    <phoneticPr fontId="1"/>
  </si>
  <si>
    <t>0xC013_FFC0</t>
    <phoneticPr fontId="1"/>
  </si>
  <si>
    <t>ワード 50352127</t>
    <phoneticPr fontId="1"/>
  </si>
  <si>
    <t>未割当</t>
    <rPh sb="0" eb="3">
      <t>ミワリアテ</t>
    </rPh>
    <phoneticPr fontId="1"/>
  </si>
  <si>
    <t>ワード 58720256</t>
    <phoneticPr fontId="1"/>
  </si>
  <si>
    <t>0xE013_FFC0</t>
    <phoneticPr fontId="1"/>
  </si>
  <si>
    <t>ワード 58740735</t>
    <phoneticPr fontId="1"/>
  </si>
  <si>
    <t>サイズ (Bytes)</t>
    <phoneticPr fontId="1"/>
  </si>
  <si>
    <t>512 M</t>
    <phoneticPr fontId="1"/>
  </si>
  <si>
    <t>1280 K</t>
    <phoneticPr fontId="1"/>
  </si>
  <si>
    <t>0xC013_FFFF</t>
    <phoneticPr fontId="1"/>
  </si>
  <si>
    <t>0xE013_FFFF</t>
    <phoneticPr fontId="1"/>
  </si>
  <si>
    <t>キャプチャディレイ</t>
    <phoneticPr fontId="1"/>
  </si>
  <si>
    <t>キャプチャターゲット</t>
    <phoneticPr fontId="1"/>
  </si>
  <si>
    <t>キャプチャステップ 0</t>
    <phoneticPr fontId="1"/>
  </si>
  <si>
    <t>キャプチャステップ 1</t>
    <phoneticPr fontId="1"/>
  </si>
  <si>
    <t>キャプチャステップ N</t>
    <phoneticPr fontId="1"/>
  </si>
  <si>
    <t>余り</t>
    <rPh sb="0" eb="1">
      <t>アマ</t>
    </rPh>
    <phoneticPr fontId="1"/>
  </si>
  <si>
    <t>No Data</t>
    <phoneticPr fontId="1"/>
  </si>
  <si>
    <r>
      <t>S</t>
    </r>
    <r>
      <rPr>
        <vertAlign val="subscript"/>
        <sz val="14"/>
        <color theme="1"/>
        <rFont val="游ゴシック"/>
        <family val="3"/>
        <charset val="128"/>
        <scheme val="minor"/>
      </rPr>
      <t>0</t>
    </r>
    <phoneticPr fontId="1"/>
  </si>
  <si>
    <r>
      <t>S</t>
    </r>
    <r>
      <rPr>
        <vertAlign val="subscript"/>
        <sz val="14"/>
        <color theme="1"/>
        <rFont val="游ゴシック"/>
        <family val="3"/>
        <charset val="128"/>
        <scheme val="minor"/>
      </rPr>
      <t>m-1</t>
    </r>
    <phoneticPr fontId="1"/>
  </si>
  <si>
    <r>
      <t>S</t>
    </r>
    <r>
      <rPr>
        <vertAlign val="subscript"/>
        <sz val="14"/>
        <color theme="1"/>
        <rFont val="游ゴシック"/>
        <family val="3"/>
        <charset val="128"/>
        <scheme val="minor"/>
      </rPr>
      <t>m</t>
    </r>
    <phoneticPr fontId="1"/>
  </si>
  <si>
    <r>
      <t>S</t>
    </r>
    <r>
      <rPr>
        <vertAlign val="subscript"/>
        <sz val="14"/>
        <color theme="1"/>
        <rFont val="游ゴシック"/>
        <family val="3"/>
        <charset val="128"/>
        <scheme val="minor"/>
      </rPr>
      <t>2m-1</t>
    </r>
    <phoneticPr fontId="1"/>
  </si>
  <si>
    <r>
      <t>S</t>
    </r>
    <r>
      <rPr>
        <vertAlign val="subscript"/>
        <sz val="14"/>
        <color theme="1"/>
        <rFont val="游ゴシック"/>
        <family val="3"/>
        <charset val="128"/>
        <scheme val="minor"/>
      </rPr>
      <t>(n-1)m</t>
    </r>
    <phoneticPr fontId="1"/>
  </si>
  <si>
    <r>
      <t>S</t>
    </r>
    <r>
      <rPr>
        <vertAlign val="subscript"/>
        <sz val="14"/>
        <color theme="1"/>
        <rFont val="游ゴシック"/>
        <family val="3"/>
        <charset val="128"/>
        <scheme val="minor"/>
      </rPr>
      <t>nm-1</t>
    </r>
    <phoneticPr fontId="1"/>
  </si>
  <si>
    <r>
      <rPr>
        <sz val="12"/>
        <color theme="1"/>
        <rFont val="游ゴシック"/>
        <family val="3"/>
        <charset val="128"/>
        <scheme val="minor"/>
      </rPr>
      <t>ΣS</t>
    </r>
    <r>
      <rPr>
        <vertAlign val="subscript"/>
        <sz val="12"/>
        <color theme="1"/>
        <rFont val="游ゴシック"/>
        <family val="3"/>
        <charset val="128"/>
        <scheme val="minor"/>
      </rPr>
      <t>i</t>
    </r>
    <r>
      <rPr>
        <sz val="10"/>
        <color theme="1"/>
        <rFont val="游ゴシック"/>
        <family val="3"/>
        <charset val="128"/>
        <scheme val="minor"/>
      </rPr>
      <t xml:space="preserve">
</t>
    </r>
    <r>
      <rPr>
        <sz val="8"/>
        <color theme="1"/>
        <rFont val="游ゴシック"/>
        <family val="3"/>
        <charset val="128"/>
        <scheme val="minor"/>
      </rPr>
      <t>i = 0 ~ m-1</t>
    </r>
    <phoneticPr fontId="1"/>
  </si>
  <si>
    <r>
      <rPr>
        <sz val="12"/>
        <color theme="1"/>
        <rFont val="游ゴシック"/>
        <family val="3"/>
        <charset val="128"/>
        <scheme val="minor"/>
      </rPr>
      <t>ΣS</t>
    </r>
    <r>
      <rPr>
        <vertAlign val="subscript"/>
        <sz val="12"/>
        <color theme="1"/>
        <rFont val="游ゴシック"/>
        <family val="3"/>
        <charset val="128"/>
        <scheme val="minor"/>
      </rPr>
      <t>i</t>
    </r>
    <r>
      <rPr>
        <sz val="10"/>
        <color theme="1"/>
        <rFont val="游ゴシック"/>
        <family val="3"/>
        <charset val="128"/>
        <scheme val="minor"/>
      </rPr>
      <t xml:space="preserve">
</t>
    </r>
    <r>
      <rPr>
        <sz val="8"/>
        <color theme="1"/>
        <rFont val="游ゴシック"/>
        <family val="3"/>
        <charset val="128"/>
        <scheme val="minor"/>
      </rPr>
      <t>i = m ~ 2m-1</t>
    </r>
    <phoneticPr fontId="1"/>
  </si>
  <si>
    <r>
      <rPr>
        <sz val="12"/>
        <color theme="1"/>
        <rFont val="游ゴシック"/>
        <family val="3"/>
        <charset val="128"/>
        <scheme val="minor"/>
      </rPr>
      <t>ΣS</t>
    </r>
    <r>
      <rPr>
        <vertAlign val="subscript"/>
        <sz val="12"/>
        <color theme="1"/>
        <rFont val="游ゴシック"/>
        <family val="3"/>
        <charset val="128"/>
        <scheme val="minor"/>
      </rPr>
      <t>i</t>
    </r>
    <r>
      <rPr>
        <sz val="10"/>
        <color theme="1"/>
        <rFont val="游ゴシック"/>
        <family val="3"/>
        <charset val="128"/>
        <scheme val="minor"/>
      </rPr>
      <t xml:space="preserve">
</t>
    </r>
    <r>
      <rPr>
        <sz val="7"/>
        <color theme="1"/>
        <rFont val="游ゴシック"/>
        <family val="3"/>
        <charset val="128"/>
        <scheme val="minor"/>
      </rPr>
      <t>i = (n-1) m ~ nm-1</t>
    </r>
    <phoneticPr fontId="1"/>
  </si>
  <si>
    <r>
      <t>S</t>
    </r>
    <r>
      <rPr>
        <vertAlign val="subscript"/>
        <sz val="14"/>
        <color theme="1"/>
        <rFont val="游ゴシック"/>
        <family val="3"/>
        <charset val="128"/>
        <scheme val="minor"/>
      </rPr>
      <t>1</t>
    </r>
    <phoneticPr fontId="1"/>
  </si>
  <si>
    <t>閾値未満のサンプル</t>
    <rPh sb="0" eb="2">
      <t>シキイチ</t>
    </rPh>
    <rPh sb="2" eb="4">
      <t>ミマン</t>
    </rPh>
    <phoneticPr fontId="1"/>
  </si>
  <si>
    <t>閾値以上のサンプル</t>
    <rPh sb="0" eb="2">
      <t>シキイチ</t>
    </rPh>
    <rPh sb="2" eb="4">
      <t>イジョウ</t>
    </rPh>
    <phoneticPr fontId="1"/>
  </si>
  <si>
    <r>
      <t>S</t>
    </r>
    <r>
      <rPr>
        <vertAlign val="subscript"/>
        <sz val="14"/>
        <color theme="1"/>
        <rFont val="游ゴシック"/>
        <family val="3"/>
        <charset val="128"/>
        <scheme val="minor"/>
      </rPr>
      <t>n-2</t>
    </r>
    <phoneticPr fontId="1"/>
  </si>
  <si>
    <r>
      <t>S</t>
    </r>
    <r>
      <rPr>
        <vertAlign val="subscript"/>
        <sz val="14"/>
        <color theme="1"/>
        <rFont val="游ゴシック"/>
        <family val="3"/>
        <charset val="128"/>
        <scheme val="minor"/>
      </rPr>
      <t>n-1</t>
    </r>
    <phoneticPr fontId="1"/>
  </si>
  <si>
    <t>値が 1 以上のサンプル</t>
    <rPh sb="0" eb="1">
      <t>アタイ</t>
    </rPh>
    <rPh sb="5" eb="7">
      <t>イジョウ</t>
    </rPh>
    <phoneticPr fontId="1"/>
  </si>
  <si>
    <t>値が 1 未満のサンプル</t>
    <rPh sb="0" eb="1">
      <t>アタイ</t>
    </rPh>
    <rPh sb="5" eb="7">
      <t>ミマン</t>
    </rPh>
    <phoneticPr fontId="1"/>
  </si>
  <si>
    <t>キャプチャユニット全体制御</t>
    <rPh sb="9" eb="11">
      <t>ゼンタイ</t>
    </rPh>
    <rPh sb="11" eb="13">
      <t>セイギョ</t>
    </rPh>
    <phoneticPr fontId="1"/>
  </si>
  <si>
    <t>CAP_REG_BASE</t>
    <phoneticPr fontId="1"/>
  </si>
  <si>
    <t>キャプチャユニット 0 制御</t>
    <rPh sb="12" eb="14">
      <t>セイギョ</t>
    </rPh>
    <phoneticPr fontId="1"/>
  </si>
  <si>
    <t>CAP_0_CTRL_REG_BASE</t>
    <phoneticPr fontId="1"/>
  </si>
  <si>
    <t>0x20_0100</t>
    <phoneticPr fontId="1"/>
  </si>
  <si>
    <t>キャプチャユニット 1 制御</t>
    <rPh sb="12" eb="14">
      <t>セイギョ</t>
    </rPh>
    <phoneticPr fontId="1"/>
  </si>
  <si>
    <t>CAP_1_CTRL_REG_BASE</t>
    <phoneticPr fontId="1"/>
  </si>
  <si>
    <t>0x20_0200</t>
    <phoneticPr fontId="1"/>
  </si>
  <si>
    <t>キャプチャユニット 2 制御</t>
    <rPh sb="12" eb="14">
      <t>セイギョ</t>
    </rPh>
    <phoneticPr fontId="1"/>
  </si>
  <si>
    <t>CAP_2_CTRL_REG_BASE</t>
    <phoneticPr fontId="1"/>
  </si>
  <si>
    <t>0x20_0300</t>
    <phoneticPr fontId="1"/>
  </si>
  <si>
    <t>キャプチャユニット 3 制御</t>
    <rPh sb="12" eb="14">
      <t>セイギョ</t>
    </rPh>
    <phoneticPr fontId="1"/>
  </si>
  <si>
    <t>CAP_3_CTRL_REG_BASE</t>
    <phoneticPr fontId="1"/>
  </si>
  <si>
    <t>0x20_0400</t>
    <phoneticPr fontId="1"/>
  </si>
  <si>
    <t>キャプチャユニット 4 制御</t>
    <rPh sb="12" eb="14">
      <t>セイギョ</t>
    </rPh>
    <phoneticPr fontId="1"/>
  </si>
  <si>
    <t>CAP_4_CTRL_REG_BASE</t>
    <phoneticPr fontId="1"/>
  </si>
  <si>
    <t>0x20_0500</t>
    <phoneticPr fontId="1"/>
  </si>
  <si>
    <t>キャプチャユニット 5 制御</t>
    <rPh sb="12" eb="14">
      <t>セイギョ</t>
    </rPh>
    <phoneticPr fontId="1"/>
  </si>
  <si>
    <t>CAP_5_CTRL_REG_BASE</t>
    <phoneticPr fontId="1"/>
  </si>
  <si>
    <t>0x20_0600</t>
    <phoneticPr fontId="1"/>
  </si>
  <si>
    <t>キャプチャユニット 6 制御</t>
    <rPh sb="12" eb="14">
      <t>セイギョ</t>
    </rPh>
    <phoneticPr fontId="1"/>
  </si>
  <si>
    <t>CAP_6_CTRL_REG_BASE</t>
    <phoneticPr fontId="1"/>
  </si>
  <si>
    <t>0x20_0700</t>
    <phoneticPr fontId="1"/>
  </si>
  <si>
    <t>キャプチャユニット 7 制御</t>
    <rPh sb="12" eb="14">
      <t>セイギョ</t>
    </rPh>
    <phoneticPr fontId="1"/>
  </si>
  <si>
    <t>CAP_7_CTRL_REG_BASE</t>
    <phoneticPr fontId="1"/>
  </si>
  <si>
    <t>0x20_0800</t>
    <phoneticPr fontId="1"/>
  </si>
  <si>
    <t>キャプチャ 0 パラメータ制御</t>
    <phoneticPr fontId="1"/>
  </si>
  <si>
    <t>CAP_0_PARAM_REG_BASE</t>
    <phoneticPr fontId="1"/>
  </si>
  <si>
    <t>0x21_0000</t>
    <phoneticPr fontId="1"/>
  </si>
  <si>
    <t>キャプチャ 1 パラメータ制御</t>
    <phoneticPr fontId="1"/>
  </si>
  <si>
    <t xml:space="preserve">CAP_1_PARAM_REG_BASE </t>
    <phoneticPr fontId="1"/>
  </si>
  <si>
    <t>0x22_0000</t>
    <phoneticPr fontId="1"/>
  </si>
  <si>
    <t>キャプチャ 2 パラメータ制御</t>
    <phoneticPr fontId="1"/>
  </si>
  <si>
    <t>CAP_2_PARAM_REG_BASE</t>
    <phoneticPr fontId="1"/>
  </si>
  <si>
    <t>0x23_0000</t>
    <phoneticPr fontId="1"/>
  </si>
  <si>
    <t>キャプチャ 3 パラメータ制御</t>
    <phoneticPr fontId="1"/>
  </si>
  <si>
    <t>CAP_3_PARAM_REG_BASE</t>
    <phoneticPr fontId="1"/>
  </si>
  <si>
    <t>キャプチャ 4 パラメータ制御</t>
    <phoneticPr fontId="1"/>
  </si>
  <si>
    <t>CAP_4_PARAM_REG_BASE</t>
    <phoneticPr fontId="1"/>
  </si>
  <si>
    <t>0x25_0000</t>
    <phoneticPr fontId="1"/>
  </si>
  <si>
    <t>キャプチャ 5 パラメータ制御</t>
    <phoneticPr fontId="1"/>
  </si>
  <si>
    <t xml:space="preserve">CAP_5_PARAM_REG_BASE </t>
    <phoneticPr fontId="1"/>
  </si>
  <si>
    <t>0x26_0000</t>
    <phoneticPr fontId="1"/>
  </si>
  <si>
    <t>キャプチャ 6 パラメータ制御</t>
    <phoneticPr fontId="1"/>
  </si>
  <si>
    <t>CAP_6_PARAM_REG_BASE</t>
    <phoneticPr fontId="1"/>
  </si>
  <si>
    <t>0x27_0000</t>
    <phoneticPr fontId="1"/>
  </si>
  <si>
    <t>キャプチャ 7 パラメータ制御</t>
    <phoneticPr fontId="1"/>
  </si>
  <si>
    <t>CAP_7_PARAM_REG_BASE</t>
    <phoneticPr fontId="1"/>
  </si>
  <si>
    <t>キャプチャ全体制御</t>
    <rPh sb="5" eb="9">
      <t>ゼンタイセイギョ</t>
    </rPh>
    <phoneticPr fontId="1"/>
  </si>
  <si>
    <t>CAP_REG_BASE + 0x0</t>
    <phoneticPr fontId="1"/>
  </si>
  <si>
    <t>キャプチャユニットのバージョン</t>
    <phoneticPr fontId="1"/>
  </si>
  <si>
    <t>制御対象キャプチャユニット選択</t>
    <rPh sb="0" eb="4">
      <t>セイギョタイショウ</t>
    </rPh>
    <rPh sb="13" eb="15">
      <t>センタク</t>
    </rPh>
    <phoneticPr fontId="1"/>
  </si>
  <si>
    <t>CAP_REG_BASE + 0x4</t>
    <phoneticPr fontId="1"/>
  </si>
  <si>
    <r>
      <t xml:space="preserve">n ビット目が 0 : キャプチャユニット n を制御対象にしません
n ビット目が 1 : キャプチャユニット n を制御対象にします
</t>
    </r>
    <r>
      <rPr>
        <b/>
        <sz val="10"/>
        <color theme="1"/>
        <rFont val="游ゴシック"/>
        <family val="3"/>
        <charset val="128"/>
        <scheme val="minor"/>
      </rPr>
      <t>※このレジスタは「キャプチャ全体制御」レジスタグループにのみ影響を与えます</t>
    </r>
    <rPh sb="25" eb="29">
      <t>セイギョタイショウ</t>
    </rPh>
    <rPh sb="83" eb="87">
      <t>ゼンタイセイギョ</t>
    </rPh>
    <rPh sb="99" eb="101">
      <t>エイキョウ</t>
    </rPh>
    <rPh sb="102" eb="103">
      <t>アタ</t>
    </rPh>
    <phoneticPr fontId="1"/>
  </si>
  <si>
    <t>キャプチャユニットコントロール</t>
    <phoneticPr fontId="1"/>
  </si>
  <si>
    <t>CAP_REG_BASE + 0x8</t>
    <phoneticPr fontId="1"/>
  </si>
  <si>
    <t>0 : 制御対象となっているキャプチャユニットのリセットを解除します
1 : 制御対象となっているキャプチャユニットにリセットをかけます</t>
    <rPh sb="39" eb="43">
      <t>セイギョタイショウ</t>
    </rPh>
    <phoneticPr fontId="1"/>
  </si>
  <si>
    <t>0 から 1 になったとき, 制御対象となっている全キャプチャユニットが
キャプチャを開始します</t>
    <rPh sb="25" eb="26">
      <t>ゼン</t>
    </rPh>
    <rPh sb="43" eb="45">
      <t>カイシ</t>
    </rPh>
    <phoneticPr fontId="1"/>
  </si>
  <si>
    <t>0 から 1 になったとき, 制御対象となっている全キャプチャユニットを強制停止します</t>
    <rPh sb="25" eb="26">
      <t>ゼン</t>
    </rPh>
    <rPh sb="36" eb="40">
      <t>キョウセイテイシ</t>
    </rPh>
    <phoneticPr fontId="1"/>
  </si>
  <si>
    <t>0 から 1 になったとき, 制御対象となっている全キャプチャユニットの
キャプチャ完了フラグ(done) を 0 にします</t>
    <rPh sb="42" eb="44">
      <t>カンリョウ</t>
    </rPh>
    <phoneticPr fontId="1"/>
  </si>
  <si>
    <t>[31:4]</t>
    <phoneticPr fontId="1"/>
  </si>
  <si>
    <t>キャプチャ n 制御</t>
    <rPh sb="8" eb="10">
      <t>セイギョ</t>
    </rPh>
    <phoneticPr fontId="1"/>
  </si>
  <si>
    <t>キャプチャユニット n コントロール</t>
    <phoneticPr fontId="1"/>
  </si>
  <si>
    <t>CAP_n_CTRL_REG_BASE + 0x0</t>
    <phoneticPr fontId="1"/>
  </si>
  <si>
    <t>0 : キャプチャユニット n のリセットを解除します
1 : キャプチャユニット n にリセットをかけます</t>
    <rPh sb="22" eb="24">
      <t>カイジョ</t>
    </rPh>
    <phoneticPr fontId="1"/>
  </si>
  <si>
    <t>0 から 1 になったとき, キャプチャユニット n がキャプチャを開始します</t>
    <rPh sb="34" eb="36">
      <t>カイシ</t>
    </rPh>
    <phoneticPr fontId="1"/>
  </si>
  <si>
    <t>0 から 1 になったとき, キャプチャユニット n を強制停止します</t>
    <rPh sb="28" eb="32">
      <t>キョウセイテイシ</t>
    </rPh>
    <phoneticPr fontId="1"/>
  </si>
  <si>
    <t>0 から 1 になったとき, キャプチャユニット n のキャプチャ完了フラグ (done) を 0 にします</t>
    <phoneticPr fontId="1"/>
  </si>
  <si>
    <t>キャプチャユニット n ステータス</t>
    <phoneticPr fontId="1"/>
  </si>
  <si>
    <t>CAP_n_CTRL_REG_BASE + 0x4</t>
    <phoneticPr fontId="1"/>
  </si>
  <si>
    <t>0 : キャプチャユニット n はリセット中です
1 : キャプチャユニット n はリセット中ではありません</t>
    <phoneticPr fontId="1"/>
  </si>
  <si>
    <t>0 : キャプチャユニット n はキャプチャ動作中ではありません
1 : キャプチャユニット n はキャプチャ動作中です</t>
    <phoneticPr fontId="1"/>
  </si>
  <si>
    <t>0 : キャプチャユニット n のキャプチャは完了していません
1 : キャプチャユニット n のキャプチャは完了しています
キャプチャユニットを強制停止した場合も 1 になります</t>
    <phoneticPr fontId="1"/>
  </si>
  <si>
    <t>キャプチャユニット n エラー</t>
    <phoneticPr fontId="1"/>
  </si>
  <si>
    <t>CAP_n_CTRL_REG_BASE + 0x8</t>
    <phoneticPr fontId="1"/>
  </si>
  <si>
    <t>fifo overflow</t>
    <phoneticPr fontId="1"/>
  </si>
  <si>
    <t>0 : キャプチャユニット n は FIFO オーバーフローを起こしていません
1 : キャプチャユニット n は FIFO オーバーフローを起こしました
キャプチャユニットをリセットすると 0 に戻ります</t>
    <phoneticPr fontId="1"/>
  </si>
  <si>
    <t>write err</t>
    <phoneticPr fontId="1"/>
  </si>
  <si>
    <t>0 : キャプチャユニット n はキャプチャデータ転送エラーをおこしていません
1 : キャプチャユニット n はキャプチャデータ転送エラーをおこしました
キャプチャユニットをリセットすると 0 に戻ります</t>
    <phoneticPr fontId="1"/>
  </si>
  <si>
    <t>キャプチャユニット n スタートトリガマスク</t>
    <phoneticPr fontId="1"/>
  </si>
  <si>
    <t>CAP_n_CTRL_REG_BASE + 0xC</t>
    <phoneticPr fontId="1"/>
  </si>
  <si>
    <t>trig mask</t>
    <phoneticPr fontId="1"/>
  </si>
  <si>
    <t>m ビット目が 0 : キャプチャユニット n は AWG m からのスタートトリガを受け付けません
m ビット目が 1 : キャプチャユニット n は AWG m からのスタートトリガを受け付けます</t>
    <rPh sb="5" eb="6">
      <t>メ</t>
    </rPh>
    <rPh sb="43" eb="44">
      <t>ウ</t>
    </rPh>
    <rPh sb="45" eb="46">
      <t>ツ</t>
    </rPh>
    <phoneticPr fontId="1"/>
  </si>
  <si>
    <t>キャプチャ n パラメータ</t>
    <phoneticPr fontId="1"/>
  </si>
  <si>
    <t>信号処理モジュール有効/無効</t>
    <phoneticPr fontId="1"/>
  </si>
  <si>
    <t>　CAP_n_PARAM_REG_BASE + 0x0</t>
    <phoneticPr fontId="1"/>
  </si>
  <si>
    <t>sum</t>
    <phoneticPr fontId="1"/>
  </si>
  <si>
    <t>0 :「総和」を無効にします
1 :「総和」を有効にします</t>
    <rPh sb="4" eb="6">
      <t>ソウワ</t>
    </rPh>
    <rPh sb="23" eb="25">
      <t>ユウコウ</t>
    </rPh>
    <phoneticPr fontId="1"/>
  </si>
  <si>
    <t>binarization</t>
    <phoneticPr fontId="1"/>
  </si>
  <si>
    <t>0 :「二値化」を無効にします
1 :「二値化」を有効にします</t>
    <rPh sb="4" eb="7">
      <t>ニチカ</t>
    </rPh>
    <rPh sb="25" eb="27">
      <t>ユウコウ</t>
    </rPh>
    <phoneticPr fontId="1"/>
  </si>
  <si>
    <t>binary reduction</t>
    <phoneticPr fontId="1"/>
  </si>
  <si>
    <t>0 :「リダクション」を無効にします
1 :「リダクション」を有効にします</t>
    <rPh sb="31" eb="33">
      <t>ユウコウ</t>
    </rPh>
    <phoneticPr fontId="1"/>
  </si>
  <si>
    <r>
      <rPr>
        <sz val="11"/>
        <color rgb="FFFF0000"/>
        <rFont val="游ゴシック"/>
        <family val="3"/>
        <charset val="128"/>
        <scheme val="minor"/>
      </rPr>
      <t>#</t>
    </r>
    <r>
      <rPr>
        <sz val="11"/>
        <color theme="1"/>
        <rFont val="游ゴシック"/>
        <family val="2"/>
        <charset val="128"/>
        <scheme val="minor"/>
      </rPr>
      <t>キャプチャデータタイプ</t>
    </r>
    <phoneticPr fontId="1"/>
  </si>
  <si>
    <t>CAP_n_PARAM_REG_BASE + 0x4</t>
    <phoneticPr fontId="1"/>
  </si>
  <si>
    <t>cap data type</t>
    <phoneticPr fontId="1"/>
  </si>
  <si>
    <t>0 : Real データをキャプチャする
1 : I/Q データをキャプチャする</t>
    <phoneticPr fontId="1"/>
  </si>
  <si>
    <t>CAP_n_PARAM_REG_BASE + 0x8</t>
    <phoneticPr fontId="1"/>
  </si>
  <si>
    <t>capture delay</t>
    <phoneticPr fontId="1"/>
  </si>
  <si>
    <t>キャプチャ区間のキャプチャディレイ部分に含まれるキャプチャワード数
(設定可能範囲 : 0～0xFFFF_FFFF)</t>
    <rPh sb="5" eb="7">
      <t>クカン</t>
    </rPh>
    <rPh sb="17" eb="19">
      <t>ブブン</t>
    </rPh>
    <rPh sb="20" eb="21">
      <t>フク</t>
    </rPh>
    <rPh sb="32" eb="33">
      <t>スウ</t>
    </rPh>
    <phoneticPr fontId="1"/>
  </si>
  <si>
    <t>キャプチャアドレス</t>
    <phoneticPr fontId="1"/>
  </si>
  <si>
    <t>CAP_n_PARAM_REG_BASE + 0xC</t>
    <phoneticPr fontId="1"/>
  </si>
  <si>
    <t>cap addr</t>
    <phoneticPr fontId="1"/>
  </si>
  <si>
    <t>キャプチャデータを保存するアドレス ÷ 32
※キャプチャデータを保存するアドレスは 2048 の倍数でなければなりません</t>
    <rPh sb="9" eb="11">
      <t>ホゾン</t>
    </rPh>
    <phoneticPr fontId="1"/>
  </si>
  <si>
    <t>キャプチャサンプル数</t>
    <rPh sb="9" eb="10">
      <t>スウ</t>
    </rPh>
    <phoneticPr fontId="1"/>
  </si>
  <si>
    <t>CAP_n_PARAM_REG_BASE + 0x10</t>
    <phoneticPr fontId="1"/>
  </si>
  <si>
    <t>num cap samples</t>
    <phoneticPr fontId="1"/>
  </si>
  <si>
    <t>直近のキャプチャ区間で保存したしたサンプル数</t>
    <rPh sb="0" eb="2">
      <t>チョッキン</t>
    </rPh>
    <rPh sb="8" eb="10">
      <t>クカン</t>
    </rPh>
    <rPh sb="11" eb="13">
      <t>ホゾン</t>
    </rPh>
    <rPh sb="21" eb="22">
      <t>スウ</t>
    </rPh>
    <phoneticPr fontId="1"/>
  </si>
  <si>
    <r>
      <rPr>
        <sz val="11"/>
        <color rgb="FFFF0000"/>
        <rFont val="游ゴシック"/>
        <family val="3"/>
        <charset val="128"/>
        <scheme val="minor"/>
      </rPr>
      <t>#</t>
    </r>
    <r>
      <rPr>
        <sz val="11"/>
        <color theme="1"/>
        <rFont val="游ゴシック"/>
        <family val="3"/>
        <charset val="128"/>
        <scheme val="minor"/>
      </rPr>
      <t>キャプチャ</t>
    </r>
    <r>
      <rPr>
        <sz val="11"/>
        <rFont val="游ゴシック"/>
        <family val="3"/>
        <charset val="128"/>
        <scheme val="minor"/>
      </rPr>
      <t>ステップ</t>
    </r>
    <r>
      <rPr>
        <sz val="11"/>
        <color theme="1"/>
        <rFont val="游ゴシック"/>
        <family val="2"/>
        <charset val="128"/>
        <scheme val="minor"/>
      </rPr>
      <t>数</t>
    </r>
    <r>
      <rPr>
        <sz val="11"/>
        <color theme="1"/>
        <rFont val="游ゴシック"/>
        <family val="3"/>
        <charset val="128"/>
        <scheme val="minor"/>
      </rPr>
      <t xml:space="preserve"> (N)</t>
    </r>
    <rPh sb="10" eb="11">
      <t>カズ</t>
    </rPh>
    <phoneticPr fontId="1"/>
  </si>
  <si>
    <t>CAP_n_PARAM_REG_BASE + 0x14</t>
    <phoneticPr fontId="1"/>
  </si>
  <si>
    <t>num steps</t>
    <phoneticPr fontId="1"/>
  </si>
  <si>
    <t>キャプチャ区間のステップ数    (設定可能範囲 : 1 ~ 1024)</t>
    <rPh sb="5" eb="7">
      <t>クカン</t>
    </rPh>
    <rPh sb="12" eb="13">
      <t>スウ</t>
    </rPh>
    <rPh sb="18" eb="20">
      <t>セッテイ</t>
    </rPh>
    <rPh sb="20" eb="22">
      <t>カノウ</t>
    </rPh>
    <rPh sb="22" eb="24">
      <t>ハンイ</t>
    </rPh>
    <phoneticPr fontId="1"/>
  </si>
  <si>
    <r>
      <rPr>
        <sz val="10"/>
        <color rgb="FFFF0000"/>
        <rFont val="游ゴシック"/>
        <family val="3"/>
        <charset val="128"/>
        <scheme val="minor"/>
      </rPr>
      <t>#</t>
    </r>
    <r>
      <rPr>
        <sz val="10"/>
        <color theme="1"/>
        <rFont val="游ゴシック"/>
        <family val="3"/>
        <charset val="128"/>
        <scheme val="minor"/>
      </rPr>
      <t>キャプチャターゲット 0 の長さ    S(0)</t>
    </r>
    <rPh sb="15" eb="16">
      <t>ナガ</t>
    </rPh>
    <phoneticPr fontId="1"/>
  </si>
  <si>
    <t>CAP_n_PARAM_REG_BASE + 0x1000</t>
  </si>
  <si>
    <t>len target part 0</t>
    <phoneticPr fontId="1"/>
  </si>
  <si>
    <t>キャプチャステップ 0 のキャプチャターゲットに含まれるキャプチャワード数</t>
    <rPh sb="24" eb="25">
      <t>フク</t>
    </rPh>
    <rPh sb="36" eb="37">
      <t>スウ</t>
    </rPh>
    <phoneticPr fontId="1"/>
  </si>
  <si>
    <r>
      <rPr>
        <sz val="10"/>
        <color rgb="FFFF0000"/>
        <rFont val="游ゴシック"/>
        <family val="3"/>
        <charset val="128"/>
        <scheme val="minor"/>
      </rPr>
      <t>#</t>
    </r>
    <r>
      <rPr>
        <sz val="10"/>
        <color theme="1"/>
        <rFont val="游ゴシック"/>
        <family val="3"/>
        <charset val="128"/>
        <scheme val="minor"/>
      </rPr>
      <t>キャプチャターゲット 1 の長さ    S(1)</t>
    </r>
    <rPh sb="18" eb="22">
      <t>ソウワクカンナガ</t>
    </rPh>
    <phoneticPr fontId="1"/>
  </si>
  <si>
    <t>CAP_n_PARAM_REG_BASE + 0x1004</t>
  </si>
  <si>
    <t>len target part 1</t>
    <phoneticPr fontId="1"/>
  </si>
  <si>
    <t>キャプチャステップ 1 のキャプチャターゲットに含まれるキャプチャワード数</t>
    <rPh sb="24" eb="25">
      <t>フク</t>
    </rPh>
    <rPh sb="36" eb="37">
      <t>スウ</t>
    </rPh>
    <phoneticPr fontId="1"/>
  </si>
  <si>
    <r>
      <rPr>
        <sz val="10"/>
        <color rgb="FFFF0000"/>
        <rFont val="游ゴシック"/>
        <family val="3"/>
        <charset val="128"/>
        <scheme val="minor"/>
      </rPr>
      <t>#</t>
    </r>
    <r>
      <rPr>
        <sz val="10"/>
        <color theme="1"/>
        <rFont val="游ゴシック"/>
        <family val="3"/>
        <charset val="128"/>
        <scheme val="minor"/>
      </rPr>
      <t>キャプチャターゲット 1023 の長さ   S(1023)</t>
    </r>
    <rPh sb="18" eb="19">
      <t>ナガ</t>
    </rPh>
    <phoneticPr fontId="1"/>
  </si>
  <si>
    <t>CAP_n_PARAM_REG_BASE + 0x1FFC</t>
    <phoneticPr fontId="1"/>
  </si>
  <si>
    <t>len target part 1023</t>
    <phoneticPr fontId="1"/>
  </si>
  <si>
    <t>キャプチャステップ 1023 のキャプチャターゲットに含まれるキャプチャワード数</t>
    <rPh sb="27" eb="28">
      <t>フク</t>
    </rPh>
    <rPh sb="39" eb="40">
      <t>スウ</t>
    </rPh>
    <phoneticPr fontId="1"/>
  </si>
  <si>
    <t>ポストブランク 0 の長さ</t>
    <rPh sb="11" eb="12">
      <t>ナガ</t>
    </rPh>
    <phoneticPr fontId="1"/>
  </si>
  <si>
    <t>CAP_n_PARAM_REG_BASE + 0x5000</t>
  </si>
  <si>
    <t>len post blank 0</t>
    <phoneticPr fontId="1"/>
  </si>
  <si>
    <t>キャプチャステップ 0 のポストブランクに含まれるキャプチャワード数
(設定可能範囲 : 0x0 ～ 0xFFFF_FFFF)</t>
    <rPh sb="21" eb="22">
      <t>フク</t>
    </rPh>
    <rPh sb="33" eb="34">
      <t>スウ</t>
    </rPh>
    <phoneticPr fontId="1"/>
  </si>
  <si>
    <t>ポストブランク 1 の長さ</t>
    <rPh sb="11" eb="12">
      <t>ナガ</t>
    </rPh>
    <phoneticPr fontId="1"/>
  </si>
  <si>
    <t>CAP_n_PARAM_REG_BASE + 0x5004</t>
  </si>
  <si>
    <t>len post blank 1</t>
    <phoneticPr fontId="1"/>
  </si>
  <si>
    <t>キャプチャステップ 1 のポストブランクに含まれるキャプチャワード数
(設定可能範囲 : 0x0 ～ 0xFFFF_FFFF)</t>
    <rPh sb="21" eb="22">
      <t>フク</t>
    </rPh>
    <rPh sb="33" eb="34">
      <t>スウ</t>
    </rPh>
    <phoneticPr fontId="1"/>
  </si>
  <si>
    <t>ポストブランク 1023 の長さ</t>
    <rPh sb="14" eb="15">
      <t>ナガ</t>
    </rPh>
    <phoneticPr fontId="1"/>
  </si>
  <si>
    <t>CAP_n_PARAM_REG_BASE + 0x5FFC</t>
    <phoneticPr fontId="1"/>
  </si>
  <si>
    <t>len post blank 1023</t>
    <phoneticPr fontId="1"/>
  </si>
  <si>
    <t>キャプチャステップ 1023 のポストブランクに含まれるキャプチャワード数
(設定可能範囲 : 0x0 ～ 0xFFFF_FFFF)</t>
    <rPh sb="24" eb="25">
      <t>フク</t>
    </rPh>
    <rPh sb="36" eb="37">
      <t>スウ</t>
    </rPh>
    <phoneticPr fontId="1"/>
  </si>
  <si>
    <r>
      <rPr>
        <sz val="11"/>
        <color rgb="FFFF0000"/>
        <rFont val="游ゴシック"/>
        <family val="3"/>
        <charset val="128"/>
        <scheme val="minor"/>
      </rPr>
      <t>#</t>
    </r>
    <r>
      <rPr>
        <sz val="11"/>
        <color theme="1"/>
        <rFont val="游ゴシック"/>
        <family val="2"/>
        <charset val="128"/>
        <scheme val="minor"/>
      </rPr>
      <t>総和ワード数 (M)</t>
    </r>
    <rPh sb="1" eb="3">
      <t>ソウワ</t>
    </rPh>
    <rPh sb="6" eb="7">
      <t>スウ</t>
    </rPh>
    <phoneticPr fontId="1"/>
  </si>
  <si>
    <t>CAP_n_PARAM_REG_BASE + 0x9000</t>
    <phoneticPr fontId="1"/>
  </si>
  <si>
    <t>[15:0]</t>
    <phoneticPr fontId="1"/>
  </si>
  <si>
    <t>num sum words</t>
    <phoneticPr fontId="1"/>
  </si>
  <si>
    <t>総和処理で足し合わせるキャプチャワード数.  (設定可能範囲 : 1 ~ 8192)</t>
    <rPh sb="0" eb="2">
      <t>ソウワ</t>
    </rPh>
    <rPh sb="2" eb="4">
      <t>ショリ</t>
    </rPh>
    <rPh sb="5" eb="6">
      <t>タ</t>
    </rPh>
    <rPh sb="7" eb="8">
      <t>ア</t>
    </rPh>
    <rPh sb="19" eb="20">
      <t>スウ</t>
    </rPh>
    <phoneticPr fontId="1"/>
  </si>
  <si>
    <t>I or Real 二値化閾値</t>
    <rPh sb="10" eb="13">
      <t>ニチカ</t>
    </rPh>
    <rPh sb="13" eb="15">
      <t>シキイチ</t>
    </rPh>
    <phoneticPr fontId="1"/>
  </si>
  <si>
    <t>CAP_n_PARAM_REG_BASE + 0x9004</t>
    <phoneticPr fontId="1"/>
  </si>
  <si>
    <t>I or Real bin threshold</t>
    <phoneticPr fontId="1"/>
  </si>
  <si>
    <t>二値化する値がこの数以上の場合, I データもしくは Real データの二値化結果を 1 とする.
フォーマットは 32 bits 符号付整数.</t>
    <rPh sb="0" eb="2">
      <t>ニチ</t>
    </rPh>
    <rPh sb="2" eb="3">
      <t>カ</t>
    </rPh>
    <rPh sb="5" eb="6">
      <t>アタイ</t>
    </rPh>
    <rPh sb="9" eb="10">
      <t>カズ</t>
    </rPh>
    <rPh sb="10" eb="12">
      <t>イジョウ</t>
    </rPh>
    <rPh sb="13" eb="15">
      <t>バアイ</t>
    </rPh>
    <rPh sb="36" eb="39">
      <t>ニチカ</t>
    </rPh>
    <rPh sb="39" eb="41">
      <t>ケッカ</t>
    </rPh>
    <rPh sb="66" eb="69">
      <t>フゴウツキ</t>
    </rPh>
    <rPh sb="69" eb="71">
      <t>セイスウ</t>
    </rPh>
    <phoneticPr fontId="1"/>
  </si>
  <si>
    <t>Q 二値化閾値</t>
    <rPh sb="2" eb="5">
      <t>ニチカ</t>
    </rPh>
    <rPh sb="5" eb="7">
      <t>シキイチ</t>
    </rPh>
    <phoneticPr fontId="1"/>
  </si>
  <si>
    <t>CAP_n_PARAM_REG_BASE + 0x9008</t>
    <phoneticPr fontId="1"/>
  </si>
  <si>
    <t>Q bin threshold</t>
    <phoneticPr fontId="1"/>
  </si>
  <si>
    <t>二値化する値がこの数以上の場合, Q データの二値化結果を 1 とする.
フォーマットは 32 bits 符号付整数.</t>
    <phoneticPr fontId="1"/>
  </si>
  <si>
    <t>I or Real リダクション演算の種類</t>
    <rPh sb="16" eb="18">
      <t>エンザン</t>
    </rPh>
    <rPh sb="19" eb="21">
      <t>シュルイ</t>
    </rPh>
    <phoneticPr fontId="1"/>
  </si>
  <si>
    <t>CAP_n_PARAM_REG_BASE + 0x900C</t>
    <phoneticPr fontId="1"/>
  </si>
  <si>
    <t>I or real
reduction op type</t>
    <phoneticPr fontId="1"/>
  </si>
  <si>
    <t>I データもしくは Real データを受け取るリダクションモジュールの処理を変更する.
0 : キャプチャターゲットに値が 1 以上のサンプルが 1 つ以上ある場合, 結果が 1 になる
1 : キャプチャターゲットのサンプルの値が全て 1 以上の場合 1 になる</t>
    <rPh sb="19" eb="20">
      <t>ウ</t>
    </rPh>
    <rPh sb="21" eb="22">
      <t>ト</t>
    </rPh>
    <rPh sb="35" eb="37">
      <t>ショリ</t>
    </rPh>
    <rPh sb="38" eb="40">
      <t>ヘンコウ</t>
    </rPh>
    <rPh sb="60" eb="61">
      <t>アタイ</t>
    </rPh>
    <rPh sb="65" eb="67">
      <t>イジョウ</t>
    </rPh>
    <rPh sb="77" eb="79">
      <t>イジョウ</t>
    </rPh>
    <rPh sb="81" eb="83">
      <t>バアイ</t>
    </rPh>
    <rPh sb="85" eb="87">
      <t>ケッカ</t>
    </rPh>
    <rPh sb="117" eb="118">
      <t>スベ</t>
    </rPh>
    <rPh sb="122" eb="124">
      <t>イジョウ</t>
    </rPh>
    <rPh sb="125" eb="127">
      <t>バアイ</t>
    </rPh>
    <phoneticPr fontId="1"/>
  </si>
  <si>
    <t>Q リダクション演算の種類</t>
    <rPh sb="8" eb="10">
      <t>エンザン</t>
    </rPh>
    <rPh sb="11" eb="13">
      <t>シュルイ</t>
    </rPh>
    <phoneticPr fontId="1"/>
  </si>
  <si>
    <t>CAP_n_PARAM_REG_BASE + 0x9010</t>
    <phoneticPr fontId="1"/>
  </si>
  <si>
    <t>Q reduction op type</t>
    <phoneticPr fontId="1"/>
  </si>
  <si>
    <t>Q データを受け取るリダクションモジュールの処理を変更する.
0 : キャプチャターゲットに値が 1 以上のサンプルが 1 つ以上ある場合, 結果が 1 になる
1 : キャプチャターゲットのサンプルの値が全て 1 以上の場合 1 になる</t>
    <rPh sb="6" eb="7">
      <t>ウ</t>
    </rPh>
    <rPh sb="8" eb="9">
      <t>ト</t>
    </rPh>
    <rPh sb="22" eb="24">
      <t>ショリ</t>
    </rPh>
    <rPh sb="25" eb="27">
      <t>ヘンコウ</t>
    </rPh>
    <rPh sb="47" eb="48">
      <t>アタイ</t>
    </rPh>
    <rPh sb="52" eb="54">
      <t>イジョウ</t>
    </rPh>
    <rPh sb="64" eb="66">
      <t>イジョウ</t>
    </rPh>
    <rPh sb="68" eb="70">
      <t>バアイ</t>
    </rPh>
    <rPh sb="72" eb="74">
      <t>ケッカ</t>
    </rPh>
    <rPh sb="104" eb="105">
      <t>スベ</t>
    </rPh>
    <rPh sb="109" eb="111">
      <t>イジョウ</t>
    </rPh>
    <rPh sb="112" eb="114">
      <t>バアイ</t>
    </rPh>
    <phoneticPr fontId="1"/>
  </si>
  <si>
    <t>0x0_0000_0000</t>
    <phoneticPr fontId="1"/>
  </si>
  <si>
    <t>0x0_0000_0040</t>
    <phoneticPr fontId="1"/>
  </si>
  <si>
    <t>0x0_0000_0080</t>
    <phoneticPr fontId="1"/>
  </si>
  <si>
    <t>0x0_C000_0000</t>
    <phoneticPr fontId="1"/>
  </si>
  <si>
    <t>0x0_BFFF_FFC0</t>
    <phoneticPr fontId="1"/>
  </si>
  <si>
    <t>0x0_C013_FFC0</t>
    <phoneticPr fontId="1"/>
  </si>
  <si>
    <t>0x0_E000_0000</t>
    <phoneticPr fontId="1"/>
  </si>
  <si>
    <t>0x0_E013_FFC0</t>
    <phoneticPr fontId="1"/>
  </si>
  <si>
    <t>0x0000_0040</t>
    <phoneticPr fontId="1"/>
  </si>
  <si>
    <t>0x0000_0080</t>
    <phoneticPr fontId="1"/>
  </si>
  <si>
    <t>0x1_0000_0000</t>
    <phoneticPr fontId="1"/>
  </si>
  <si>
    <t>0x1_2000_0000</t>
    <phoneticPr fontId="1"/>
  </si>
  <si>
    <t>0x1_4000_0000</t>
    <phoneticPr fontId="1"/>
  </si>
  <si>
    <t>0x1_6000_0000</t>
    <phoneticPr fontId="1"/>
  </si>
  <si>
    <t>0x1_8000_0000</t>
    <phoneticPr fontId="1"/>
  </si>
  <si>
    <t>0x1_A000_0000</t>
    <phoneticPr fontId="1"/>
  </si>
  <si>
    <t>0x1_C000_0000</t>
    <phoneticPr fontId="1"/>
  </si>
  <si>
    <t>0x1_E000_0000</t>
    <phoneticPr fontId="1"/>
  </si>
  <si>
    <t>ワード 67108864</t>
    <phoneticPr fontId="1"/>
  </si>
  <si>
    <t>0x1_0004_FFC0</t>
    <phoneticPr fontId="1"/>
  </si>
  <si>
    <t>0x1_2004_FFC0</t>
    <phoneticPr fontId="1"/>
  </si>
  <si>
    <t>0x1_4004_FFC0</t>
    <phoneticPr fontId="1"/>
  </si>
  <si>
    <t>0x1_6004_FFC0</t>
    <phoneticPr fontId="1"/>
  </si>
  <si>
    <t>0x1_8004_FFC0</t>
    <phoneticPr fontId="1"/>
  </si>
  <si>
    <t>0x1_A004_FFC0</t>
    <phoneticPr fontId="1"/>
  </si>
  <si>
    <t>0x1_C004_FFC0</t>
    <phoneticPr fontId="1"/>
  </si>
  <si>
    <t>0x1_E004_FFC0</t>
    <phoneticPr fontId="1"/>
  </si>
  <si>
    <t>ワード 67113983</t>
    <phoneticPr fontId="1"/>
  </si>
  <si>
    <t>ワード 75497472</t>
    <phoneticPr fontId="1"/>
  </si>
  <si>
    <t>ワード 75502591</t>
    <phoneticPr fontId="1"/>
  </si>
  <si>
    <t>ワード 83886080</t>
    <phoneticPr fontId="1"/>
  </si>
  <si>
    <t>ワード 83891199</t>
    <phoneticPr fontId="1"/>
  </si>
  <si>
    <t>ワード 92274688</t>
    <phoneticPr fontId="1"/>
  </si>
  <si>
    <t>ワード 92279807</t>
    <phoneticPr fontId="1"/>
  </si>
  <si>
    <t>ワード 100663296</t>
    <phoneticPr fontId="1"/>
  </si>
  <si>
    <t>ワード 100668415</t>
    <phoneticPr fontId="1"/>
  </si>
  <si>
    <t>ワード 109051904</t>
    <phoneticPr fontId="1"/>
  </si>
  <si>
    <t>ワード 109057023</t>
    <phoneticPr fontId="1"/>
  </si>
  <si>
    <t>ワード 117440512</t>
    <phoneticPr fontId="1"/>
  </si>
  <si>
    <t>ワード 117445631</t>
    <phoneticPr fontId="1"/>
  </si>
  <si>
    <t>ワード 125829120</t>
    <phoneticPr fontId="1"/>
  </si>
  <si>
    <t>ワード 125834239</t>
    <phoneticPr fontId="1"/>
  </si>
  <si>
    <t>キャプチャユニット 0 キャプチャデータ</t>
    <phoneticPr fontId="1"/>
  </si>
  <si>
    <t>0x0_2000_0000</t>
    <phoneticPr fontId="1"/>
  </si>
  <si>
    <t>0x0_4000_0000</t>
    <phoneticPr fontId="1"/>
  </si>
  <si>
    <t>0x0_6000_0000</t>
    <phoneticPr fontId="1"/>
  </si>
  <si>
    <t>0x0_8000_0000</t>
    <phoneticPr fontId="1"/>
  </si>
  <si>
    <t>0x0_A000_0000</t>
    <phoneticPr fontId="1"/>
  </si>
  <si>
    <t>0x0_1FFF_FFFF</t>
    <phoneticPr fontId="1"/>
  </si>
  <si>
    <t>0x0_3FFF_FFFF</t>
    <phoneticPr fontId="1"/>
  </si>
  <si>
    <t>0x0_5FFF_FFFF</t>
    <phoneticPr fontId="1"/>
  </si>
  <si>
    <t>0x0_7FFF_FFFF</t>
    <phoneticPr fontId="1"/>
  </si>
  <si>
    <t>0x0_9FEF_FFFF</t>
    <phoneticPr fontId="1"/>
  </si>
  <si>
    <t>0x0_BFFF_FFFF</t>
    <phoneticPr fontId="1"/>
  </si>
  <si>
    <t>0x0_C013_FFFF</t>
    <phoneticPr fontId="1"/>
  </si>
  <si>
    <t>0x0_E013_FFFF</t>
    <phoneticPr fontId="1"/>
  </si>
  <si>
    <t>キャプチャユニット 1 キャプチャデータ</t>
    <phoneticPr fontId="1"/>
  </si>
  <si>
    <t>0x1_0004_FFFF</t>
    <phoneticPr fontId="1"/>
  </si>
  <si>
    <t>320 K</t>
    <phoneticPr fontId="1"/>
  </si>
  <si>
    <t>0x1_2004_FFFF</t>
    <phoneticPr fontId="1"/>
  </si>
  <si>
    <t>キャプチャユニット 2 キャプチャデータ</t>
    <phoneticPr fontId="1"/>
  </si>
  <si>
    <t>0x1_4004_FFFF</t>
    <phoneticPr fontId="1"/>
  </si>
  <si>
    <t>キャプチャユニット 3 キャプチャデータ</t>
    <phoneticPr fontId="1"/>
  </si>
  <si>
    <t>0x1_6004_FFFF</t>
    <phoneticPr fontId="1"/>
  </si>
  <si>
    <t>キャプチャユニット 4 キャプチャデータ</t>
    <phoneticPr fontId="1"/>
  </si>
  <si>
    <t>0x1_8004_FFFF</t>
    <phoneticPr fontId="1"/>
  </si>
  <si>
    <t>キャプチャユニット 5 キャプチャデータ</t>
    <phoneticPr fontId="1"/>
  </si>
  <si>
    <t>0x1_A004_FFFF</t>
    <phoneticPr fontId="1"/>
  </si>
  <si>
    <t>キャプチャユニット 6 キャプチャデータ</t>
    <phoneticPr fontId="1"/>
  </si>
  <si>
    <t>0x1_C004_FFFF</t>
    <phoneticPr fontId="1"/>
  </si>
  <si>
    <t>キャプチャユニット 7 キャプチャデータ</t>
    <phoneticPr fontId="1"/>
  </si>
  <si>
    <t>0x1_E004_FFFF</t>
    <phoneticPr fontId="1"/>
  </si>
  <si>
    <t>Real データ 16*m+15</t>
    <phoneticPr fontId="1"/>
  </si>
  <si>
    <t>Real データ 0</t>
    <phoneticPr fontId="1"/>
  </si>
  <si>
    <t>Real データ 1</t>
    <phoneticPr fontId="1"/>
  </si>
  <si>
    <t>Real データ 2</t>
    <phoneticPr fontId="1"/>
  </si>
  <si>
    <t>Real データ 3</t>
    <phoneticPr fontId="1"/>
  </si>
  <si>
    <t>Real データ 30</t>
    <phoneticPr fontId="1"/>
  </si>
  <si>
    <t>Real データ 31</t>
    <phoneticPr fontId="1"/>
  </si>
  <si>
    <t>Real データ 32</t>
    <phoneticPr fontId="1"/>
  </si>
  <si>
    <t>Real データ 33</t>
    <phoneticPr fontId="1"/>
  </si>
  <si>
    <t>Real データ 34</t>
    <phoneticPr fontId="1"/>
  </si>
  <si>
    <t>Real データ 35</t>
    <phoneticPr fontId="1"/>
  </si>
  <si>
    <t>Real データ 62</t>
    <phoneticPr fontId="1"/>
  </si>
  <si>
    <t>Real データ 63</t>
    <phoneticPr fontId="1"/>
  </si>
  <si>
    <t>Real データ 32*m</t>
    <phoneticPr fontId="1"/>
  </si>
  <si>
    <t>Real データ 32*m+31</t>
    <phoneticPr fontId="1"/>
  </si>
  <si>
    <t>Real データ 32*m+30</t>
    <phoneticPr fontId="1"/>
  </si>
  <si>
    <t>Real データ 32*m+3</t>
    <phoneticPr fontId="1"/>
  </si>
  <si>
    <t>Real データ 32*m+1</t>
    <phoneticPr fontId="1"/>
  </si>
  <si>
    <t>Real データ 32*m+2</t>
    <phoneticPr fontId="1"/>
  </si>
  <si>
    <t>Real データ 15</t>
    <phoneticPr fontId="1"/>
  </si>
  <si>
    <t>Real データ 14</t>
    <phoneticPr fontId="1"/>
  </si>
  <si>
    <t>Real データ 16</t>
    <phoneticPr fontId="1"/>
  </si>
  <si>
    <t>Real データ 17</t>
    <phoneticPr fontId="1"/>
  </si>
  <si>
    <t>Real データ 18</t>
    <phoneticPr fontId="1"/>
  </si>
  <si>
    <t>Real データ 19</t>
    <phoneticPr fontId="1"/>
  </si>
  <si>
    <t>Real データ 16*m</t>
    <phoneticPr fontId="1"/>
  </si>
  <si>
    <t>Real データ 16*m+1</t>
    <phoneticPr fontId="1"/>
  </si>
  <si>
    <t>Real データ 16*m+2</t>
    <phoneticPr fontId="1"/>
  </si>
  <si>
    <t>Real データ 16*m+3</t>
    <phoneticPr fontId="1"/>
  </si>
  <si>
    <t>Real データ 16*m+14</t>
    <phoneticPr fontId="1"/>
  </si>
  <si>
    <t>I データ 8</t>
    <phoneticPr fontId="1"/>
  </si>
  <si>
    <t>Q データ 8</t>
    <phoneticPr fontId="1"/>
  </si>
  <si>
    <t>I データ 9</t>
    <phoneticPr fontId="1"/>
  </si>
  <si>
    <t>Q データ 9</t>
    <phoneticPr fontId="1"/>
  </si>
  <si>
    <t>I データ 8*m</t>
    <phoneticPr fontId="1"/>
  </si>
  <si>
    <t>Q データ 8*m</t>
    <phoneticPr fontId="1"/>
  </si>
  <si>
    <t>I データ 8*m+1</t>
    <phoneticPr fontId="1"/>
  </si>
  <si>
    <t>Q データ 8*m+1</t>
    <phoneticPr fontId="1"/>
  </si>
  <si>
    <t>I データ 8*m+7</t>
    <phoneticPr fontId="1"/>
  </si>
  <si>
    <t>Q データ 8*m+7</t>
    <phoneticPr fontId="1"/>
  </si>
  <si>
    <t>Q 二値 512*m+511</t>
    <rPh sb="2" eb="4">
      <t>ニチ</t>
    </rPh>
    <phoneticPr fontId="1"/>
  </si>
  <si>
    <t>I 二値 512*m+511</t>
    <rPh sb="2" eb="4">
      <t>ニチ</t>
    </rPh>
    <phoneticPr fontId="1"/>
  </si>
  <si>
    <t>I 二値 512*m</t>
    <rPh sb="2" eb="4">
      <t>ニチ</t>
    </rPh>
    <phoneticPr fontId="1"/>
  </si>
  <si>
    <t>Q 二値 512*m+1</t>
    <rPh sb="2" eb="4">
      <t>ニチ</t>
    </rPh>
    <phoneticPr fontId="1"/>
  </si>
  <si>
    <t>I 二値 512*m+2</t>
    <rPh sb="2" eb="4">
      <t>ニチ</t>
    </rPh>
    <phoneticPr fontId="1"/>
  </si>
  <si>
    <t>Q 二値 512*m+3</t>
    <rPh sb="2" eb="4">
      <t>ニチ</t>
    </rPh>
    <phoneticPr fontId="1"/>
  </si>
  <si>
    <t>I 二値 0</t>
    <rPh sb="2" eb="4">
      <t>ニチ</t>
    </rPh>
    <phoneticPr fontId="1"/>
  </si>
  <si>
    <t>Q 二値 1</t>
    <rPh sb="2" eb="4">
      <t>ニチ</t>
    </rPh>
    <phoneticPr fontId="1"/>
  </si>
  <si>
    <t>I 二値 2</t>
    <rPh sb="2" eb="4">
      <t>ニチ</t>
    </rPh>
    <phoneticPr fontId="1"/>
  </si>
  <si>
    <t>Q 二値 3</t>
    <rPh sb="2" eb="4">
      <t>ニチ</t>
    </rPh>
    <phoneticPr fontId="1"/>
  </si>
  <si>
    <t>I 二値 510</t>
    <rPh sb="2" eb="4">
      <t>ニチ</t>
    </rPh>
    <phoneticPr fontId="1"/>
  </si>
  <si>
    <t>Q 二値 511</t>
    <rPh sb="2" eb="4">
      <t>ニチ</t>
    </rPh>
    <phoneticPr fontId="1"/>
  </si>
  <si>
    <t>I 二値 512</t>
    <rPh sb="2" eb="4">
      <t>ニチ</t>
    </rPh>
    <phoneticPr fontId="1"/>
  </si>
  <si>
    <t>Q 二値 513</t>
    <rPh sb="2" eb="4">
      <t>ニチ</t>
    </rPh>
    <phoneticPr fontId="1"/>
  </si>
  <si>
    <t>I 二値 514</t>
    <rPh sb="2" eb="4">
      <t>ニチ</t>
    </rPh>
    <phoneticPr fontId="1"/>
  </si>
  <si>
    <t>Q 二値 515</t>
    <rPh sb="2" eb="4">
      <t>ニチ</t>
    </rPh>
    <phoneticPr fontId="1"/>
  </si>
  <si>
    <t>I 二値 1022</t>
    <rPh sb="2" eb="4">
      <t>ニチ</t>
    </rPh>
    <phoneticPr fontId="1"/>
  </si>
  <si>
    <t>Q 二値 1023</t>
    <rPh sb="2" eb="4">
      <t>ニチ</t>
    </rPh>
    <phoneticPr fontId="1"/>
  </si>
  <si>
    <t>Real 二値 511</t>
    <rPh sb="5" eb="7">
      <t>ニチ</t>
    </rPh>
    <phoneticPr fontId="1"/>
  </si>
  <si>
    <t>Real 二値 512*m+511</t>
    <rPh sb="5" eb="7">
      <t>ニチ</t>
    </rPh>
    <phoneticPr fontId="1"/>
  </si>
  <si>
    <t>Real 二値 1023</t>
    <rPh sb="5" eb="7">
      <t>ニチ</t>
    </rPh>
    <phoneticPr fontId="1"/>
  </si>
  <si>
    <t>Real 二値 510</t>
    <rPh sb="5" eb="7">
      <t>ニチ</t>
    </rPh>
    <phoneticPr fontId="1"/>
  </si>
  <si>
    <t>Real 二値 1022</t>
    <rPh sb="5" eb="7">
      <t>ニチ</t>
    </rPh>
    <phoneticPr fontId="1"/>
  </si>
  <si>
    <t>Real 二値 2</t>
    <rPh sb="5" eb="7">
      <t>ニチ</t>
    </rPh>
    <phoneticPr fontId="1"/>
  </si>
  <si>
    <t>Real 二値 1</t>
    <rPh sb="5" eb="7">
      <t>ニチ</t>
    </rPh>
    <phoneticPr fontId="1"/>
  </si>
  <si>
    <t>Real 二値 0</t>
    <rPh sb="5" eb="7">
      <t>ニチ</t>
    </rPh>
    <phoneticPr fontId="1"/>
  </si>
  <si>
    <t>Real 二値 512</t>
    <rPh sb="5" eb="7">
      <t>ニチ</t>
    </rPh>
    <phoneticPr fontId="1"/>
  </si>
  <si>
    <t>Real 二値 513</t>
    <rPh sb="5" eb="7">
      <t>ニチ</t>
    </rPh>
    <phoneticPr fontId="1"/>
  </si>
  <si>
    <t>Real 二値 514</t>
    <rPh sb="5" eb="7">
      <t>ニチ</t>
    </rPh>
    <phoneticPr fontId="1"/>
  </si>
  <si>
    <t>Real 二値 512*m+2</t>
    <rPh sb="5" eb="7">
      <t>ニチ</t>
    </rPh>
    <phoneticPr fontId="1"/>
  </si>
  <si>
    <t>Real 二値 512*m+1</t>
    <rPh sb="5" eb="7">
      <t>ニチ</t>
    </rPh>
    <phoneticPr fontId="1"/>
  </si>
  <si>
    <t>Real 二値 512*m</t>
    <rPh sb="5" eb="7">
      <t>ニチ</t>
    </rPh>
    <phoneticPr fontId="1"/>
  </si>
  <si>
    <t>Real 二値 512*m+510</t>
    <rPh sb="5" eb="7">
      <t>ニチ</t>
    </rPh>
    <phoneticPr fontId="1"/>
  </si>
  <si>
    <t>キャプチャディレイ
(100 キャプチャワード)</t>
    <phoneticPr fontId="1"/>
  </si>
  <si>
    <t>キャプチャターゲット
(200 キャプチャワード)</t>
    <phoneticPr fontId="1"/>
  </si>
  <si>
    <t>ポストブランク
(5 キャプチャワード)</t>
    <phoneticPr fontId="1"/>
  </si>
  <si>
    <t>キャプチャターゲット
(300 キャプチャワード)</t>
    <phoneticPr fontId="1"/>
  </si>
  <si>
    <t>0x0_7FFF_FFC0</t>
    <phoneticPr fontId="1"/>
  </si>
  <si>
    <t>ワード 33554431</t>
    <phoneticPr fontId="1"/>
  </si>
  <si>
    <t>0x0_DFFF_FFC0</t>
    <phoneticPr fontId="1"/>
  </si>
  <si>
    <t>ワード 58720255</t>
    <phoneticPr fontId="1"/>
  </si>
  <si>
    <t>0x0_E027_FFC0</t>
    <phoneticPr fontId="1"/>
  </si>
  <si>
    <t>ワード 58761215</t>
    <phoneticPr fontId="1"/>
  </si>
  <si>
    <t>0x1_0003_FFC0</t>
    <phoneticPr fontId="1"/>
  </si>
  <si>
    <t>0x1_2003_FFC0</t>
    <phoneticPr fontId="1"/>
  </si>
  <si>
    <t>ワード 67112959</t>
    <phoneticPr fontId="1"/>
  </si>
  <si>
    <t>ワード 75501567</t>
    <phoneticPr fontId="1"/>
  </si>
  <si>
    <t>0x0_DFFF_FFFF</t>
    <phoneticPr fontId="1"/>
  </si>
  <si>
    <t>2560 K</t>
    <phoneticPr fontId="1"/>
  </si>
  <si>
    <t>256 K</t>
    <phoneticPr fontId="1"/>
  </si>
  <si>
    <t>0x0_E027_FFFF</t>
    <phoneticPr fontId="1"/>
  </si>
  <si>
    <t>0x1_0003_FFFF</t>
    <phoneticPr fontId="1"/>
  </si>
  <si>
    <t>0x1_2003_FFFF</t>
    <phoneticPr fontId="1"/>
  </si>
  <si>
    <r>
      <t>S</t>
    </r>
    <r>
      <rPr>
        <vertAlign val="subscript"/>
        <sz val="11"/>
        <color theme="1"/>
        <rFont val="游ゴシック"/>
        <family val="3"/>
        <charset val="128"/>
        <scheme val="minor"/>
      </rPr>
      <t>mn+0</t>
    </r>
    <phoneticPr fontId="1"/>
  </si>
  <si>
    <r>
      <t>S</t>
    </r>
    <r>
      <rPr>
        <vertAlign val="subscript"/>
        <sz val="11"/>
        <color theme="1"/>
        <rFont val="游ゴシック"/>
        <family val="3"/>
        <charset val="128"/>
        <scheme val="minor"/>
      </rPr>
      <t>mn+1</t>
    </r>
    <phoneticPr fontId="1"/>
  </si>
  <si>
    <r>
      <t>S</t>
    </r>
    <r>
      <rPr>
        <vertAlign val="subscript"/>
        <sz val="11"/>
        <color theme="1"/>
        <rFont val="游ゴシック"/>
        <family val="3"/>
        <charset val="128"/>
        <scheme val="minor"/>
      </rPr>
      <t>m-1</t>
    </r>
    <phoneticPr fontId="1"/>
  </si>
  <si>
    <r>
      <t>S</t>
    </r>
    <r>
      <rPr>
        <vertAlign val="subscript"/>
        <sz val="11"/>
        <color theme="1"/>
        <rFont val="游ゴシック"/>
        <family val="3"/>
        <charset val="128"/>
        <scheme val="minor"/>
      </rPr>
      <t>mn+m-1</t>
    </r>
    <phoneticPr fontId="1"/>
  </si>
  <si>
    <t>データ RAM に格納された波形パートの先頭アドレス ÷ 16
※波形パートの先頭アドレスは 64 の倍数でなければなりません</t>
    <rPh sb="9" eb="11">
      <t>カクノウ</t>
    </rPh>
    <rPh sb="14" eb="16">
      <t>ハケイ</t>
    </rPh>
    <rPh sb="20" eb="22">
      <t>セントウ</t>
    </rPh>
    <phoneticPr fontId="1"/>
  </si>
  <si>
    <r>
      <t xml:space="preserve">波形パートの AWG ワード数
</t>
    </r>
    <r>
      <rPr>
        <sz val="11"/>
        <color theme="1"/>
        <rFont val="游ゴシック"/>
        <family val="3"/>
        <charset val="128"/>
        <scheme val="minor"/>
      </rPr>
      <t>※ デザイン 0 ~ 3 では 64 の倍数でなければなりません</t>
    </r>
    <r>
      <rPr>
        <sz val="11"/>
        <color theme="1"/>
        <rFont val="游ゴシック"/>
        <family val="2"/>
        <charset val="128"/>
        <scheme val="minor"/>
      </rPr>
      <t xml:space="preserve">
      デザイン 4 では 256 の倍数でなければなりません</t>
    </r>
    <rPh sb="36" eb="38">
      <t>バイスウ</t>
    </rPh>
    <rPh sb="70" eb="72">
      <t>バイスウ</t>
    </rPh>
    <phoneticPr fontId="1"/>
  </si>
  <si>
    <r>
      <t xml:space="preserve">出力パターン 0 の出力時間
</t>
    </r>
    <r>
      <rPr>
        <sz val="11"/>
        <color theme="1"/>
        <rFont val="游ゴシック"/>
        <family val="3"/>
        <charset val="128"/>
        <scheme val="minor"/>
      </rPr>
      <t xml:space="preserve">  レジスタの設定値を </t>
    </r>
    <r>
      <rPr>
        <b/>
        <sz val="11"/>
        <color rgb="FFFF0000"/>
        <rFont val="游ゴシック"/>
        <family val="3"/>
        <charset val="128"/>
        <scheme val="minor"/>
      </rPr>
      <t>v</t>
    </r>
    <r>
      <rPr>
        <sz val="11"/>
        <color theme="1"/>
        <rFont val="游ゴシック"/>
        <family val="3"/>
        <charset val="128"/>
        <scheme val="minor"/>
      </rPr>
      <t xml:space="preserve">, DAC のサンプリングレートを </t>
    </r>
    <r>
      <rPr>
        <b/>
        <sz val="11"/>
        <color rgb="FFFF0000"/>
        <rFont val="游ゴシック"/>
        <family val="3"/>
        <charset val="128"/>
        <scheme val="minor"/>
      </rPr>
      <t>s</t>
    </r>
    <r>
      <rPr>
        <sz val="11"/>
        <color theme="1"/>
        <rFont val="游ゴシック"/>
        <family val="3"/>
        <charset val="128"/>
        <scheme val="minor"/>
      </rPr>
      <t xml:space="preserve"> [samples/sec]  としたとき, 
  出力時間 </t>
    </r>
    <r>
      <rPr>
        <b/>
        <sz val="11"/>
        <color rgb="FFFF0000"/>
        <rFont val="游ゴシック"/>
        <family val="3"/>
        <charset val="128"/>
        <scheme val="minor"/>
      </rPr>
      <t>t</t>
    </r>
    <r>
      <rPr>
        <sz val="11"/>
        <color theme="1"/>
        <rFont val="游ゴシック"/>
        <family val="3"/>
        <charset val="128"/>
        <scheme val="minor"/>
      </rPr>
      <t xml:space="preserve"> [sec] は
</t>
    </r>
    <r>
      <rPr>
        <sz val="11"/>
        <color theme="1"/>
        <rFont val="游ゴシック"/>
        <family val="2"/>
        <charset val="128"/>
        <scheme val="minor"/>
      </rPr>
      <t xml:space="preserve">   </t>
    </r>
    <r>
      <rPr>
        <b/>
        <sz val="11"/>
        <color theme="1"/>
        <rFont val="游ゴシック"/>
        <family val="3"/>
        <charset val="128"/>
        <scheme val="minor"/>
      </rPr>
      <t>t = (v + 1) / s</t>
    </r>
    <r>
      <rPr>
        <sz val="11"/>
        <color theme="1"/>
        <rFont val="游ゴシック"/>
        <family val="2"/>
        <charset val="128"/>
        <scheme val="minor"/>
      </rPr>
      <t xml:space="preserve">   で表されます.
設定可能範囲 : 1 ~ 0xFFFFFFFF</t>
    </r>
    <rPh sb="22" eb="24">
      <t>セッテイ</t>
    </rPh>
    <rPh sb="24" eb="25">
      <t>アタイ</t>
    </rPh>
    <rPh sb="73" eb="77">
      <t>シュツリョクジカン</t>
    </rPh>
    <rPh sb="110" eb="111">
      <t>アラワ</t>
    </rPh>
    <rPh sb="124" eb="130">
      <t>セッテイカノウハンイ</t>
    </rPh>
    <phoneticPr fontId="1"/>
  </si>
  <si>
    <r>
      <t xml:space="preserve">出力パターン 511 の出力時間
</t>
    </r>
    <r>
      <rPr>
        <sz val="11"/>
        <color theme="1"/>
        <rFont val="游ゴシック"/>
        <family val="3"/>
        <charset val="128"/>
        <scheme val="minor"/>
      </rPr>
      <t xml:space="preserve">  レジスタの設定値を </t>
    </r>
    <r>
      <rPr>
        <b/>
        <sz val="11"/>
        <color rgb="FFFF0000"/>
        <rFont val="游ゴシック"/>
        <family val="3"/>
        <charset val="128"/>
        <scheme val="minor"/>
      </rPr>
      <t>v</t>
    </r>
    <r>
      <rPr>
        <sz val="11"/>
        <color theme="1"/>
        <rFont val="游ゴシック"/>
        <family val="3"/>
        <charset val="128"/>
        <scheme val="minor"/>
      </rPr>
      <t xml:space="preserve">, DAC のサンプリングレートを </t>
    </r>
    <r>
      <rPr>
        <b/>
        <sz val="11"/>
        <color rgb="FFFF0000"/>
        <rFont val="游ゴシック"/>
        <family val="3"/>
        <charset val="128"/>
        <scheme val="minor"/>
      </rPr>
      <t>s</t>
    </r>
    <r>
      <rPr>
        <sz val="11"/>
        <color theme="1"/>
        <rFont val="游ゴシック"/>
        <family val="3"/>
        <charset val="128"/>
        <scheme val="minor"/>
      </rPr>
      <t xml:space="preserve"> [samples/sec]  としたとき, 
  出力時間 </t>
    </r>
    <r>
      <rPr>
        <b/>
        <sz val="11"/>
        <color rgb="FFFF0000"/>
        <rFont val="游ゴシック"/>
        <family val="3"/>
        <charset val="128"/>
        <scheme val="minor"/>
      </rPr>
      <t>t</t>
    </r>
    <r>
      <rPr>
        <sz val="11"/>
        <color theme="1"/>
        <rFont val="游ゴシック"/>
        <family val="3"/>
        <charset val="128"/>
        <scheme val="minor"/>
      </rPr>
      <t xml:space="preserve"> [sec] は
</t>
    </r>
    <r>
      <rPr>
        <sz val="11"/>
        <color theme="1"/>
        <rFont val="游ゴシック"/>
        <family val="2"/>
        <charset val="128"/>
        <scheme val="minor"/>
      </rPr>
      <t xml:space="preserve">   </t>
    </r>
    <r>
      <rPr>
        <b/>
        <sz val="11"/>
        <color theme="1"/>
        <rFont val="游ゴシック"/>
        <family val="3"/>
        <charset val="128"/>
        <scheme val="minor"/>
      </rPr>
      <t>t = (v + 1) / s</t>
    </r>
    <r>
      <rPr>
        <sz val="11"/>
        <color theme="1"/>
        <rFont val="游ゴシック"/>
        <family val="2"/>
        <charset val="128"/>
        <scheme val="minor"/>
      </rPr>
      <t xml:space="preserve">   で表されます.
設定可能範囲 : 1 ~ 0xFFFFFFFF</t>
    </r>
    <rPh sb="24" eb="26">
      <t>セッテイ</t>
    </rPh>
    <rPh sb="26" eb="27">
      <t>アタイ</t>
    </rPh>
    <rPh sb="75" eb="79">
      <t>シュツリョクジカン</t>
    </rPh>
    <rPh sb="112" eb="113">
      <t>アラワ</t>
    </rPh>
    <rPh sb="126" eb="132">
      <t>セッテイカノウハンイ</t>
    </rPh>
    <phoneticPr fontId="1"/>
  </si>
  <si>
    <r>
      <t xml:space="preserve">出力パターン 1 の出力時間
</t>
    </r>
    <r>
      <rPr>
        <sz val="11"/>
        <color theme="1"/>
        <rFont val="游ゴシック"/>
        <family val="3"/>
        <charset val="128"/>
        <scheme val="minor"/>
      </rPr>
      <t xml:space="preserve">  レジスタの設定値を </t>
    </r>
    <r>
      <rPr>
        <b/>
        <sz val="11"/>
        <color rgb="FFFF0000"/>
        <rFont val="游ゴシック"/>
        <family val="3"/>
        <charset val="128"/>
        <scheme val="minor"/>
      </rPr>
      <t>v</t>
    </r>
    <r>
      <rPr>
        <sz val="11"/>
        <color theme="1"/>
        <rFont val="游ゴシック"/>
        <family val="3"/>
        <charset val="128"/>
        <scheme val="minor"/>
      </rPr>
      <t xml:space="preserve">, DAC のサンプリングレートを </t>
    </r>
    <r>
      <rPr>
        <b/>
        <sz val="11"/>
        <color rgb="FFFF0000"/>
        <rFont val="游ゴシック"/>
        <family val="3"/>
        <charset val="128"/>
        <scheme val="minor"/>
      </rPr>
      <t>s</t>
    </r>
    <r>
      <rPr>
        <sz val="11"/>
        <color theme="1"/>
        <rFont val="游ゴシック"/>
        <family val="3"/>
        <charset val="128"/>
        <scheme val="minor"/>
      </rPr>
      <t xml:space="preserve"> [samples/sec]  としたとき, 
  出力時間 </t>
    </r>
    <r>
      <rPr>
        <b/>
        <sz val="11"/>
        <color rgb="FFFF0000"/>
        <rFont val="游ゴシック"/>
        <family val="3"/>
        <charset val="128"/>
        <scheme val="minor"/>
      </rPr>
      <t>t</t>
    </r>
    <r>
      <rPr>
        <sz val="11"/>
        <color theme="1"/>
        <rFont val="游ゴシック"/>
        <family val="3"/>
        <charset val="128"/>
        <scheme val="minor"/>
      </rPr>
      <t xml:space="preserve"> [sec] は
</t>
    </r>
    <r>
      <rPr>
        <sz val="11"/>
        <color theme="1"/>
        <rFont val="游ゴシック"/>
        <family val="2"/>
        <charset val="128"/>
        <scheme val="minor"/>
      </rPr>
      <t xml:space="preserve">   </t>
    </r>
    <r>
      <rPr>
        <b/>
        <sz val="11"/>
        <color theme="1"/>
        <rFont val="游ゴシック"/>
        <family val="3"/>
        <charset val="128"/>
        <scheme val="minor"/>
      </rPr>
      <t>t = (v + 1) / s</t>
    </r>
    <r>
      <rPr>
        <sz val="11"/>
        <color theme="1"/>
        <rFont val="游ゴシック"/>
        <family val="2"/>
        <charset val="128"/>
        <scheme val="minor"/>
      </rPr>
      <t xml:space="preserve">   で表されます.
設定可能範囲 : 1 ~ 0xFFFFFFFF</t>
    </r>
    <rPh sb="22" eb="24">
      <t>セッテイ</t>
    </rPh>
    <rPh sb="24" eb="25">
      <t>アタイ</t>
    </rPh>
    <rPh sb="73" eb="77">
      <t>シュツリョクジカン</t>
    </rPh>
    <rPh sb="110" eb="111">
      <t>アラワ</t>
    </rPh>
    <rPh sb="124" eb="130">
      <t>セッテイカノウハンイ</t>
    </rPh>
    <phoneticPr fontId="1"/>
  </si>
  <si>
    <r>
      <t>S</t>
    </r>
    <r>
      <rPr>
        <vertAlign val="subscript"/>
        <sz val="14"/>
        <color theme="1"/>
        <rFont val="游ゴシック"/>
        <family val="3"/>
        <charset val="128"/>
        <scheme val="minor"/>
      </rPr>
      <t>128n+0</t>
    </r>
    <phoneticPr fontId="1"/>
  </si>
  <si>
    <r>
      <t>S</t>
    </r>
    <r>
      <rPr>
        <vertAlign val="subscript"/>
        <sz val="14"/>
        <color theme="1"/>
        <rFont val="游ゴシック"/>
        <family val="3"/>
        <charset val="128"/>
        <scheme val="minor"/>
      </rPr>
      <t>128n+15</t>
    </r>
    <phoneticPr fontId="1"/>
  </si>
  <si>
    <r>
      <t>S</t>
    </r>
    <r>
      <rPr>
        <vertAlign val="subscript"/>
        <sz val="14"/>
        <color theme="1"/>
        <rFont val="游ゴシック"/>
        <family val="3"/>
        <charset val="128"/>
        <scheme val="minor"/>
      </rPr>
      <t>128n+16</t>
    </r>
    <phoneticPr fontId="1"/>
  </si>
  <si>
    <r>
      <t>S</t>
    </r>
    <r>
      <rPr>
        <vertAlign val="subscript"/>
        <sz val="14"/>
        <color theme="1"/>
        <rFont val="游ゴシック"/>
        <family val="3"/>
        <charset val="128"/>
        <scheme val="minor"/>
      </rPr>
      <t>128n+31</t>
    </r>
    <phoneticPr fontId="1"/>
  </si>
  <si>
    <r>
      <t>S</t>
    </r>
    <r>
      <rPr>
        <vertAlign val="subscript"/>
        <sz val="14"/>
        <color theme="1"/>
        <rFont val="游ゴシック"/>
        <family val="3"/>
        <charset val="128"/>
        <scheme val="minor"/>
      </rPr>
      <t>128n+112</t>
    </r>
    <phoneticPr fontId="1"/>
  </si>
  <si>
    <r>
      <t>S</t>
    </r>
    <r>
      <rPr>
        <vertAlign val="subscript"/>
        <sz val="14"/>
        <color theme="1"/>
        <rFont val="游ゴシック"/>
        <family val="3"/>
        <charset val="128"/>
        <scheme val="minor"/>
      </rPr>
      <t>128n+127</t>
    </r>
    <phoneticPr fontId="1"/>
  </si>
  <si>
    <r>
      <t>S</t>
    </r>
    <r>
      <rPr>
        <vertAlign val="subscript"/>
        <sz val="14"/>
        <color theme="1"/>
        <rFont val="游ゴシック"/>
        <family val="3"/>
        <charset val="128"/>
        <scheme val="minor"/>
      </rPr>
      <t>128n+16m</t>
    </r>
    <phoneticPr fontId="1"/>
  </si>
  <si>
    <r>
      <t>S</t>
    </r>
    <r>
      <rPr>
        <vertAlign val="subscript"/>
        <sz val="14"/>
        <color theme="1"/>
        <rFont val="游ゴシック"/>
        <family val="3"/>
        <charset val="128"/>
        <scheme val="minor"/>
      </rPr>
      <t>128n+16m+15</t>
    </r>
    <phoneticPr fontId="1"/>
  </si>
  <si>
    <r>
      <t>S</t>
    </r>
    <r>
      <rPr>
        <vertAlign val="subscript"/>
        <sz val="14"/>
        <color theme="1"/>
        <rFont val="游ゴシック"/>
        <family val="3"/>
        <charset val="128"/>
        <scheme val="minor"/>
      </rPr>
      <t>128n</t>
    </r>
    <r>
      <rPr>
        <sz val="14"/>
        <color theme="1"/>
        <rFont val="游ゴシック"/>
        <family val="3"/>
        <charset val="128"/>
        <scheme val="minor"/>
      </rPr>
      <t>, S</t>
    </r>
    <r>
      <rPr>
        <vertAlign val="subscript"/>
        <sz val="14"/>
        <color theme="1"/>
        <rFont val="游ゴシック"/>
        <family val="3"/>
        <charset val="128"/>
        <scheme val="minor"/>
      </rPr>
      <t xml:space="preserve">128n+16 </t>
    </r>
    <r>
      <rPr>
        <sz val="14"/>
        <color theme="1"/>
        <rFont val="游ゴシック"/>
        <family val="3"/>
        <charset val="128"/>
        <scheme val="minor"/>
      </rPr>
      <t>, ... ,S</t>
    </r>
    <r>
      <rPr>
        <vertAlign val="subscript"/>
        <sz val="14"/>
        <color theme="1"/>
        <rFont val="游ゴシック"/>
        <family val="3"/>
        <charset val="128"/>
        <scheme val="minor"/>
      </rPr>
      <t>128n+112</t>
    </r>
    <phoneticPr fontId="1"/>
  </si>
  <si>
    <r>
      <t>S</t>
    </r>
    <r>
      <rPr>
        <vertAlign val="subscript"/>
        <sz val="14"/>
        <color theme="1"/>
        <rFont val="游ゴシック"/>
        <family val="3"/>
        <charset val="128"/>
        <scheme val="minor"/>
      </rPr>
      <t>0</t>
    </r>
    <r>
      <rPr>
        <sz val="14"/>
        <color theme="1"/>
        <rFont val="游ゴシック"/>
        <family val="3"/>
        <charset val="128"/>
        <scheme val="minor"/>
      </rPr>
      <t>, S</t>
    </r>
    <r>
      <rPr>
        <vertAlign val="subscript"/>
        <sz val="14"/>
        <color theme="1"/>
        <rFont val="游ゴシック"/>
        <family val="3"/>
        <charset val="128"/>
        <scheme val="minor"/>
      </rPr>
      <t xml:space="preserve">16 </t>
    </r>
    <r>
      <rPr>
        <sz val="14"/>
        <color theme="1"/>
        <rFont val="游ゴシック"/>
        <family val="3"/>
        <charset val="128"/>
        <scheme val="minor"/>
      </rPr>
      <t>, ... ,S</t>
    </r>
    <r>
      <rPr>
        <vertAlign val="subscript"/>
        <sz val="14"/>
        <color theme="1"/>
        <rFont val="游ゴシック"/>
        <family val="3"/>
        <charset val="128"/>
        <scheme val="minor"/>
      </rPr>
      <t>112</t>
    </r>
    <phoneticPr fontId="1"/>
  </si>
  <si>
    <r>
      <t>S</t>
    </r>
    <r>
      <rPr>
        <vertAlign val="subscript"/>
        <sz val="14"/>
        <color theme="1"/>
        <rFont val="游ゴシック"/>
        <family val="3"/>
        <charset val="128"/>
        <scheme val="minor"/>
      </rPr>
      <t>128</t>
    </r>
    <r>
      <rPr>
        <sz val="14"/>
        <color theme="1"/>
        <rFont val="游ゴシック"/>
        <family val="3"/>
        <charset val="128"/>
        <scheme val="minor"/>
      </rPr>
      <t xml:space="preserve"> ~ S</t>
    </r>
    <r>
      <rPr>
        <vertAlign val="subscript"/>
        <sz val="14"/>
        <color theme="1"/>
        <rFont val="游ゴシック"/>
        <family val="3"/>
        <charset val="128"/>
        <scheme val="minor"/>
      </rPr>
      <t>255</t>
    </r>
    <phoneticPr fontId="1"/>
  </si>
  <si>
    <r>
      <t>S</t>
    </r>
    <r>
      <rPr>
        <vertAlign val="subscript"/>
        <sz val="14"/>
        <color theme="1"/>
        <rFont val="游ゴシック"/>
        <family val="3"/>
        <charset val="128"/>
        <scheme val="minor"/>
      </rPr>
      <t>128</t>
    </r>
    <r>
      <rPr>
        <sz val="14"/>
        <color theme="1"/>
        <rFont val="游ゴシック"/>
        <family val="3"/>
        <charset val="128"/>
        <scheme val="minor"/>
      </rPr>
      <t>, S</t>
    </r>
    <r>
      <rPr>
        <vertAlign val="subscript"/>
        <sz val="14"/>
        <color theme="1"/>
        <rFont val="游ゴシック"/>
        <family val="3"/>
        <charset val="128"/>
        <scheme val="minor"/>
      </rPr>
      <t xml:space="preserve">144 </t>
    </r>
    <r>
      <rPr>
        <sz val="14"/>
        <color theme="1"/>
        <rFont val="游ゴシック"/>
        <family val="3"/>
        <charset val="128"/>
        <scheme val="minor"/>
      </rPr>
      <t>, ... ,S</t>
    </r>
    <r>
      <rPr>
        <vertAlign val="subscript"/>
        <sz val="14"/>
        <color theme="1"/>
        <rFont val="游ゴシック"/>
        <family val="3"/>
        <charset val="128"/>
        <scheme val="minor"/>
      </rPr>
      <t>240</t>
    </r>
    <phoneticPr fontId="1"/>
  </si>
  <si>
    <r>
      <t>S</t>
    </r>
    <r>
      <rPr>
        <vertAlign val="subscript"/>
        <sz val="14"/>
        <color theme="1"/>
        <rFont val="游ゴシック"/>
        <family val="3"/>
        <charset val="128"/>
        <scheme val="minor"/>
      </rPr>
      <t>0</t>
    </r>
    <r>
      <rPr>
        <sz val="14"/>
        <color theme="1"/>
        <rFont val="游ゴシック"/>
        <family val="3"/>
        <charset val="128"/>
        <scheme val="minor"/>
      </rPr>
      <t>, ~ S</t>
    </r>
    <r>
      <rPr>
        <vertAlign val="subscript"/>
        <sz val="14"/>
        <color theme="1"/>
        <rFont val="游ゴシック"/>
        <family val="3"/>
        <charset val="128"/>
        <scheme val="minor"/>
      </rPr>
      <t>127</t>
    </r>
    <phoneticPr fontId="1"/>
  </si>
  <si>
    <r>
      <t>S</t>
    </r>
    <r>
      <rPr>
        <vertAlign val="subscript"/>
        <sz val="14"/>
        <color theme="1"/>
        <rFont val="游ゴシック"/>
        <family val="3"/>
        <charset val="128"/>
        <scheme val="minor"/>
      </rPr>
      <t xml:space="preserve">128n </t>
    </r>
    <r>
      <rPr>
        <sz val="14"/>
        <color theme="1"/>
        <rFont val="游ゴシック"/>
        <family val="3"/>
        <charset val="128"/>
        <scheme val="minor"/>
      </rPr>
      <t>~ S</t>
    </r>
    <r>
      <rPr>
        <vertAlign val="subscript"/>
        <sz val="14"/>
        <color theme="1"/>
        <rFont val="游ゴシック"/>
        <family val="3"/>
        <charset val="128"/>
        <scheme val="minor"/>
      </rPr>
      <t>128n+127</t>
    </r>
    <phoneticPr fontId="1"/>
  </si>
  <si>
    <r>
      <t>S</t>
    </r>
    <r>
      <rPr>
        <vertAlign val="subscript"/>
        <sz val="14"/>
        <color theme="1"/>
        <rFont val="游ゴシック"/>
        <family val="3"/>
        <charset val="128"/>
        <scheme val="minor"/>
      </rPr>
      <t>128n</t>
    </r>
    <phoneticPr fontId="1"/>
  </si>
  <si>
    <r>
      <t>S</t>
    </r>
    <r>
      <rPr>
        <vertAlign val="subscript"/>
        <sz val="14"/>
        <color theme="1"/>
        <rFont val="游ゴシック"/>
        <family val="3"/>
        <charset val="128"/>
        <scheme val="minor"/>
      </rPr>
      <t>n</t>
    </r>
    <r>
      <rPr>
        <sz val="14"/>
        <color theme="1"/>
        <rFont val="游ゴシック"/>
        <family val="3"/>
        <charset val="128"/>
        <scheme val="minor"/>
      </rPr>
      <t xml:space="preserve"> = n 番目のサンプル</t>
    </r>
    <rPh sb="7" eb="9">
      <t>バンメ</t>
    </rPh>
    <phoneticPr fontId="1"/>
  </si>
  <si>
    <t>decimation</t>
    <phoneticPr fontId="1"/>
  </si>
  <si>
    <r>
      <t xml:space="preserve">0 :「間引き」を無効にします
1 :「間引き」を有効にします
</t>
    </r>
    <r>
      <rPr>
        <b/>
        <sz val="11"/>
        <color theme="1"/>
        <rFont val="游ゴシック"/>
        <family val="3"/>
        <charset val="128"/>
        <scheme val="minor"/>
      </rPr>
      <t>※ このフィールドはデザイン 4 にのみ存在します</t>
    </r>
    <rPh sb="4" eb="6">
      <t>マビ</t>
    </rPh>
    <rPh sb="20" eb="22">
      <t>マビ</t>
    </rPh>
    <rPh sb="25" eb="27">
      <t>ユウコウ</t>
    </rPh>
    <rPh sb="52" eb="54">
      <t>ソンザイ</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</si>
</sst>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8"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
      <sz val="10"/>
      <color theme="1"/>
      <name val="游ゴシック"/>
      <family val="3"/>
      <charset val="128"/>
      <scheme val="minor"/>
    </font>
    <font>
      <sz val="10"/>
      <color theme="1"/>
      <name val="游ゴシック"/>
      <family val="2"/>
      <charset val="128"/>
      <scheme val="minor"/>
    </font>
    <font>
      <b/>
      <sz val="11"/>
      <color theme="1"/>
      <name val="游ゴシック"/>
      <family val="3"/>
      <charset val="128"/>
      <scheme val="minor"/>
    </font>
    <font>
      <sz val="6"/>
      <color theme="1"/>
      <name val="游ゴシック"/>
      <family val="2"/>
      <charset val="128"/>
      <scheme val="minor"/>
    </font>
    <font>
      <sz val="11"/>
      <color rgb="FFFF0000"/>
      <name val="游ゴシック"/>
      <family val="2"/>
      <charset val="128"/>
      <scheme val="minor"/>
    </font>
    <font>
      <vertAlign val="subscript"/>
      <sz val="11"/>
      <color theme="1"/>
      <name val="游ゴシック"/>
      <family val="3"/>
      <charset val="128"/>
      <scheme val="minor"/>
    </font>
    <font>
      <sz val="9"/>
      <color theme="1"/>
      <name val="游ゴシック"/>
      <family val="3"/>
      <charset val="128"/>
      <scheme val="minor"/>
    </font>
    <font>
      <sz val="9"/>
      <color theme="1"/>
      <name val="游ゴシック"/>
      <family val="2"/>
      <charset val="128"/>
      <scheme val="minor"/>
    </font>
    <font>
      <sz val="11"/>
      <color theme="0"/>
      <name val="游ゴシック"/>
      <family val="2"/>
      <charset val="128"/>
      <scheme val="minor"/>
    </font>
    <font>
      <sz val="11"/>
      <color theme="0"/>
      <name val="游ゴシック"/>
      <family val="3"/>
      <charset val="128"/>
      <scheme val="minor"/>
    </font>
    <font>
      <sz val="9.5"/>
      <color theme="1"/>
      <name val="游ゴシック"/>
      <family val="3"/>
      <charset val="128"/>
      <scheme val="minor"/>
    </font>
    <font>
      <sz val="8"/>
      <color theme="1"/>
      <name val="游ゴシック"/>
      <family val="3"/>
      <charset val="128"/>
      <scheme val="minor"/>
    </font>
    <font>
      <sz val="7"/>
      <color theme="1"/>
      <name val="游ゴシック"/>
      <family val="3"/>
      <charset val="128"/>
      <scheme val="minor"/>
    </font>
    <font>
      <vertAlign val="subscript"/>
      <sz val="11"/>
      <color theme="1"/>
      <name val="游ゴシック"/>
      <family val="2"/>
      <charset val="128"/>
      <scheme val="minor"/>
    </font>
    <font>
      <sz val="12"/>
      <color theme="1"/>
      <name val="游ゴシック"/>
      <family val="3"/>
      <charset val="128"/>
      <scheme val="minor"/>
    </font>
    <font>
      <vertAlign val="subscript"/>
      <sz val="12"/>
      <color theme="1"/>
      <name val="游ゴシック"/>
      <family val="3"/>
      <charset val="128"/>
      <scheme val="minor"/>
    </font>
    <font>
      <sz val="14"/>
      <color theme="1"/>
      <name val="游ゴシック"/>
      <family val="3"/>
      <charset val="128"/>
      <scheme val="minor"/>
    </font>
    <font>
      <vertAlign val="subscript"/>
      <sz val="14"/>
      <color theme="1"/>
      <name val="游ゴシック"/>
      <family val="3"/>
      <charset val="128"/>
      <scheme val="minor"/>
    </font>
    <font>
      <b/>
      <sz val="10"/>
      <color theme="1"/>
      <name val="游ゴシック"/>
      <family val="3"/>
      <charset val="128"/>
      <scheme val="minor"/>
    </font>
    <font>
      <sz val="10.5"/>
      <color theme="1"/>
      <name val="游ゴシック"/>
      <family val="3"/>
      <charset val="128"/>
      <scheme val="minor"/>
    </font>
    <font>
      <sz val="11"/>
      <color rgb="FFFF0000"/>
      <name val="游ゴシック"/>
      <family val="3"/>
      <charset val="128"/>
      <scheme val="minor"/>
    </font>
    <font>
      <sz val="11"/>
      <name val="游ゴシック"/>
      <family val="3"/>
      <charset val="128"/>
      <scheme val="minor"/>
    </font>
    <font>
      <sz val="10"/>
      <color rgb="FFFF0000"/>
      <name val="游ゴシック"/>
      <family val="3"/>
      <charset val="128"/>
      <scheme val="minor"/>
    </font>
    <font>
      <sz val="10.5"/>
      <color theme="1"/>
      <name val="游ゴシック"/>
      <family val="2"/>
      <charset val="128"/>
      <scheme val="minor"/>
    </font>
    <font>
      <b/>
      <sz val="11"/>
      <color rgb="FFFF0000"/>
      <name val="游ゴシック"/>
      <family val="3"/>
      <charset val="128"/>
      <scheme val="minor"/>
    </font>
  </fonts>
  <fills count="15">
    <fill>
      <patternFill patternType="none"/>
    </fill>
    <fill>
      <patternFill patternType="gray125"/>
    </fill>
    <fill>
      <patternFill patternType="solid">
        <fgColor theme="9" tint="0.79998168889431442"/>
        <bgColor indexed="64"/>
      </patternFill>
    </fill>
    <fill>
      <patternFill patternType="solid">
        <fgColor theme="0" tint="-4.9989318521683403E-2"/>
        <bgColor indexed="64"/>
      </patternFill>
    </fill>
    <fill>
      <patternFill patternType="solid">
        <fgColor theme="5" tint="0.79998168889431442"/>
        <bgColor indexed="64"/>
      </patternFill>
    </fill>
    <fill>
      <patternFill patternType="solid">
        <fgColor theme="0" tint="-0.14999847407452621"/>
        <bgColor indexed="64"/>
      </patternFill>
    </fill>
    <fill>
      <patternFill patternType="solid">
        <fgColor theme="8" tint="0.79998168889431442"/>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1"/>
        <bgColor indexed="64"/>
      </patternFill>
    </fill>
    <fill>
      <patternFill patternType="solid">
        <fgColor theme="5" tint="0.39997558519241921"/>
        <bgColor indexed="64"/>
      </patternFill>
    </fill>
    <fill>
      <patternFill patternType="solid">
        <fgColor theme="2" tint="-9.9978637043366805E-2"/>
        <bgColor indexed="64"/>
      </patternFill>
    </fill>
    <fill>
      <patternFill patternType="solid">
        <fgColor theme="9" tint="0.39997558519241921"/>
        <bgColor indexed="64"/>
      </patternFill>
    </fill>
    <fill>
      <patternFill patternType="solid">
        <fgColor theme="0" tint="-0.499984740745262"/>
        <bgColor indexed="64"/>
      </patternFill>
    </fill>
    <fill>
      <patternFill patternType="solid">
        <fgColor rgb="FFFEFBDA"/>
        <bgColor indexed="64"/>
      </patternFill>
    </fill>
  </fills>
  <borders count="112">
    <border>
      <left/>
      <right/>
      <top/>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right style="thin">
        <color indexed="64"/>
      </right>
      <top/>
      <bottom style="thin">
        <color indexed="64"/>
      </bottom>
      <diagonal/>
    </border>
    <border>
      <left/>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right/>
      <top style="thin">
        <color indexed="64"/>
      </top>
      <bottom/>
      <diagonal/>
    </border>
    <border>
      <left style="thin">
        <color indexed="64"/>
      </left>
      <right/>
      <top style="thin">
        <color indexed="64"/>
      </top>
      <bottom/>
      <diagonal/>
    </border>
    <border>
      <left/>
      <right style="thin">
        <color indexed="64"/>
      </right>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right style="medium">
        <color indexed="64"/>
      </right>
      <top style="thin">
        <color indexed="64"/>
      </top>
      <bottom/>
      <diagonal/>
    </border>
    <border>
      <left/>
      <right style="medium">
        <color indexed="64"/>
      </right>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right style="medium">
        <color indexed="64"/>
      </right>
      <top/>
      <bottom/>
      <diagonal/>
    </border>
    <border>
      <left/>
      <right style="medium">
        <color indexed="64"/>
      </right>
      <top style="medium">
        <color indexed="64"/>
      </top>
      <bottom style="thin">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thin">
        <color indexed="64"/>
      </right>
      <top/>
      <bottom style="medium">
        <color indexed="64"/>
      </bottom>
      <diagonal/>
    </border>
    <border>
      <left/>
      <right style="medium">
        <color indexed="64"/>
      </right>
      <top/>
      <bottom style="medium">
        <color indexed="64"/>
      </bottom>
      <diagonal/>
    </border>
    <border>
      <left style="thick">
        <color indexed="64"/>
      </left>
      <right/>
      <top style="thick">
        <color indexed="64"/>
      </top>
      <bottom style="thin">
        <color indexed="64"/>
      </bottom>
      <diagonal/>
    </border>
    <border>
      <left/>
      <right/>
      <top style="thick">
        <color indexed="64"/>
      </top>
      <bottom style="thin">
        <color indexed="64"/>
      </bottom>
      <diagonal/>
    </border>
    <border>
      <left/>
      <right style="thin">
        <color indexed="64"/>
      </right>
      <top style="thick">
        <color indexed="64"/>
      </top>
      <bottom style="thin">
        <color indexed="64"/>
      </bottom>
      <diagonal/>
    </border>
    <border>
      <left style="thin">
        <color indexed="64"/>
      </left>
      <right style="thin">
        <color indexed="64"/>
      </right>
      <top style="thick">
        <color indexed="64"/>
      </top>
      <bottom style="thin">
        <color indexed="64"/>
      </bottom>
      <diagonal/>
    </border>
    <border>
      <left style="thin">
        <color indexed="64"/>
      </left>
      <right/>
      <top style="thick">
        <color indexed="64"/>
      </top>
      <bottom style="thin">
        <color indexed="64"/>
      </bottom>
      <diagonal/>
    </border>
    <border>
      <left style="thin">
        <color indexed="64"/>
      </left>
      <right style="thick">
        <color indexed="64"/>
      </right>
      <top style="thick">
        <color indexed="64"/>
      </top>
      <bottom style="thin">
        <color indexed="64"/>
      </bottom>
      <diagonal/>
    </border>
    <border>
      <left style="thick">
        <color indexed="64"/>
      </left>
      <right style="thin">
        <color indexed="64"/>
      </right>
      <top style="thin">
        <color indexed="64"/>
      </top>
      <bottom style="thin">
        <color indexed="64"/>
      </bottom>
      <diagonal/>
    </border>
    <border>
      <left style="thin">
        <color indexed="64"/>
      </left>
      <right style="thick">
        <color indexed="64"/>
      </right>
      <top style="thin">
        <color indexed="64"/>
      </top>
      <bottom style="thin">
        <color indexed="64"/>
      </bottom>
      <diagonal/>
    </border>
    <border>
      <left style="thick">
        <color indexed="64"/>
      </left>
      <right style="thin">
        <color indexed="64"/>
      </right>
      <top/>
      <bottom style="thin">
        <color indexed="64"/>
      </bottom>
      <diagonal/>
    </border>
    <border>
      <left style="thin">
        <color indexed="64"/>
      </left>
      <right style="thick">
        <color indexed="64"/>
      </right>
      <top/>
      <bottom style="thin">
        <color indexed="64"/>
      </bottom>
      <diagonal/>
    </border>
    <border>
      <left style="thick">
        <color indexed="64"/>
      </left>
      <right style="thin">
        <color indexed="64"/>
      </right>
      <top style="thin">
        <color indexed="64"/>
      </top>
      <bottom style="thick">
        <color indexed="64"/>
      </bottom>
      <diagonal/>
    </border>
    <border>
      <left style="thin">
        <color indexed="64"/>
      </left>
      <right style="thin">
        <color indexed="64"/>
      </right>
      <top style="thin">
        <color indexed="64"/>
      </top>
      <bottom style="thick">
        <color indexed="64"/>
      </bottom>
      <diagonal/>
    </border>
    <border>
      <left style="thin">
        <color indexed="64"/>
      </left>
      <right style="thick">
        <color indexed="64"/>
      </right>
      <top style="thin">
        <color indexed="64"/>
      </top>
      <bottom style="thick">
        <color indexed="64"/>
      </bottom>
      <diagonal/>
    </border>
    <border>
      <left style="thick">
        <color indexed="64"/>
      </left>
      <right style="thin">
        <color indexed="64"/>
      </right>
      <top style="thick">
        <color indexed="64"/>
      </top>
      <bottom style="thin">
        <color indexed="64"/>
      </bottom>
      <diagonal/>
    </border>
    <border>
      <left style="thin">
        <color indexed="64"/>
      </left>
      <right/>
      <top style="thin">
        <color indexed="64"/>
      </top>
      <bottom style="thick">
        <color indexed="64"/>
      </bottom>
      <diagonal/>
    </border>
    <border>
      <left style="thick">
        <color indexed="64"/>
      </left>
      <right/>
      <top style="thick">
        <color indexed="64"/>
      </top>
      <bottom/>
      <diagonal/>
    </border>
    <border>
      <left/>
      <right/>
      <top style="thick">
        <color indexed="64"/>
      </top>
      <bottom/>
      <diagonal/>
    </border>
    <border>
      <left/>
      <right style="thick">
        <color indexed="64"/>
      </right>
      <top style="thick">
        <color indexed="64"/>
      </top>
      <bottom/>
      <diagonal/>
    </border>
    <border>
      <left style="thick">
        <color indexed="64"/>
      </left>
      <right/>
      <top/>
      <bottom style="thick">
        <color indexed="64"/>
      </bottom>
      <diagonal/>
    </border>
    <border>
      <left/>
      <right/>
      <top/>
      <bottom style="thick">
        <color indexed="64"/>
      </bottom>
      <diagonal/>
    </border>
    <border>
      <left/>
      <right style="thick">
        <color indexed="64"/>
      </right>
      <top/>
      <bottom style="thick">
        <color indexed="64"/>
      </bottom>
      <diagonal/>
    </border>
    <border>
      <left style="thin">
        <color rgb="FFFF0000"/>
      </left>
      <right style="thin">
        <color indexed="64"/>
      </right>
      <top style="thin">
        <color rgb="FFFF0000"/>
      </top>
      <bottom style="thin">
        <color rgb="FFFF0000"/>
      </bottom>
      <diagonal/>
    </border>
    <border>
      <left style="thin">
        <color indexed="64"/>
      </left>
      <right style="thin">
        <color indexed="64"/>
      </right>
      <top style="thin">
        <color rgb="FFFF0000"/>
      </top>
      <bottom style="thin">
        <color rgb="FFFF0000"/>
      </bottom>
      <diagonal/>
    </border>
    <border>
      <left style="thin">
        <color indexed="64"/>
      </left>
      <right style="thin">
        <color rgb="FFFF0000"/>
      </right>
      <top style="thin">
        <color rgb="FFFF0000"/>
      </top>
      <bottom style="thin">
        <color rgb="FFFF0000"/>
      </bottom>
      <diagonal/>
    </border>
    <border>
      <left style="thin">
        <color rgb="FFFF0000"/>
      </left>
      <right/>
      <top style="thin">
        <color rgb="FFFF0000"/>
      </top>
      <bottom style="thin">
        <color rgb="FFFF0000"/>
      </bottom>
      <diagonal/>
    </border>
    <border>
      <left/>
      <right/>
      <top style="thin">
        <color rgb="FFFF0000"/>
      </top>
      <bottom style="thin">
        <color rgb="FFFF0000"/>
      </bottom>
      <diagonal/>
    </border>
    <border>
      <left/>
      <right style="thin">
        <color indexed="64"/>
      </right>
      <top style="thin">
        <color rgb="FFFF0000"/>
      </top>
      <bottom style="thin">
        <color rgb="FFFF0000"/>
      </bottom>
      <diagonal/>
    </border>
    <border>
      <left style="thin">
        <color indexed="64"/>
      </left>
      <right/>
      <top style="thin">
        <color rgb="FFFF0000"/>
      </top>
      <bottom style="thin">
        <color rgb="FFFF0000"/>
      </bottom>
      <diagonal/>
    </border>
    <border>
      <left/>
      <right style="thin">
        <color rgb="FFFF0000"/>
      </right>
      <top style="thin">
        <color rgb="FFFF0000"/>
      </top>
      <bottom style="thin">
        <color rgb="FFFF0000"/>
      </bottom>
      <diagonal/>
    </border>
    <border>
      <left/>
      <right style="thin">
        <color theme="1"/>
      </right>
      <top/>
      <bottom style="thin">
        <color indexed="64"/>
      </bottom>
      <diagonal/>
    </border>
    <border>
      <left style="thin">
        <color theme="1"/>
      </left>
      <right/>
      <top/>
      <bottom/>
      <diagonal/>
    </border>
    <border>
      <left style="thin">
        <color theme="1"/>
      </left>
      <right style="thin">
        <color theme="1"/>
      </right>
      <top/>
      <bottom style="thin">
        <color theme="1"/>
      </bottom>
      <diagonal/>
    </border>
    <border>
      <left style="thin">
        <color theme="1"/>
      </left>
      <right style="thin">
        <color theme="1"/>
      </right>
      <top style="thin">
        <color theme="1"/>
      </top>
      <bottom style="thin">
        <color theme="1"/>
      </bottom>
      <diagonal/>
    </border>
    <border>
      <left/>
      <right style="thin">
        <color theme="1"/>
      </right>
      <top/>
      <bottom/>
      <diagonal/>
    </border>
    <border>
      <left style="thin">
        <color theme="1"/>
      </left>
      <right style="thin">
        <color theme="1"/>
      </right>
      <top/>
      <bottom/>
      <diagonal/>
    </border>
    <border>
      <left style="thin">
        <color theme="1"/>
      </left>
      <right/>
      <top style="thin">
        <color indexed="64"/>
      </top>
      <bottom style="thin">
        <color indexed="64"/>
      </bottom>
      <diagonal/>
    </border>
    <border>
      <left/>
      <right style="thin">
        <color theme="1"/>
      </right>
      <top style="thin">
        <color indexed="64"/>
      </top>
      <bottom style="thin">
        <color indexed="64"/>
      </bottom>
      <diagonal/>
    </border>
    <border>
      <left style="thin">
        <color theme="1"/>
      </left>
      <right/>
      <top/>
      <bottom style="thin">
        <color indexed="64"/>
      </bottom>
      <diagonal/>
    </border>
    <border>
      <left style="thin">
        <color theme="1"/>
      </left>
      <right style="thin">
        <color theme="1"/>
      </right>
      <top style="thin">
        <color theme="1"/>
      </top>
      <bottom/>
      <diagonal/>
    </border>
    <border>
      <left style="thin">
        <color theme="1"/>
      </left>
      <right/>
      <top style="thin">
        <color theme="1"/>
      </top>
      <bottom/>
      <diagonal/>
    </border>
    <border>
      <left/>
      <right style="thin">
        <color theme="1"/>
      </right>
      <top style="thin">
        <color theme="1"/>
      </top>
      <bottom/>
      <diagonal/>
    </border>
    <border>
      <left/>
      <right/>
      <top style="thin">
        <color theme="1"/>
      </top>
      <bottom/>
      <diagonal/>
    </border>
    <border>
      <left/>
      <right style="thin">
        <color theme="1"/>
      </right>
      <top style="thin">
        <color theme="1"/>
      </top>
      <bottom style="thin">
        <color theme="1"/>
      </bottom>
      <diagonal/>
    </border>
    <border>
      <left style="thin">
        <color theme="1"/>
      </left>
      <right/>
      <top style="thin">
        <color theme="1"/>
      </top>
      <bottom style="thin">
        <color theme="1"/>
      </bottom>
      <diagonal/>
    </border>
    <border>
      <left/>
      <right/>
      <top style="thin">
        <color theme="1"/>
      </top>
      <bottom style="thin">
        <color theme="1"/>
      </bottom>
      <diagonal/>
    </border>
    <border>
      <left style="thin">
        <color theme="1"/>
      </left>
      <right style="thin">
        <color rgb="FFFF0000"/>
      </right>
      <top style="thin">
        <color theme="1"/>
      </top>
      <bottom style="thin">
        <color rgb="FFFF0000"/>
      </bottom>
      <diagonal/>
    </border>
    <border>
      <left style="thin">
        <color rgb="FFFF0000"/>
      </left>
      <right style="thin">
        <color rgb="FFFF0000"/>
      </right>
      <top style="thin">
        <color theme="1"/>
      </top>
      <bottom style="thin">
        <color rgb="FFFF0000"/>
      </bottom>
      <diagonal/>
    </border>
    <border>
      <left style="thin">
        <color rgb="FFFF0000"/>
      </left>
      <right style="thin">
        <color theme="1"/>
      </right>
      <top style="thin">
        <color theme="1"/>
      </top>
      <bottom style="thin">
        <color rgb="FFFF0000"/>
      </bottom>
      <diagonal/>
    </border>
    <border>
      <left style="thin">
        <color rgb="FFFF0000"/>
      </left>
      <right style="thin">
        <color rgb="FFFF0000"/>
      </right>
      <top/>
      <bottom style="thin">
        <color rgb="FFFF0000"/>
      </bottom>
      <diagonal/>
    </border>
    <border>
      <left style="thin">
        <color rgb="FFFF0000"/>
      </left>
      <right style="thin">
        <color rgb="FFFF0000"/>
      </right>
      <top style="thin">
        <color rgb="FFFF0000"/>
      </top>
      <bottom style="thin">
        <color rgb="FFFF0000"/>
      </bottom>
      <diagonal/>
    </border>
    <border>
      <left style="thin">
        <color indexed="64"/>
      </left>
      <right style="thin">
        <color indexed="64"/>
      </right>
      <top style="thin">
        <color rgb="FFFF0000"/>
      </top>
      <bottom/>
      <diagonal/>
    </border>
    <border>
      <left style="thin">
        <color indexed="64"/>
      </left>
      <right/>
      <top style="thin">
        <color rgb="FFFF0000"/>
      </top>
      <bottom/>
      <diagonal/>
    </border>
    <border>
      <left style="thin">
        <color indexed="64"/>
      </left>
      <right style="thin">
        <color indexed="64"/>
      </right>
      <top style="thin">
        <color theme="1"/>
      </top>
      <bottom style="thin">
        <color indexed="64"/>
      </bottom>
      <diagonal/>
    </border>
    <border>
      <left style="thin">
        <color indexed="64"/>
      </left>
      <right/>
      <top style="thin">
        <color theme="1"/>
      </top>
      <bottom style="thin">
        <color indexed="64"/>
      </bottom>
      <diagonal/>
    </border>
    <border>
      <left style="thin">
        <color indexed="64"/>
      </left>
      <right/>
      <top style="thin">
        <color indexed="64"/>
      </top>
      <bottom style="thin">
        <color theme="1"/>
      </bottom>
      <diagonal/>
    </border>
    <border>
      <left/>
      <right/>
      <top style="thin">
        <color indexed="64"/>
      </top>
      <bottom style="thin">
        <color theme="1"/>
      </bottom>
      <diagonal/>
    </border>
    <border>
      <left/>
      <right style="thin">
        <color indexed="64"/>
      </right>
      <top style="thin">
        <color indexed="64"/>
      </top>
      <bottom style="thin">
        <color theme="1"/>
      </bottom>
      <diagonal/>
    </border>
    <border>
      <left style="thin">
        <color theme="1"/>
      </left>
      <right/>
      <top/>
      <bottom style="thin">
        <color theme="1"/>
      </bottom>
      <diagonal/>
    </border>
    <border>
      <left/>
      <right/>
      <top/>
      <bottom style="thin">
        <color theme="1"/>
      </bottom>
      <diagonal/>
    </border>
    <border>
      <left/>
      <right style="thin">
        <color theme="1"/>
      </right>
      <top/>
      <bottom style="thin">
        <color theme="1"/>
      </bottom>
      <diagonal/>
    </border>
    <border>
      <left style="thin">
        <color indexed="64"/>
      </left>
      <right/>
      <top style="thin">
        <color indexed="64"/>
      </top>
      <bottom style="thin">
        <color rgb="FFFF0000"/>
      </bottom>
      <diagonal/>
    </border>
    <border>
      <left/>
      <right/>
      <top style="thin">
        <color indexed="64"/>
      </top>
      <bottom style="thin">
        <color rgb="FFFF0000"/>
      </bottom>
      <diagonal/>
    </border>
    <border>
      <left/>
      <right style="thin">
        <color indexed="64"/>
      </right>
      <top style="thin">
        <color indexed="64"/>
      </top>
      <bottom style="thin">
        <color rgb="FFFF0000"/>
      </bottom>
      <diagonal/>
    </border>
    <border>
      <left style="thin">
        <color rgb="FFFF0000"/>
      </left>
      <right style="thin">
        <color indexed="64"/>
      </right>
      <top/>
      <bottom style="thin">
        <color rgb="FFFF0000"/>
      </bottom>
      <diagonal/>
    </border>
    <border>
      <left style="thin">
        <color indexed="64"/>
      </left>
      <right style="thin">
        <color indexed="64"/>
      </right>
      <top/>
      <bottom style="thin">
        <color rgb="FFFF0000"/>
      </bottom>
      <diagonal/>
    </border>
    <border>
      <left style="thin">
        <color indexed="64"/>
      </left>
      <right/>
      <top style="thin">
        <color rgb="FFFF0000"/>
      </top>
      <bottom style="thin">
        <color indexed="64"/>
      </bottom>
      <diagonal/>
    </border>
    <border>
      <left/>
      <right/>
      <top style="thin">
        <color rgb="FFFF0000"/>
      </top>
      <bottom style="thin">
        <color indexed="64"/>
      </bottom>
      <diagonal/>
    </border>
    <border>
      <left/>
      <right style="thin">
        <color indexed="64"/>
      </right>
      <top style="thin">
        <color rgb="FFFF0000"/>
      </top>
      <bottom style="thin">
        <color indexed="64"/>
      </bottom>
      <diagonal/>
    </border>
    <border>
      <left style="thin">
        <color indexed="64"/>
      </left>
      <right style="thin">
        <color theme="1"/>
      </right>
      <top/>
      <bottom/>
      <diagonal/>
    </border>
    <border>
      <left style="thin">
        <color indexed="64"/>
      </left>
      <right style="thin">
        <color indexed="64"/>
      </right>
      <top/>
      <bottom/>
      <diagonal/>
    </border>
  </borders>
  <cellStyleXfs count="1">
    <xf numFmtId="0" fontId="0" fillId="0" borderId="0">
      <alignment vertical="center"/>
    </xf>
  </cellStyleXfs>
  <cellXfs count="605">
    <xf numFmtId="0" fontId="0" fillId="0" borderId="0" xfId="0">
      <alignment vertical="center"/>
    </xf>
    <xf numFmtId="0" fontId="0" fillId="0" borderId="0" xfId="0" applyAlignment="1">
      <alignment horizontal="center" vertical="center"/>
    </xf>
    <xf numFmtId="0" fontId="0" fillId="0" borderId="11" xfId="0" applyBorder="1">
      <alignment vertical="center"/>
    </xf>
    <xf numFmtId="0" fontId="0" fillId="0" borderId="16" xfId="0" applyBorder="1">
      <alignment vertical="center"/>
    </xf>
    <xf numFmtId="0" fontId="0" fillId="0" borderId="24" xfId="0" applyBorder="1">
      <alignment vertical="center"/>
    </xf>
    <xf numFmtId="0" fontId="0" fillId="0" borderId="28" xfId="0" applyBorder="1">
      <alignment vertical="center"/>
    </xf>
    <xf numFmtId="0" fontId="0" fillId="0" borderId="25" xfId="0" applyBorder="1">
      <alignment vertical="center"/>
    </xf>
    <xf numFmtId="0" fontId="0" fillId="0" borderId="0" xfId="0" applyAlignment="1">
      <alignment horizontal="left" vertical="center"/>
    </xf>
    <xf numFmtId="0" fontId="0" fillId="0" borderId="10" xfId="0" applyBorder="1">
      <alignment vertical="center"/>
    </xf>
    <xf numFmtId="0" fontId="0" fillId="0" borderId="11" xfId="0" applyBorder="1" applyAlignment="1">
      <alignment horizontal="left" vertical="center"/>
    </xf>
    <xf numFmtId="0" fontId="0" fillId="0" borderId="10" xfId="0" applyBorder="1" applyAlignment="1">
      <alignment horizontal="right" vertical="center"/>
    </xf>
    <xf numFmtId="0" fontId="0" fillId="0" borderId="17" xfId="0" applyBorder="1" applyAlignment="1">
      <alignment horizontal="center" vertical="center"/>
    </xf>
    <xf numFmtId="0" fontId="6" fillId="0" borderId="17" xfId="0" applyFont="1" applyBorder="1" applyAlignment="1">
      <alignment horizontal="center" vertical="center"/>
    </xf>
    <xf numFmtId="0" fontId="0" fillId="0" borderId="0" xfId="0" applyAlignment="1">
      <alignment horizontal="right" vertical="center"/>
    </xf>
    <xf numFmtId="0" fontId="0" fillId="0" borderId="12" xfId="0" applyBorder="1" applyAlignment="1">
      <alignment horizontal="left" vertical="center"/>
    </xf>
    <xf numFmtId="0" fontId="0" fillId="2" borderId="17" xfId="0" applyFill="1" applyBorder="1" applyAlignment="1">
      <alignment horizontal="center" vertical="center"/>
    </xf>
    <xf numFmtId="0" fontId="0" fillId="0" borderId="16" xfId="0" applyBorder="1" applyAlignment="1">
      <alignment horizontal="right" vertical="center"/>
    </xf>
    <xf numFmtId="0" fontId="0" fillId="0" borderId="4" xfId="0" applyBorder="1" applyAlignment="1">
      <alignment horizontal="center" vertical="center"/>
    </xf>
    <xf numFmtId="0" fontId="6" fillId="0" borderId="4" xfId="0" applyFont="1" applyBorder="1" applyAlignment="1">
      <alignment horizontal="center" vertical="center"/>
    </xf>
    <xf numFmtId="0" fontId="0" fillId="2" borderId="4" xfId="0" applyFill="1" applyBorder="1">
      <alignment vertical="center"/>
    </xf>
    <xf numFmtId="0" fontId="0" fillId="2" borderId="17" xfId="0" applyFill="1" applyBorder="1">
      <alignment vertical="center"/>
    </xf>
    <xf numFmtId="0" fontId="0" fillId="0" borderId="14" xfId="0" applyBorder="1">
      <alignment vertical="center"/>
    </xf>
    <xf numFmtId="0" fontId="0" fillId="9" borderId="0" xfId="0" applyFill="1">
      <alignment vertical="center"/>
    </xf>
    <xf numFmtId="0" fontId="0" fillId="0" borderId="18" xfId="0" applyBorder="1" applyAlignment="1">
      <alignment horizontal="left" vertical="center"/>
    </xf>
    <xf numFmtId="0" fontId="0" fillId="2" borderId="5" xfId="0" applyFill="1" applyBorder="1">
      <alignment vertical="center"/>
    </xf>
    <xf numFmtId="0" fontId="0" fillId="0" borderId="14" xfId="0" applyBorder="1" applyAlignment="1">
      <alignment horizontal="center" vertical="center"/>
    </xf>
    <xf numFmtId="20" fontId="0" fillId="0" borderId="28" xfId="0" applyNumberFormat="1" applyBorder="1">
      <alignment vertical="center"/>
    </xf>
    <xf numFmtId="0" fontId="0" fillId="0" borderId="11" xfId="0" applyBorder="1" applyAlignment="1">
      <alignment horizontal="center" vertical="center"/>
    </xf>
    <xf numFmtId="0" fontId="0" fillId="3" borderId="5" xfId="0" applyFill="1" applyBorder="1" applyAlignment="1">
      <alignment horizontal="center" vertical="center"/>
    </xf>
    <xf numFmtId="0" fontId="0" fillId="3" borderId="19" xfId="0" applyFill="1" applyBorder="1" applyAlignment="1">
      <alignment horizontal="center" vertical="center"/>
    </xf>
    <xf numFmtId="0" fontId="7" fillId="3" borderId="5" xfId="0" applyFont="1" applyFill="1" applyBorder="1" applyAlignment="1">
      <alignment horizontal="center" vertical="center"/>
    </xf>
    <xf numFmtId="0" fontId="0" fillId="2" borderId="6" xfId="0" applyFill="1" applyBorder="1">
      <alignment vertical="center"/>
    </xf>
    <xf numFmtId="0" fontId="5" fillId="0" borderId="0" xfId="0" applyFont="1">
      <alignment vertical="center"/>
    </xf>
    <xf numFmtId="46" fontId="0" fillId="0" borderId="0" xfId="0" applyNumberFormat="1">
      <alignment vertical="center"/>
    </xf>
    <xf numFmtId="0" fontId="0" fillId="0" borderId="0" xfId="0" applyAlignment="1">
      <alignment horizontal="center" vertical="center" wrapText="1"/>
    </xf>
    <xf numFmtId="46" fontId="0" fillId="0" borderId="0" xfId="0" applyNumberFormat="1" applyAlignment="1">
      <alignment horizontal="center" vertical="center"/>
    </xf>
    <xf numFmtId="46" fontId="10" fillId="0" borderId="0" xfId="0" applyNumberFormat="1" applyFont="1" applyAlignment="1">
      <alignment horizontal="center" vertical="center"/>
    </xf>
    <xf numFmtId="0" fontId="0" fillId="0" borderId="72" xfId="0" applyBorder="1">
      <alignment vertical="center"/>
    </xf>
    <xf numFmtId="0" fontId="0" fillId="0" borderId="0" xfId="0" applyAlignment="1">
      <alignment vertical="center" wrapText="1"/>
    </xf>
    <xf numFmtId="0" fontId="16" fillId="0" borderId="0" xfId="0" applyFont="1">
      <alignment vertical="center"/>
    </xf>
    <xf numFmtId="0" fontId="2" fillId="0" borderId="0" xfId="0" applyFont="1">
      <alignment vertical="center"/>
    </xf>
    <xf numFmtId="0" fontId="0" fillId="12" borderId="102" xfId="0" applyFill="1" applyBorder="1">
      <alignment vertical="center"/>
    </xf>
    <xf numFmtId="0" fontId="0" fillId="12" borderId="103" xfId="0" applyFill="1" applyBorder="1">
      <alignment vertical="center"/>
    </xf>
    <xf numFmtId="0" fontId="0" fillId="12" borderId="104" xfId="0" applyFill="1" applyBorder="1">
      <alignment vertical="center"/>
    </xf>
    <xf numFmtId="0" fontId="7" fillId="0" borderId="0" xfId="0" applyFont="1" applyAlignment="1">
      <alignment vertical="center" wrapText="1"/>
    </xf>
    <xf numFmtId="0" fontId="0" fillId="0" borderId="11" xfId="0" applyBorder="1" applyAlignment="1">
      <alignment horizontal="right" vertical="center"/>
    </xf>
    <xf numFmtId="0" fontId="0" fillId="2" borderId="5" xfId="0" applyFill="1" applyBorder="1" applyAlignment="1">
      <alignment horizontal="center" vertical="center"/>
    </xf>
    <xf numFmtId="0" fontId="19" fillId="0" borderId="0" xfId="0" applyFont="1">
      <alignment vertical="center"/>
    </xf>
    <xf numFmtId="0" fontId="0" fillId="2" borderId="17" xfId="0" applyFill="1" applyBorder="1" applyAlignment="1">
      <alignment horizontal="center" vertical="center"/>
    </xf>
    <xf numFmtId="0" fontId="0" fillId="0" borderId="14" xfId="0" applyBorder="1" applyAlignment="1">
      <alignment horizontal="center" vertical="center"/>
    </xf>
    <xf numFmtId="0" fontId="0" fillId="0" borderId="11" xfId="0" applyBorder="1" applyAlignment="1">
      <alignment horizontal="center" vertical="center"/>
    </xf>
    <xf numFmtId="0" fontId="0" fillId="6" borderId="48" xfId="0" applyFill="1" applyBorder="1" applyAlignment="1">
      <alignment horizontal="center" vertical="center"/>
    </xf>
    <xf numFmtId="0" fontId="0" fillId="6" borderId="5" xfId="0" applyFill="1" applyBorder="1" applyAlignment="1">
      <alignment horizontal="center" vertical="center"/>
    </xf>
    <xf numFmtId="0" fontId="0" fillId="6" borderId="49" xfId="0" applyFill="1" applyBorder="1" applyAlignment="1">
      <alignment horizontal="center" vertical="center"/>
    </xf>
    <xf numFmtId="0" fontId="0" fillId="3" borderId="52" xfId="0" applyFill="1" applyBorder="1" applyAlignment="1">
      <alignment horizontal="center" vertical="center"/>
    </xf>
    <xf numFmtId="0" fontId="0" fillId="3" borderId="53" xfId="0" applyFill="1" applyBorder="1" applyAlignment="1">
      <alignment horizontal="center" vertical="center"/>
    </xf>
    <xf numFmtId="0" fontId="0" fillId="3" borderId="54" xfId="0" applyFill="1" applyBorder="1" applyAlignment="1">
      <alignment horizontal="center" vertical="center"/>
    </xf>
    <xf numFmtId="0" fontId="3" fillId="0" borderId="14" xfId="0" applyFont="1" applyBorder="1" applyAlignment="1">
      <alignment horizontal="center" vertical="center"/>
    </xf>
    <xf numFmtId="0" fontId="3" fillId="0" borderId="0" xfId="0" applyFont="1" applyAlignment="1">
      <alignment horizontal="center" vertical="center"/>
    </xf>
    <xf numFmtId="0" fontId="0" fillId="3" borderId="48" xfId="0" applyFill="1" applyBorder="1" applyAlignment="1">
      <alignment horizontal="center" vertical="center"/>
    </xf>
    <xf numFmtId="0" fontId="0" fillId="3" borderId="5" xfId="0" applyFill="1" applyBorder="1" applyAlignment="1">
      <alignment horizontal="center" vertical="center"/>
    </xf>
    <xf numFmtId="0" fontId="0" fillId="3" borderId="49" xfId="0" applyFill="1" applyBorder="1" applyAlignment="1">
      <alignment horizontal="center" vertical="center"/>
    </xf>
    <xf numFmtId="0" fontId="0" fillId="6" borderId="50" xfId="0" applyFill="1" applyBorder="1" applyAlignment="1">
      <alignment horizontal="center" vertical="center"/>
    </xf>
    <xf numFmtId="0" fontId="0" fillId="6" borderId="20" xfId="0" applyFill="1" applyBorder="1" applyAlignment="1">
      <alignment horizontal="center" vertical="center"/>
    </xf>
    <xf numFmtId="0" fontId="0" fillId="6" borderId="51" xfId="0" applyFill="1" applyBorder="1" applyAlignment="1">
      <alignment horizontal="center" vertical="center"/>
    </xf>
    <xf numFmtId="0" fontId="0" fillId="0" borderId="0" xfId="0" applyAlignment="1">
      <alignment horizontal="center" vertical="center"/>
    </xf>
    <xf numFmtId="0" fontId="0" fillId="5" borderId="57" xfId="0" applyFill="1" applyBorder="1" applyAlignment="1">
      <alignment horizontal="center" vertical="center"/>
    </xf>
    <xf numFmtId="0" fontId="0" fillId="5" borderId="58" xfId="0" applyFill="1" applyBorder="1" applyAlignment="1">
      <alignment horizontal="center" vertical="center"/>
    </xf>
    <xf numFmtId="0" fontId="0" fillId="5" borderId="59" xfId="0" applyFill="1" applyBorder="1" applyAlignment="1">
      <alignment horizontal="center" vertical="center"/>
    </xf>
    <xf numFmtId="0" fontId="0" fillId="5" borderId="60" xfId="0" applyFill="1" applyBorder="1" applyAlignment="1">
      <alignment horizontal="center" vertical="center"/>
    </xf>
    <xf numFmtId="0" fontId="0" fillId="5" borderId="61" xfId="0" applyFill="1" applyBorder="1" applyAlignment="1">
      <alignment horizontal="center" vertical="center"/>
    </xf>
    <xf numFmtId="0" fontId="0" fillId="5" borderId="62" xfId="0" applyFill="1" applyBorder="1" applyAlignment="1">
      <alignment horizontal="center" vertical="center"/>
    </xf>
    <xf numFmtId="0" fontId="0" fillId="6" borderId="55" xfId="0" applyFill="1" applyBorder="1" applyAlignment="1">
      <alignment horizontal="center" vertical="center"/>
    </xf>
    <xf numFmtId="0" fontId="0" fillId="6" borderId="45" xfId="0" applyFill="1" applyBorder="1" applyAlignment="1">
      <alignment horizontal="center" vertical="center"/>
    </xf>
    <xf numFmtId="0" fontId="0" fillId="6" borderId="47" xfId="0" applyFill="1" applyBorder="1" applyAlignment="1">
      <alignment horizontal="center" vertical="center"/>
    </xf>
    <xf numFmtId="0" fontId="0" fillId="8" borderId="48" xfId="0" applyFill="1" applyBorder="1" applyAlignment="1">
      <alignment horizontal="center" vertical="center"/>
    </xf>
    <xf numFmtId="0" fontId="0" fillId="8" borderId="5" xfId="0" applyFill="1" applyBorder="1" applyAlignment="1">
      <alignment horizontal="center" vertical="center"/>
    </xf>
    <xf numFmtId="0" fontId="0" fillId="8" borderId="49" xfId="0" applyFill="1" applyBorder="1" applyAlignment="1">
      <alignment horizontal="center" vertical="center"/>
    </xf>
    <xf numFmtId="0" fontId="0" fillId="8" borderId="50" xfId="0" applyFill="1" applyBorder="1" applyAlignment="1">
      <alignment horizontal="center" vertical="center"/>
    </xf>
    <xf numFmtId="0" fontId="0" fillId="8" borderId="20" xfId="0" applyFill="1" applyBorder="1" applyAlignment="1">
      <alignment horizontal="center" vertical="center"/>
    </xf>
    <xf numFmtId="0" fontId="0" fillId="8" borderId="51" xfId="0" applyFill="1" applyBorder="1" applyAlignment="1">
      <alignment horizontal="center" vertical="center"/>
    </xf>
    <xf numFmtId="0" fontId="0" fillId="8" borderId="55" xfId="0" applyFill="1" applyBorder="1" applyAlignment="1">
      <alignment horizontal="center" vertical="center"/>
    </xf>
    <xf numFmtId="0" fontId="0" fillId="8" borderId="45" xfId="0" applyFill="1" applyBorder="1" applyAlignment="1">
      <alignment horizontal="center" vertical="center"/>
    </xf>
    <xf numFmtId="0" fontId="0" fillId="8" borderId="47" xfId="0" applyFill="1" applyBorder="1" applyAlignment="1">
      <alignment horizontal="center" vertical="center"/>
    </xf>
    <xf numFmtId="0" fontId="0" fillId="0" borderId="0" xfId="0" quotePrefix="1" applyAlignment="1">
      <alignment horizontal="center" vertical="center"/>
    </xf>
    <xf numFmtId="0" fontId="0" fillId="0" borderId="16" xfId="0" applyBorder="1" applyAlignment="1">
      <alignment horizontal="center" vertical="center"/>
    </xf>
    <xf numFmtId="0" fontId="4" fillId="2" borderId="42" xfId="0" applyFont="1" applyFill="1" applyBorder="1" applyAlignment="1">
      <alignment horizontal="center" vertical="center" wrapText="1"/>
    </xf>
    <xf numFmtId="0" fontId="3" fillId="2" borderId="43" xfId="0" applyFont="1" applyFill="1" applyBorder="1" applyAlignment="1">
      <alignment horizontal="center" vertical="center" wrapText="1"/>
    </xf>
    <xf numFmtId="0" fontId="3" fillId="2" borderId="44" xfId="0" applyFont="1" applyFill="1" applyBorder="1" applyAlignment="1">
      <alignment horizontal="center" vertical="center" wrapText="1"/>
    </xf>
    <xf numFmtId="0" fontId="0" fillId="2" borderId="46" xfId="0" applyFill="1" applyBorder="1" applyAlignment="1">
      <alignment horizontal="center" vertical="center"/>
    </xf>
    <xf numFmtId="0" fontId="0" fillId="2" borderId="43" xfId="0" applyFill="1" applyBorder="1" applyAlignment="1">
      <alignment horizontal="center" vertical="center"/>
    </xf>
    <xf numFmtId="0" fontId="0" fillId="2" borderId="44" xfId="0" applyFill="1" applyBorder="1" applyAlignment="1">
      <alignment horizontal="center" vertical="center"/>
    </xf>
    <xf numFmtId="0" fontId="0" fillId="2" borderId="45" xfId="0" applyFill="1" applyBorder="1" applyAlignment="1">
      <alignment horizontal="center" vertical="center"/>
    </xf>
    <xf numFmtId="0" fontId="0" fillId="2" borderId="47" xfId="0" applyFill="1" applyBorder="1" applyAlignment="1">
      <alignment horizontal="center" vertical="center"/>
    </xf>
    <xf numFmtId="0" fontId="0" fillId="3" borderId="56" xfId="0" applyFill="1" applyBorder="1" applyAlignment="1">
      <alignment horizontal="center" vertical="center"/>
    </xf>
    <xf numFmtId="0" fontId="0" fillId="3" borderId="2" xfId="0" applyFill="1" applyBorder="1" applyAlignment="1">
      <alignment horizontal="center" vertical="center"/>
    </xf>
    <xf numFmtId="0" fontId="0" fillId="3" borderId="1" xfId="0" applyFill="1" applyBorder="1" applyAlignment="1">
      <alignment horizontal="center" vertical="center"/>
    </xf>
    <xf numFmtId="0" fontId="4" fillId="2" borderId="9" xfId="0" applyFont="1" applyFill="1" applyBorder="1" applyAlignment="1">
      <alignment horizontal="center" vertical="center" wrapText="1"/>
    </xf>
    <xf numFmtId="0" fontId="3" fillId="2" borderId="8" xfId="0" applyFont="1" applyFill="1" applyBorder="1" applyAlignment="1">
      <alignment horizontal="center" vertical="center" wrapText="1"/>
    </xf>
    <xf numFmtId="0" fontId="0" fillId="2" borderId="22" xfId="0" applyFill="1" applyBorder="1" applyAlignment="1">
      <alignment horizontal="center" vertical="center"/>
    </xf>
    <xf numFmtId="0" fontId="0" fillId="2" borderId="23" xfId="0" applyFill="1" applyBorder="1" applyAlignment="1">
      <alignment horizontal="center" vertical="center"/>
    </xf>
    <xf numFmtId="0" fontId="0" fillId="2" borderId="8" xfId="0" applyFill="1" applyBorder="1" applyAlignment="1">
      <alignment horizontal="center" vertical="center"/>
    </xf>
    <xf numFmtId="0" fontId="0" fillId="2" borderId="7" xfId="0" applyFill="1" applyBorder="1" applyAlignment="1">
      <alignment horizontal="center" vertical="center"/>
    </xf>
    <xf numFmtId="0" fontId="0" fillId="3" borderId="3" xfId="0" applyFill="1" applyBorder="1" applyAlignment="1">
      <alignment horizontal="center" vertical="center"/>
    </xf>
    <xf numFmtId="0" fontId="0" fillId="3" borderId="32" xfId="0" applyFill="1" applyBorder="1" applyAlignment="1">
      <alignment horizontal="center" vertical="center"/>
    </xf>
    <xf numFmtId="0" fontId="0" fillId="0" borderId="39" xfId="0" quotePrefix="1" applyBorder="1" applyAlignment="1">
      <alignment horizontal="center" vertical="center"/>
    </xf>
    <xf numFmtId="0" fontId="0" fillId="0" borderId="39" xfId="0" applyBorder="1" applyAlignment="1">
      <alignment horizontal="center" vertical="center"/>
    </xf>
    <xf numFmtId="0" fontId="0" fillId="0" borderId="40" xfId="0" applyBorder="1" applyAlignment="1">
      <alignment horizontal="center" vertical="center"/>
    </xf>
    <xf numFmtId="0" fontId="0" fillId="0" borderId="14" xfId="0" applyBorder="1" applyAlignment="1">
      <alignment horizontal="right" vertical="center"/>
    </xf>
    <xf numFmtId="0" fontId="0" fillId="0" borderId="11" xfId="0" applyBorder="1" applyAlignment="1">
      <alignment horizontal="right" vertical="center"/>
    </xf>
    <xf numFmtId="0" fontId="0" fillId="2" borderId="9" xfId="0" applyFill="1" applyBorder="1" applyAlignment="1">
      <alignment horizontal="center" vertical="center"/>
    </xf>
    <xf numFmtId="0" fontId="4" fillId="2" borderId="21" xfId="0" applyFont="1" applyFill="1" applyBorder="1" applyAlignment="1">
      <alignment horizontal="center" vertical="center" wrapText="1"/>
    </xf>
    <xf numFmtId="0" fontId="3" fillId="2" borderId="22" xfId="0" applyFont="1" applyFill="1" applyBorder="1" applyAlignment="1">
      <alignment horizontal="center" vertical="center" wrapText="1"/>
    </xf>
    <xf numFmtId="0" fontId="3" fillId="2" borderId="23" xfId="0" applyFont="1" applyFill="1" applyBorder="1" applyAlignment="1">
      <alignment horizontal="center" vertical="center" wrapText="1"/>
    </xf>
    <xf numFmtId="0" fontId="0" fillId="3" borderId="30" xfId="0" applyFill="1" applyBorder="1" applyAlignment="1">
      <alignment horizontal="center" vertical="center"/>
    </xf>
    <xf numFmtId="0" fontId="0" fillId="3" borderId="31" xfId="0" applyFill="1" applyBorder="1" applyAlignment="1">
      <alignment horizontal="center" vertical="center"/>
    </xf>
    <xf numFmtId="0" fontId="0" fillId="3" borderId="19" xfId="0" applyFill="1" applyBorder="1" applyAlignment="1">
      <alignment horizontal="center" vertical="center"/>
    </xf>
    <xf numFmtId="0" fontId="0" fillId="3" borderId="26" xfId="0" applyFill="1" applyBorder="1" applyAlignment="1">
      <alignment horizontal="center" vertical="center"/>
    </xf>
    <xf numFmtId="0" fontId="0" fillId="3" borderId="27" xfId="0" applyFill="1" applyBorder="1" applyAlignment="1">
      <alignment horizontal="center" vertical="center"/>
    </xf>
    <xf numFmtId="0" fontId="0" fillId="0" borderId="0" xfId="0" applyAlignment="1">
      <alignment horizontal="right" vertical="center"/>
    </xf>
    <xf numFmtId="0" fontId="0" fillId="6" borderId="21" xfId="0" applyFill="1" applyBorder="1" applyAlignment="1">
      <alignment horizontal="center" vertical="center"/>
    </xf>
    <xf numFmtId="0" fontId="0" fillId="6" borderId="22" xfId="0" applyFill="1" applyBorder="1" applyAlignment="1">
      <alignment horizontal="center" vertical="center"/>
    </xf>
    <xf numFmtId="0" fontId="0" fillId="6" borderId="29" xfId="0" applyFill="1" applyBorder="1" applyAlignment="1">
      <alignment horizontal="center" vertical="center"/>
    </xf>
    <xf numFmtId="0" fontId="0" fillId="3" borderId="34" xfId="0" applyFill="1" applyBorder="1" applyAlignment="1">
      <alignment horizontal="center" vertical="center"/>
    </xf>
    <xf numFmtId="0" fontId="0" fillId="5" borderId="35" xfId="0" applyFill="1" applyBorder="1" applyAlignment="1">
      <alignment horizontal="center" vertical="center"/>
    </xf>
    <xf numFmtId="0" fontId="0" fillId="5" borderId="36" xfId="0" applyFill="1" applyBorder="1" applyAlignment="1">
      <alignment horizontal="center" vertical="center"/>
    </xf>
    <xf numFmtId="0" fontId="0" fillId="5" borderId="37" xfId="0" applyFill="1" applyBorder="1" applyAlignment="1">
      <alignment horizontal="center" vertical="center"/>
    </xf>
    <xf numFmtId="0" fontId="0" fillId="5" borderId="38" xfId="0" applyFill="1" applyBorder="1" applyAlignment="1">
      <alignment horizontal="center" vertical="center"/>
    </xf>
    <xf numFmtId="0" fontId="0" fillId="5" borderId="39" xfId="0" applyFill="1" applyBorder="1" applyAlignment="1">
      <alignment horizontal="center" vertical="center"/>
    </xf>
    <xf numFmtId="0" fontId="0" fillId="5" borderId="41" xfId="0" applyFill="1" applyBorder="1" applyAlignment="1">
      <alignment horizontal="center" vertical="center"/>
    </xf>
    <xf numFmtId="0" fontId="0" fillId="3" borderId="33" xfId="0" applyFill="1" applyBorder="1" applyAlignment="1">
      <alignment horizontal="center" vertical="center"/>
    </xf>
    <xf numFmtId="0" fontId="0" fillId="2" borderId="5" xfId="0" applyFill="1" applyBorder="1" applyAlignment="1">
      <alignment horizontal="center" vertical="center"/>
    </xf>
    <xf numFmtId="0" fontId="0" fillId="2" borderId="4" xfId="0" applyFill="1" applyBorder="1" applyAlignment="1">
      <alignment horizontal="center" vertical="center"/>
    </xf>
    <xf numFmtId="0" fontId="0" fillId="2" borderId="6" xfId="0" applyFill="1" applyBorder="1" applyAlignment="1">
      <alignment horizontal="center" vertical="center"/>
    </xf>
    <xf numFmtId="0" fontId="0" fillId="2" borderId="6" xfId="0" applyFill="1" applyBorder="1" applyAlignment="1">
      <alignment horizontal="right" vertical="center"/>
    </xf>
    <xf numFmtId="0" fontId="0" fillId="2" borderId="5" xfId="0" applyFill="1" applyBorder="1" applyAlignment="1">
      <alignment horizontal="right" vertical="center"/>
    </xf>
    <xf numFmtId="0" fontId="0" fillId="4" borderId="4" xfId="0" applyFill="1" applyBorder="1" applyAlignment="1">
      <alignment horizontal="center" vertical="center"/>
    </xf>
    <xf numFmtId="0" fontId="0" fillId="4" borderId="17" xfId="0" applyFill="1" applyBorder="1" applyAlignment="1">
      <alignment horizontal="center" vertical="center"/>
    </xf>
    <xf numFmtId="0" fontId="0" fillId="4" borderId="6" xfId="0" applyFill="1" applyBorder="1" applyAlignment="1">
      <alignment horizontal="center" vertical="center"/>
    </xf>
    <xf numFmtId="0" fontId="0" fillId="3" borderId="4" xfId="0" applyFill="1" applyBorder="1" applyAlignment="1">
      <alignment horizontal="center" vertical="center"/>
    </xf>
    <xf numFmtId="0" fontId="0" fillId="3" borderId="17" xfId="0" applyFill="1" applyBorder="1" applyAlignment="1">
      <alignment horizontal="center" vertical="center"/>
    </xf>
    <xf numFmtId="0" fontId="0" fillId="3" borderId="6" xfId="0" applyFill="1" applyBorder="1" applyAlignment="1">
      <alignment horizontal="center" vertical="center"/>
    </xf>
    <xf numFmtId="0" fontId="0" fillId="0" borderId="0" xfId="0" applyAlignment="1">
      <alignment horizontal="left" vertical="center"/>
    </xf>
    <xf numFmtId="0" fontId="0" fillId="2" borderId="17" xfId="0" applyFill="1" applyBorder="1" applyAlignment="1">
      <alignment horizontal="right" vertical="center"/>
    </xf>
    <xf numFmtId="0" fontId="0" fillId="0" borderId="18" xfId="0" applyBorder="1" applyAlignment="1">
      <alignment horizontal="left" vertical="center"/>
    </xf>
    <xf numFmtId="0" fontId="0" fillId="0" borderId="16" xfId="0" applyBorder="1" applyAlignment="1">
      <alignment horizontal="right" vertical="center"/>
    </xf>
    <xf numFmtId="0" fontId="4" fillId="0" borderId="11" xfId="0" applyFont="1" applyBorder="1" applyAlignment="1">
      <alignment horizontal="center" vertical="center"/>
    </xf>
    <xf numFmtId="0" fontId="0" fillId="0" borderId="12" xfId="0" applyBorder="1" applyAlignment="1">
      <alignment horizontal="center" vertical="center"/>
    </xf>
    <xf numFmtId="0" fontId="0" fillId="0" borderId="10" xfId="0" applyBorder="1" applyAlignment="1">
      <alignment horizontal="center" vertical="center"/>
    </xf>
    <xf numFmtId="0" fontId="0" fillId="0" borderId="12" xfId="0" applyBorder="1" applyAlignment="1">
      <alignment horizontal="left" vertical="center"/>
    </xf>
    <xf numFmtId="0" fontId="0" fillId="0" borderId="11" xfId="0" applyBorder="1" applyAlignment="1">
      <alignment horizontal="left" vertical="center"/>
    </xf>
    <xf numFmtId="0" fontId="0" fillId="0" borderId="10" xfId="0" applyBorder="1" applyAlignment="1">
      <alignment horizontal="right" vertical="center"/>
    </xf>
    <xf numFmtId="0" fontId="0" fillId="4" borderId="5" xfId="0" applyFill="1" applyBorder="1" applyAlignment="1">
      <alignment horizontal="center" vertical="center"/>
    </xf>
    <xf numFmtId="0" fontId="11" fillId="13" borderId="5" xfId="0" applyFont="1" applyFill="1" applyBorder="1" applyAlignment="1">
      <alignment horizontal="center" vertical="center"/>
    </xf>
    <xf numFmtId="0" fontId="12" fillId="13" borderId="5" xfId="0" applyFont="1" applyFill="1" applyBorder="1" applyAlignment="1">
      <alignment horizontal="center" vertical="center"/>
    </xf>
    <xf numFmtId="0" fontId="0" fillId="13" borderId="5" xfId="0" applyFill="1" applyBorder="1" applyAlignment="1">
      <alignment horizontal="center" vertical="center"/>
    </xf>
    <xf numFmtId="0" fontId="2" fillId="6" borderId="5" xfId="0" applyFont="1" applyFill="1" applyBorder="1" applyAlignment="1">
      <alignment horizontal="center" vertical="center"/>
    </xf>
    <xf numFmtId="0" fontId="0" fillId="3" borderId="5" xfId="0" applyFill="1" applyBorder="1" applyAlignment="1">
      <alignment horizontal="center" vertical="center" wrapText="1"/>
    </xf>
    <xf numFmtId="0" fontId="0" fillId="3" borderId="15" xfId="0" applyFill="1" applyBorder="1" applyAlignment="1">
      <alignment horizontal="center" vertical="center" wrapText="1"/>
    </xf>
    <xf numFmtId="0" fontId="0" fillId="3" borderId="14" xfId="0" applyFill="1" applyBorder="1" applyAlignment="1">
      <alignment horizontal="center" vertical="center" wrapText="1"/>
    </xf>
    <xf numFmtId="0" fontId="0" fillId="3" borderId="13" xfId="0" applyFill="1" applyBorder="1" applyAlignment="1">
      <alignment horizontal="center" vertical="center" wrapText="1"/>
    </xf>
    <xf numFmtId="0" fontId="0" fillId="3" borderId="12" xfId="0" applyFill="1" applyBorder="1" applyAlignment="1">
      <alignment horizontal="center" vertical="center" wrapText="1"/>
    </xf>
    <xf numFmtId="0" fontId="0" fillId="3" borderId="11" xfId="0" applyFill="1" applyBorder="1" applyAlignment="1">
      <alignment horizontal="center" vertical="center" wrapText="1"/>
    </xf>
    <xf numFmtId="0" fontId="0" fillId="3" borderId="10" xfId="0" applyFill="1" applyBorder="1" applyAlignment="1">
      <alignment horizontal="center" vertical="center" wrapText="1"/>
    </xf>
    <xf numFmtId="0" fontId="4" fillId="3" borderId="5" xfId="0" applyFont="1" applyFill="1" applyBorder="1" applyAlignment="1">
      <alignment horizontal="center" vertical="center" wrapText="1"/>
    </xf>
    <xf numFmtId="0" fontId="3" fillId="3" borderId="5" xfId="0" applyFont="1" applyFill="1" applyBorder="1" applyAlignment="1">
      <alignment horizontal="center" vertical="center" wrapText="1"/>
    </xf>
    <xf numFmtId="0" fontId="2" fillId="2" borderId="5" xfId="0" applyFont="1" applyFill="1" applyBorder="1" applyAlignment="1">
      <alignment horizontal="center" vertical="center"/>
    </xf>
    <xf numFmtId="0" fontId="2" fillId="7" borderId="5" xfId="0" applyFont="1" applyFill="1" applyBorder="1" applyAlignment="1">
      <alignment horizontal="center" vertical="center"/>
    </xf>
    <xf numFmtId="0" fontId="4" fillId="3" borderId="5" xfId="0" applyFont="1" applyFill="1" applyBorder="1" applyAlignment="1">
      <alignment horizontal="center" vertical="center"/>
    </xf>
    <xf numFmtId="0" fontId="0" fillId="3" borderId="15" xfId="0" applyFill="1" applyBorder="1" applyAlignment="1">
      <alignment horizontal="center" vertical="center"/>
    </xf>
    <xf numFmtId="0" fontId="0" fillId="3" borderId="13" xfId="0" applyFill="1" applyBorder="1" applyAlignment="1">
      <alignment horizontal="center" vertical="center"/>
    </xf>
    <xf numFmtId="0" fontId="0" fillId="3" borderId="12" xfId="0" applyFill="1" applyBorder="1" applyAlignment="1">
      <alignment horizontal="center" vertical="center"/>
    </xf>
    <xf numFmtId="0" fontId="0" fillId="3" borderId="10" xfId="0" applyFill="1" applyBorder="1" applyAlignment="1">
      <alignment horizontal="center" vertical="center"/>
    </xf>
    <xf numFmtId="0" fontId="0" fillId="2" borderId="5" xfId="0" applyFill="1" applyBorder="1" applyAlignment="1">
      <alignment horizontal="center" vertical="center" wrapText="1"/>
    </xf>
    <xf numFmtId="0" fontId="19" fillId="2" borderId="5" xfId="0" applyFont="1" applyFill="1" applyBorder="1" applyAlignment="1">
      <alignment horizontal="center" vertical="center"/>
    </xf>
    <xf numFmtId="0" fontId="2" fillId="12" borderId="5" xfId="0" applyFont="1" applyFill="1" applyBorder="1" applyAlignment="1">
      <alignment horizontal="center" vertical="center"/>
    </xf>
    <xf numFmtId="0" fontId="19" fillId="12" borderId="5" xfId="0" applyFont="1" applyFill="1" applyBorder="1" applyAlignment="1">
      <alignment horizontal="center" vertical="center"/>
    </xf>
    <xf numFmtId="0" fontId="2" fillId="3" borderId="15" xfId="0" applyFont="1" applyFill="1" applyBorder="1" applyAlignment="1">
      <alignment horizontal="center" vertical="center"/>
    </xf>
    <xf numFmtId="0" fontId="2" fillId="3" borderId="14" xfId="0" applyFont="1" applyFill="1" applyBorder="1" applyAlignment="1">
      <alignment horizontal="center" vertical="center"/>
    </xf>
    <xf numFmtId="0" fontId="2" fillId="3" borderId="13" xfId="0" applyFont="1" applyFill="1" applyBorder="1" applyAlignment="1">
      <alignment horizontal="center" vertical="center"/>
    </xf>
    <xf numFmtId="0" fontId="2" fillId="3" borderId="12" xfId="0" applyFont="1" applyFill="1" applyBorder="1" applyAlignment="1">
      <alignment horizontal="center" vertical="center"/>
    </xf>
    <xf numFmtId="0" fontId="2" fillId="3" borderId="11" xfId="0" applyFont="1" applyFill="1" applyBorder="1" applyAlignment="1">
      <alignment horizontal="center" vertical="center"/>
    </xf>
    <xf numFmtId="0" fontId="2" fillId="3" borderId="10" xfId="0" applyFont="1" applyFill="1" applyBorder="1" applyAlignment="1">
      <alignment horizontal="center" vertical="center"/>
    </xf>
    <xf numFmtId="0" fontId="3" fillId="7" borderId="5" xfId="0" applyFont="1" applyFill="1" applyBorder="1" applyAlignment="1">
      <alignment horizontal="center" vertical="center" wrapText="1"/>
    </xf>
    <xf numFmtId="0" fontId="3" fillId="7" borderId="5" xfId="0" applyFont="1" applyFill="1" applyBorder="1" applyAlignment="1">
      <alignment horizontal="center" vertical="center"/>
    </xf>
    <xf numFmtId="0" fontId="13" fillId="3" borderId="5" xfId="0" applyFont="1" applyFill="1" applyBorder="1" applyAlignment="1">
      <alignment horizontal="center" vertical="center"/>
    </xf>
    <xf numFmtId="0" fontId="3" fillId="2" borderId="5" xfId="0" applyFont="1" applyFill="1" applyBorder="1" applyAlignment="1">
      <alignment horizontal="center" vertical="center" wrapText="1"/>
    </xf>
    <xf numFmtId="0" fontId="3" fillId="2" borderId="5" xfId="0" applyFont="1" applyFill="1" applyBorder="1" applyAlignment="1">
      <alignment horizontal="center" vertical="center"/>
    </xf>
    <xf numFmtId="0" fontId="3" fillId="3" borderId="15" xfId="0" applyFont="1" applyFill="1" applyBorder="1" applyAlignment="1">
      <alignment horizontal="center" vertical="center"/>
    </xf>
    <xf numFmtId="0" fontId="3" fillId="3" borderId="14" xfId="0" applyFont="1" applyFill="1" applyBorder="1" applyAlignment="1">
      <alignment horizontal="center" vertical="center"/>
    </xf>
    <xf numFmtId="0" fontId="3" fillId="3" borderId="13" xfId="0" applyFont="1" applyFill="1" applyBorder="1" applyAlignment="1">
      <alignment horizontal="center" vertical="center"/>
    </xf>
    <xf numFmtId="0" fontId="3" fillId="3" borderId="12" xfId="0" applyFont="1" applyFill="1" applyBorder="1" applyAlignment="1">
      <alignment horizontal="center" vertical="center"/>
    </xf>
    <xf numFmtId="0" fontId="3" fillId="3" borderId="11" xfId="0" applyFont="1" applyFill="1" applyBorder="1" applyAlignment="1">
      <alignment horizontal="center" vertical="center"/>
    </xf>
    <xf numFmtId="0" fontId="3" fillId="3" borderId="10" xfId="0" applyFont="1" applyFill="1" applyBorder="1" applyAlignment="1">
      <alignment horizontal="center" vertical="center"/>
    </xf>
    <xf numFmtId="0" fontId="3" fillId="3" borderId="5" xfId="0" applyFont="1" applyFill="1" applyBorder="1" applyAlignment="1">
      <alignment horizontal="center" vertical="center"/>
    </xf>
    <xf numFmtId="0" fontId="0" fillId="12" borderId="5" xfId="0" applyFill="1" applyBorder="1" applyAlignment="1">
      <alignment horizontal="center" vertical="center"/>
    </xf>
    <xf numFmtId="0" fontId="19" fillId="7" borderId="5" xfId="0" applyFont="1" applyFill="1" applyBorder="1" applyAlignment="1">
      <alignment horizontal="center" vertical="center"/>
    </xf>
    <xf numFmtId="0" fontId="13" fillId="2" borderId="5" xfId="0" applyFont="1" applyFill="1" applyBorder="1" applyAlignment="1">
      <alignment horizontal="center" vertical="center"/>
    </xf>
    <xf numFmtId="0" fontId="19" fillId="2" borderId="55" xfId="0" applyFont="1" applyFill="1" applyBorder="1" applyAlignment="1">
      <alignment horizontal="center" vertical="center"/>
    </xf>
    <xf numFmtId="0" fontId="19" fillId="2" borderId="45" xfId="0" applyFont="1" applyFill="1" applyBorder="1" applyAlignment="1">
      <alignment horizontal="center" vertical="center"/>
    </xf>
    <xf numFmtId="0" fontId="19" fillId="2" borderId="47" xfId="0" applyFont="1" applyFill="1" applyBorder="1" applyAlignment="1">
      <alignment horizontal="center" vertical="center"/>
    </xf>
    <xf numFmtId="0" fontId="19" fillId="2" borderId="52" xfId="0" applyFont="1" applyFill="1" applyBorder="1" applyAlignment="1">
      <alignment horizontal="center" vertical="center"/>
    </xf>
    <xf numFmtId="0" fontId="19" fillId="2" borderId="53" xfId="0" applyFont="1" applyFill="1" applyBorder="1" applyAlignment="1">
      <alignment horizontal="center" vertical="center"/>
    </xf>
    <xf numFmtId="0" fontId="19" fillId="2" borderId="54" xfId="0" applyFont="1" applyFill="1" applyBorder="1" applyAlignment="1">
      <alignment horizontal="center" vertical="center"/>
    </xf>
    <xf numFmtId="0" fontId="19" fillId="2" borderId="6" xfId="0" applyFont="1" applyFill="1" applyBorder="1" applyAlignment="1">
      <alignment horizontal="center" vertical="center"/>
    </xf>
    <xf numFmtId="0" fontId="19" fillId="7" borderId="4" xfId="0" applyFont="1" applyFill="1" applyBorder="1" applyAlignment="1">
      <alignment horizontal="center" vertical="center"/>
    </xf>
    <xf numFmtId="0" fontId="19" fillId="3" borderId="5" xfId="0" applyFont="1" applyFill="1" applyBorder="1" applyAlignment="1">
      <alignment horizontal="center" vertical="center"/>
    </xf>
    <xf numFmtId="0" fontId="19" fillId="3" borderId="15" xfId="0" applyFont="1" applyFill="1" applyBorder="1" applyAlignment="1">
      <alignment horizontal="center" vertical="center"/>
    </xf>
    <xf numFmtId="0" fontId="19" fillId="3" borderId="14" xfId="0" applyFont="1" applyFill="1" applyBorder="1" applyAlignment="1">
      <alignment horizontal="center" vertical="center"/>
    </xf>
    <xf numFmtId="0" fontId="19" fillId="3" borderId="12" xfId="0" applyFont="1" applyFill="1" applyBorder="1" applyAlignment="1">
      <alignment horizontal="center" vertical="center"/>
    </xf>
    <xf numFmtId="0" fontId="19" fillId="3" borderId="11" xfId="0" applyFont="1" applyFill="1" applyBorder="1" applyAlignment="1">
      <alignment horizontal="center" vertical="center"/>
    </xf>
    <xf numFmtId="0" fontId="19" fillId="3" borderId="13" xfId="0" applyFont="1" applyFill="1" applyBorder="1" applyAlignment="1">
      <alignment horizontal="center" vertical="center"/>
    </xf>
    <xf numFmtId="0" fontId="19" fillId="3" borderId="10" xfId="0"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horizontal="left" vertical="center"/>
    </xf>
    <xf numFmtId="0" fontId="0" fillId="2" borderId="66" xfId="0" applyFill="1" applyBorder="1" applyAlignment="1">
      <alignment horizontal="center" vertical="center"/>
    </xf>
    <xf numFmtId="0" fontId="0" fillId="2" borderId="67" xfId="0" applyFill="1" applyBorder="1" applyAlignment="1">
      <alignment horizontal="center" vertical="center"/>
    </xf>
    <xf numFmtId="0" fontId="0" fillId="2" borderId="68" xfId="0" applyFill="1" applyBorder="1" applyAlignment="1">
      <alignment horizontal="center" vertical="center"/>
    </xf>
    <xf numFmtId="0" fontId="0" fillId="2" borderId="69" xfId="0" applyFill="1" applyBorder="1" applyAlignment="1">
      <alignment horizontal="left" vertical="center"/>
    </xf>
    <xf numFmtId="0" fontId="0" fillId="2" borderId="67" xfId="0" applyFill="1" applyBorder="1" applyAlignment="1">
      <alignment horizontal="left" vertical="center"/>
    </xf>
    <xf numFmtId="0" fontId="0" fillId="2" borderId="70" xfId="0" applyFill="1" applyBorder="1" applyAlignment="1">
      <alignment horizontal="left" vertical="center"/>
    </xf>
    <xf numFmtId="0" fontId="0" fillId="2" borderId="5" xfId="0" applyFill="1" applyBorder="1" applyAlignment="1">
      <alignment horizontal="left" vertical="center"/>
    </xf>
    <xf numFmtId="0" fontId="0" fillId="2" borderId="5" xfId="0" applyFill="1" applyBorder="1" applyAlignment="1">
      <alignment horizontal="left" vertical="center" wrapText="1"/>
    </xf>
    <xf numFmtId="0" fontId="0" fillId="2" borderId="20" xfId="0" applyFill="1" applyBorder="1" applyAlignment="1">
      <alignment horizontal="center" vertical="center"/>
    </xf>
    <xf numFmtId="0" fontId="0" fillId="2" borderId="20" xfId="0" applyFill="1" applyBorder="1" applyAlignment="1">
      <alignment horizontal="left" vertical="center"/>
    </xf>
    <xf numFmtId="0" fontId="0" fillId="2" borderId="20" xfId="0" applyFill="1" applyBorder="1" applyAlignment="1">
      <alignment horizontal="left" vertical="center" wrapText="1"/>
    </xf>
    <xf numFmtId="0" fontId="0" fillId="3" borderId="18" xfId="0" applyFill="1" applyBorder="1" applyAlignment="1">
      <alignment horizontal="center" vertical="center"/>
    </xf>
    <xf numFmtId="0" fontId="0" fillId="3" borderId="0" xfId="0" applyFill="1" applyAlignment="1">
      <alignment horizontal="center" vertical="center"/>
    </xf>
    <xf numFmtId="0" fontId="0" fillId="3" borderId="16" xfId="0" applyFill="1" applyBorder="1" applyAlignment="1">
      <alignment horizontal="center" vertical="center"/>
    </xf>
    <xf numFmtId="0" fontId="0" fillId="3" borderId="75" xfId="0" applyFill="1" applyBorder="1" applyAlignment="1">
      <alignment horizontal="center" vertical="center"/>
    </xf>
    <xf numFmtId="0" fontId="0" fillId="3" borderId="72" xfId="0" applyFill="1" applyBorder="1" applyAlignment="1">
      <alignment horizontal="center" vertical="center" wrapText="1"/>
    </xf>
    <xf numFmtId="0" fontId="0" fillId="3" borderId="0" xfId="0" applyFill="1" applyAlignment="1">
      <alignment horizontal="center" vertical="center" wrapText="1"/>
    </xf>
    <xf numFmtId="0" fontId="0" fillId="3" borderId="75" xfId="0" applyFill="1" applyBorder="1" applyAlignment="1">
      <alignment horizontal="center" vertical="center" wrapText="1"/>
    </xf>
    <xf numFmtId="0" fontId="0" fillId="2" borderId="63" xfId="0" applyFill="1" applyBorder="1" applyAlignment="1">
      <alignment horizontal="center" vertical="center"/>
    </xf>
    <xf numFmtId="0" fontId="0" fillId="2" borderId="64" xfId="0" applyFill="1" applyBorder="1" applyAlignment="1">
      <alignment horizontal="center" vertical="center"/>
    </xf>
    <xf numFmtId="0" fontId="0" fillId="2" borderId="64" xfId="0" applyFill="1" applyBorder="1" applyAlignment="1">
      <alignment horizontal="left" vertical="center"/>
    </xf>
    <xf numFmtId="0" fontId="0" fillId="2" borderId="65" xfId="0" applyFill="1" applyBorder="1" applyAlignment="1">
      <alignment horizontal="left" vertical="center"/>
    </xf>
    <xf numFmtId="0" fontId="0" fillId="10" borderId="4" xfId="0" applyFill="1" applyBorder="1" applyAlignment="1">
      <alignment horizontal="center" vertical="center"/>
    </xf>
    <xf numFmtId="0" fontId="0" fillId="10" borderId="17" xfId="0" applyFill="1" applyBorder="1" applyAlignment="1">
      <alignment horizontal="center" vertical="center"/>
    </xf>
    <xf numFmtId="0" fontId="0" fillId="10" borderId="6" xfId="0" applyFill="1" applyBorder="1" applyAlignment="1">
      <alignment horizontal="center" vertical="center"/>
    </xf>
    <xf numFmtId="0" fontId="0" fillId="10" borderId="76" xfId="0" applyFill="1" applyBorder="1" applyAlignment="1">
      <alignment horizontal="center" vertical="center"/>
    </xf>
    <xf numFmtId="0" fontId="0" fillId="10" borderId="77" xfId="0" applyFill="1" applyBorder="1" applyAlignment="1">
      <alignment horizontal="center" vertical="center"/>
    </xf>
    <xf numFmtId="0" fontId="0" fillId="10" borderId="78" xfId="0" applyFill="1" applyBorder="1" applyAlignment="1">
      <alignment horizontal="center" vertical="center"/>
    </xf>
    <xf numFmtId="0" fontId="0" fillId="10" borderId="79" xfId="0" applyFill="1" applyBorder="1" applyAlignment="1">
      <alignment horizontal="center" vertical="center"/>
    </xf>
    <xf numFmtId="0" fontId="0" fillId="10" borderId="11" xfId="0" applyFill="1" applyBorder="1" applyAlignment="1">
      <alignment horizontal="center" vertical="center"/>
    </xf>
    <xf numFmtId="0" fontId="0" fillId="10" borderId="71" xfId="0" applyFill="1" applyBorder="1" applyAlignment="1">
      <alignment horizontal="center" vertical="center"/>
    </xf>
    <xf numFmtId="0" fontId="0" fillId="10" borderId="73" xfId="0" applyFill="1" applyBorder="1" applyAlignment="1">
      <alignment horizontal="center" vertical="center" wrapText="1"/>
    </xf>
    <xf numFmtId="0" fontId="0" fillId="10" borderId="73" xfId="0" applyFill="1" applyBorder="1" applyAlignment="1">
      <alignment horizontal="center" vertical="center"/>
    </xf>
    <xf numFmtId="0" fontId="0" fillId="4" borderId="15" xfId="0" applyFill="1" applyBorder="1" applyAlignment="1">
      <alignment horizontal="center" vertical="center"/>
    </xf>
    <xf numFmtId="0" fontId="0" fillId="4" borderId="14" xfId="0" applyFill="1" applyBorder="1" applyAlignment="1">
      <alignment horizontal="center" vertical="center"/>
    </xf>
    <xf numFmtId="0" fontId="0" fillId="4" borderId="13" xfId="0" applyFill="1" applyBorder="1" applyAlignment="1">
      <alignment horizontal="center" vertical="center"/>
    </xf>
    <xf numFmtId="0" fontId="0" fillId="4" borderId="18" xfId="0" applyFill="1" applyBorder="1" applyAlignment="1">
      <alignment horizontal="center" vertical="center"/>
    </xf>
    <xf numFmtId="0" fontId="0" fillId="4" borderId="0" xfId="0" applyFill="1" applyAlignment="1">
      <alignment horizontal="center" vertical="center"/>
    </xf>
    <xf numFmtId="0" fontId="0" fillId="4" borderId="16" xfId="0" applyFill="1" applyBorder="1" applyAlignment="1">
      <alignment horizontal="center" vertical="center"/>
    </xf>
    <xf numFmtId="46" fontId="0" fillId="4" borderId="15" xfId="0" applyNumberFormat="1" applyFill="1" applyBorder="1" applyAlignment="1">
      <alignment horizontal="center" vertical="center"/>
    </xf>
    <xf numFmtId="46" fontId="0" fillId="4" borderId="13" xfId="0" applyNumberFormat="1" applyFill="1" applyBorder="1" applyAlignment="1">
      <alignment horizontal="center" vertical="center"/>
    </xf>
    <xf numFmtId="46" fontId="0" fillId="4" borderId="18" xfId="0" applyNumberFormat="1" applyFill="1" applyBorder="1" applyAlignment="1">
      <alignment horizontal="center" vertical="center"/>
    </xf>
    <xf numFmtId="46" fontId="0" fillId="4" borderId="16" xfId="0" applyNumberFormat="1" applyFill="1" applyBorder="1" applyAlignment="1">
      <alignment horizontal="center" vertical="center"/>
    </xf>
    <xf numFmtId="46" fontId="0" fillId="4" borderId="14" xfId="0" applyNumberFormat="1" applyFill="1" applyBorder="1" applyAlignment="1">
      <alignment horizontal="center" vertical="center"/>
    </xf>
    <xf numFmtId="46" fontId="0" fillId="4" borderId="0" xfId="0" applyNumberFormat="1" applyFill="1" applyAlignment="1">
      <alignment horizontal="center" vertical="center"/>
    </xf>
    <xf numFmtId="0" fontId="0" fillId="4" borderId="15" xfId="0" applyFill="1" applyBorder="1" applyAlignment="1">
      <alignment horizontal="left" vertical="center" wrapText="1"/>
    </xf>
    <xf numFmtId="0" fontId="0" fillId="4" borderId="14" xfId="0" applyFill="1" applyBorder="1" applyAlignment="1">
      <alignment horizontal="left" vertical="center" wrapText="1"/>
    </xf>
    <xf numFmtId="0" fontId="0" fillId="4" borderId="13" xfId="0" applyFill="1" applyBorder="1" applyAlignment="1">
      <alignment horizontal="left" vertical="center" wrapText="1"/>
    </xf>
    <xf numFmtId="0" fontId="0" fillId="4" borderId="18" xfId="0" applyFill="1" applyBorder="1" applyAlignment="1">
      <alignment horizontal="left" vertical="center" wrapText="1"/>
    </xf>
    <xf numFmtId="0" fontId="0" fillId="4" borderId="0" xfId="0" applyFill="1" applyAlignment="1">
      <alignment horizontal="left" vertical="center" wrapText="1"/>
    </xf>
    <xf numFmtId="0" fontId="0" fillId="4" borderId="16" xfId="0" applyFill="1" applyBorder="1" applyAlignment="1">
      <alignment horizontal="left" vertical="center" wrapText="1"/>
    </xf>
    <xf numFmtId="46" fontId="0" fillId="4" borderId="4" xfId="0" applyNumberFormat="1" applyFill="1" applyBorder="1" applyAlignment="1">
      <alignment horizontal="center" vertical="center"/>
    </xf>
    <xf numFmtId="46" fontId="0" fillId="4" borderId="6" xfId="0" applyNumberFormat="1" applyFill="1" applyBorder="1" applyAlignment="1">
      <alignment horizontal="center" vertical="center"/>
    </xf>
    <xf numFmtId="46" fontId="0" fillId="4" borderId="17" xfId="0" applyNumberFormat="1" applyFill="1" applyBorder="1" applyAlignment="1">
      <alignment horizontal="center" vertical="center"/>
    </xf>
    <xf numFmtId="0" fontId="0" fillId="4" borderId="4" xfId="0" applyFill="1" applyBorder="1" applyAlignment="1">
      <alignment horizontal="left" vertical="center" wrapText="1"/>
    </xf>
    <xf numFmtId="0" fontId="0" fillId="4" borderId="17" xfId="0" applyFill="1" applyBorder="1" applyAlignment="1">
      <alignment horizontal="left" vertical="center" wrapText="1"/>
    </xf>
    <xf numFmtId="0" fontId="0" fillId="4" borderId="6" xfId="0" applyFill="1" applyBorder="1" applyAlignment="1">
      <alignment horizontal="left" vertical="center" wrapText="1"/>
    </xf>
    <xf numFmtId="0" fontId="2" fillId="4" borderId="15" xfId="0" applyFont="1" applyFill="1" applyBorder="1" applyAlignment="1">
      <alignment horizontal="center" vertical="center"/>
    </xf>
    <xf numFmtId="0" fontId="2" fillId="4" borderId="14" xfId="0" applyFont="1" applyFill="1" applyBorder="1" applyAlignment="1">
      <alignment horizontal="center" vertical="center"/>
    </xf>
    <xf numFmtId="0" fontId="2" fillId="4" borderId="13" xfId="0" applyFont="1" applyFill="1" applyBorder="1" applyAlignment="1">
      <alignment horizontal="center" vertical="center"/>
    </xf>
    <xf numFmtId="0" fontId="2" fillId="4" borderId="18" xfId="0" applyFont="1" applyFill="1" applyBorder="1" applyAlignment="1">
      <alignment horizontal="center" vertical="center"/>
    </xf>
    <xf numFmtId="0" fontId="2" fillId="4" borderId="0" xfId="0" applyFont="1" applyFill="1" applyAlignment="1">
      <alignment horizontal="center" vertical="center"/>
    </xf>
    <xf numFmtId="0" fontId="2" fillId="4" borderId="16" xfId="0" applyFont="1" applyFill="1" applyBorder="1" applyAlignment="1">
      <alignment horizontal="center" vertical="center"/>
    </xf>
    <xf numFmtId="0" fontId="2" fillId="4" borderId="12" xfId="0" applyFont="1" applyFill="1" applyBorder="1" applyAlignment="1">
      <alignment horizontal="center" vertical="center"/>
    </xf>
    <xf numFmtId="0" fontId="2" fillId="4" borderId="11" xfId="0" applyFont="1" applyFill="1" applyBorder="1" applyAlignment="1">
      <alignment horizontal="center" vertical="center"/>
    </xf>
    <xf numFmtId="0" fontId="2" fillId="4" borderId="10" xfId="0" applyFont="1" applyFill="1" applyBorder="1" applyAlignment="1">
      <alignment horizontal="center" vertical="center"/>
    </xf>
    <xf numFmtId="46" fontId="2" fillId="4" borderId="15" xfId="0" applyNumberFormat="1" applyFont="1" applyFill="1" applyBorder="1" applyAlignment="1">
      <alignment horizontal="center" vertical="center"/>
    </xf>
    <xf numFmtId="46" fontId="2" fillId="4" borderId="13" xfId="0" applyNumberFormat="1" applyFont="1" applyFill="1" applyBorder="1" applyAlignment="1">
      <alignment horizontal="center" vertical="center"/>
    </xf>
    <xf numFmtId="46" fontId="2" fillId="4" borderId="18" xfId="0" applyNumberFormat="1" applyFont="1" applyFill="1" applyBorder="1" applyAlignment="1">
      <alignment horizontal="center" vertical="center"/>
    </xf>
    <xf numFmtId="46" fontId="2" fillId="4" borderId="16" xfId="0" applyNumberFormat="1" applyFont="1" applyFill="1" applyBorder="1" applyAlignment="1">
      <alignment horizontal="center" vertical="center"/>
    </xf>
    <xf numFmtId="46" fontId="2" fillId="4" borderId="14" xfId="0" applyNumberFormat="1" applyFont="1" applyFill="1" applyBorder="1" applyAlignment="1">
      <alignment horizontal="center" vertical="center"/>
    </xf>
    <xf numFmtId="46" fontId="2" fillId="4" borderId="0" xfId="0" applyNumberFormat="1" applyFont="1" applyFill="1" applyAlignment="1">
      <alignment horizontal="center" vertical="center"/>
    </xf>
    <xf numFmtId="0" fontId="2" fillId="4" borderId="15" xfId="0" applyFont="1" applyFill="1" applyBorder="1" applyAlignment="1">
      <alignment horizontal="left" vertical="center" wrapText="1"/>
    </xf>
    <xf numFmtId="0" fontId="2" fillId="4" borderId="14" xfId="0" applyFont="1" applyFill="1" applyBorder="1" applyAlignment="1">
      <alignment horizontal="left" vertical="center" wrapText="1"/>
    </xf>
    <xf numFmtId="0" fontId="2" fillId="4" borderId="13" xfId="0" applyFont="1" applyFill="1" applyBorder="1" applyAlignment="1">
      <alignment horizontal="left" vertical="center" wrapText="1"/>
    </xf>
    <xf numFmtId="0" fontId="2" fillId="4" borderId="18" xfId="0" applyFont="1" applyFill="1" applyBorder="1" applyAlignment="1">
      <alignment horizontal="left" vertical="center" wrapText="1"/>
    </xf>
    <xf numFmtId="0" fontId="2" fillId="4" borderId="0" xfId="0" applyFont="1" applyFill="1" applyAlignment="1">
      <alignment horizontal="left" vertical="center" wrapText="1"/>
    </xf>
    <xf numFmtId="0" fontId="2" fillId="4" borderId="16" xfId="0" applyFont="1" applyFill="1" applyBorder="1" applyAlignment="1">
      <alignment horizontal="left" vertical="center" wrapText="1"/>
    </xf>
    <xf numFmtId="46" fontId="2" fillId="5" borderId="4" xfId="0" applyNumberFormat="1" applyFont="1" applyFill="1" applyBorder="1" applyAlignment="1">
      <alignment horizontal="center" vertical="center"/>
    </xf>
    <xf numFmtId="46" fontId="2" fillId="5" borderId="6" xfId="0" applyNumberFormat="1" applyFont="1" applyFill="1" applyBorder="1" applyAlignment="1">
      <alignment horizontal="center" vertical="center"/>
    </xf>
    <xf numFmtId="46" fontId="2" fillId="5" borderId="17" xfId="0" applyNumberFormat="1" applyFont="1" applyFill="1" applyBorder="1" applyAlignment="1">
      <alignment horizontal="center" vertical="center"/>
    </xf>
    <xf numFmtId="0" fontId="2" fillId="5" borderId="4" xfId="0" applyFont="1" applyFill="1" applyBorder="1" applyAlignment="1">
      <alignment horizontal="center" vertical="center"/>
    </xf>
    <xf numFmtId="0" fontId="2" fillId="5" borderId="6" xfId="0" applyFont="1" applyFill="1" applyBorder="1" applyAlignment="1">
      <alignment horizontal="center" vertical="center"/>
    </xf>
    <xf numFmtId="0" fontId="2" fillId="5" borderId="4" xfId="0" applyFont="1" applyFill="1" applyBorder="1" applyAlignment="1">
      <alignment horizontal="left" vertical="center" wrapText="1"/>
    </xf>
    <xf numFmtId="0" fontId="2" fillId="5" borderId="17" xfId="0" applyFont="1" applyFill="1" applyBorder="1" applyAlignment="1">
      <alignment horizontal="left" vertical="center" wrapText="1"/>
    </xf>
    <xf numFmtId="0" fontId="2" fillId="5" borderId="6" xfId="0" applyFont="1" applyFill="1" applyBorder="1" applyAlignment="1">
      <alignment horizontal="left" vertical="center" wrapText="1"/>
    </xf>
    <xf numFmtId="46" fontId="2" fillId="4" borderId="4" xfId="0" applyNumberFormat="1" applyFont="1" applyFill="1" applyBorder="1" applyAlignment="1">
      <alignment horizontal="center" vertical="center"/>
    </xf>
    <xf numFmtId="46" fontId="2" fillId="4" borderId="6" xfId="0" applyNumberFormat="1" applyFont="1" applyFill="1" applyBorder="1" applyAlignment="1">
      <alignment horizontal="center" vertical="center"/>
    </xf>
    <xf numFmtId="46" fontId="2" fillId="4" borderId="17" xfId="0" applyNumberFormat="1" applyFont="1" applyFill="1" applyBorder="1" applyAlignment="1">
      <alignment horizontal="center" vertical="center"/>
    </xf>
    <xf numFmtId="0" fontId="2" fillId="4" borderId="5" xfId="0" applyFont="1" applyFill="1" applyBorder="1" applyAlignment="1">
      <alignment horizontal="center" vertical="center"/>
    </xf>
    <xf numFmtId="0" fontId="3" fillId="4" borderId="4" xfId="0" applyFont="1" applyFill="1" applyBorder="1" applyAlignment="1">
      <alignment horizontal="left" vertical="center" wrapText="1"/>
    </xf>
    <xf numFmtId="0" fontId="3" fillId="4" borderId="17" xfId="0" applyFont="1" applyFill="1" applyBorder="1" applyAlignment="1">
      <alignment horizontal="left" vertical="center" wrapText="1"/>
    </xf>
    <xf numFmtId="0" fontId="3" fillId="4" borderId="6" xfId="0" applyFont="1" applyFill="1" applyBorder="1" applyAlignment="1">
      <alignment horizontal="left" vertical="center" wrapText="1"/>
    </xf>
    <xf numFmtId="0" fontId="2" fillId="4" borderId="5" xfId="0" applyFont="1" applyFill="1" applyBorder="1" applyAlignment="1">
      <alignment vertical="center" wrapText="1"/>
    </xf>
    <xf numFmtId="46" fontId="2" fillId="4" borderId="5" xfId="0" applyNumberFormat="1" applyFont="1" applyFill="1" applyBorder="1" applyAlignment="1">
      <alignment horizontal="center" vertical="center"/>
    </xf>
    <xf numFmtId="0" fontId="2" fillId="4" borderId="5" xfId="0" applyFont="1" applyFill="1" applyBorder="1" applyAlignment="1">
      <alignment horizontal="left" vertical="center" wrapText="1"/>
    </xf>
    <xf numFmtId="0" fontId="2" fillId="4" borderId="5" xfId="0" applyFont="1" applyFill="1" applyBorder="1" applyAlignment="1">
      <alignment horizontal="left" vertical="center"/>
    </xf>
    <xf numFmtId="0" fontId="2" fillId="4" borderId="15" xfId="0" applyFont="1" applyFill="1" applyBorder="1" applyAlignment="1">
      <alignment horizontal="center" vertical="center" wrapText="1"/>
    </xf>
    <xf numFmtId="0" fontId="2" fillId="4" borderId="14" xfId="0" applyFont="1" applyFill="1" applyBorder="1" applyAlignment="1">
      <alignment horizontal="center" vertical="center" wrapText="1"/>
    </xf>
    <xf numFmtId="0" fontId="2" fillId="4" borderId="13" xfId="0" applyFont="1" applyFill="1" applyBorder="1" applyAlignment="1">
      <alignment horizontal="center" vertical="center" wrapText="1"/>
    </xf>
    <xf numFmtId="0" fontId="2" fillId="4" borderId="18" xfId="0" applyFont="1" applyFill="1" applyBorder="1" applyAlignment="1">
      <alignment horizontal="center" vertical="center" wrapText="1"/>
    </xf>
    <xf numFmtId="0" fontId="2" fillId="4" borderId="0" xfId="0" applyFont="1" applyFill="1" applyAlignment="1">
      <alignment horizontal="center" vertical="center" wrapText="1"/>
    </xf>
    <xf numFmtId="0" fontId="2" fillId="4" borderId="16" xfId="0" applyFont="1" applyFill="1" applyBorder="1" applyAlignment="1">
      <alignment horizontal="center" vertical="center" wrapText="1"/>
    </xf>
    <xf numFmtId="0" fontId="2" fillId="4" borderId="12" xfId="0" applyFont="1" applyFill="1" applyBorder="1" applyAlignment="1">
      <alignment horizontal="center" vertical="center" wrapText="1"/>
    </xf>
    <xf numFmtId="0" fontId="2" fillId="4" borderId="11" xfId="0" applyFont="1" applyFill="1" applyBorder="1" applyAlignment="1">
      <alignment horizontal="center" vertical="center" wrapText="1"/>
    </xf>
    <xf numFmtId="0" fontId="2" fillId="4" borderId="10" xfId="0" applyFont="1" applyFill="1" applyBorder="1" applyAlignment="1">
      <alignment horizontal="center" vertical="center" wrapText="1"/>
    </xf>
    <xf numFmtId="46" fontId="2" fillId="4" borderId="12" xfId="0" applyNumberFormat="1" applyFont="1" applyFill="1" applyBorder="1" applyAlignment="1">
      <alignment horizontal="center" vertical="center"/>
    </xf>
    <xf numFmtId="46" fontId="2" fillId="4" borderId="10" xfId="0" applyNumberFormat="1" applyFont="1" applyFill="1" applyBorder="1" applyAlignment="1">
      <alignment horizontal="center" vertical="center"/>
    </xf>
    <xf numFmtId="46" fontId="2" fillId="4" borderId="11" xfId="0" applyNumberFormat="1" applyFont="1" applyFill="1" applyBorder="1" applyAlignment="1">
      <alignment horizontal="center" vertical="center"/>
    </xf>
    <xf numFmtId="0" fontId="2" fillId="4" borderId="12" xfId="0" applyFont="1" applyFill="1" applyBorder="1" applyAlignment="1">
      <alignment horizontal="left" vertical="center" wrapText="1"/>
    </xf>
    <xf numFmtId="0" fontId="2" fillId="4" borderId="11" xfId="0" applyFont="1" applyFill="1" applyBorder="1" applyAlignment="1">
      <alignment horizontal="left" vertical="center" wrapText="1"/>
    </xf>
    <xf numFmtId="0" fontId="2" fillId="4" borderId="10" xfId="0" applyFont="1" applyFill="1" applyBorder="1" applyAlignment="1">
      <alignment horizontal="left" vertical="center" wrapText="1"/>
    </xf>
    <xf numFmtId="46" fontId="3" fillId="4" borderId="5" xfId="0" applyNumberFormat="1" applyFont="1" applyFill="1" applyBorder="1" applyAlignment="1">
      <alignment horizontal="center" vertical="center"/>
    </xf>
    <xf numFmtId="0" fontId="2" fillId="5" borderId="5" xfId="0" applyFont="1" applyFill="1" applyBorder="1" applyAlignment="1">
      <alignment horizontal="center" vertical="center"/>
    </xf>
    <xf numFmtId="0" fontId="2" fillId="5" borderId="5" xfId="0" applyFont="1" applyFill="1" applyBorder="1" applyAlignment="1">
      <alignment horizontal="left" vertical="center"/>
    </xf>
    <xf numFmtId="0" fontId="0" fillId="5" borderId="85" xfId="0" applyFill="1" applyBorder="1" applyAlignment="1">
      <alignment horizontal="center" vertical="center"/>
    </xf>
    <xf numFmtId="0" fontId="0" fillId="5" borderId="86" xfId="0" applyFill="1" applyBorder="1" applyAlignment="1">
      <alignment horizontal="center" vertical="center"/>
    </xf>
    <xf numFmtId="0" fontId="0" fillId="5" borderId="84" xfId="0" applyFill="1" applyBorder="1" applyAlignment="1">
      <alignment horizontal="center" vertical="center"/>
    </xf>
    <xf numFmtId="0" fontId="0" fillId="10" borderId="85" xfId="0" applyFill="1" applyBorder="1" applyAlignment="1">
      <alignment horizontal="center" vertical="center"/>
    </xf>
    <xf numFmtId="0" fontId="0" fillId="10" borderId="86" xfId="0" applyFill="1" applyBorder="1" applyAlignment="1">
      <alignment horizontal="center" vertical="center"/>
    </xf>
    <xf numFmtId="0" fontId="0" fillId="10" borderId="84" xfId="0" applyFill="1" applyBorder="1" applyAlignment="1">
      <alignment horizontal="center" vertical="center"/>
    </xf>
    <xf numFmtId="0" fontId="0" fillId="10" borderId="80" xfId="0" applyFill="1" applyBorder="1" applyAlignment="1">
      <alignment horizontal="center" vertical="center"/>
    </xf>
    <xf numFmtId="0" fontId="0" fillId="10" borderId="81" xfId="0" applyFill="1" applyBorder="1" applyAlignment="1">
      <alignment horizontal="center" vertical="center"/>
    </xf>
    <xf numFmtId="0" fontId="0" fillId="10" borderId="82" xfId="0" applyFill="1" applyBorder="1" applyAlignment="1">
      <alignment horizontal="center" vertical="center"/>
    </xf>
    <xf numFmtId="0" fontId="0" fillId="10" borderId="83" xfId="0" applyFill="1" applyBorder="1" applyAlignment="1">
      <alignment horizontal="center" vertical="center"/>
    </xf>
    <xf numFmtId="0" fontId="0" fillId="10" borderId="80" xfId="0" applyFill="1" applyBorder="1" applyAlignment="1">
      <alignment horizontal="center" vertical="center" wrapText="1"/>
    </xf>
    <xf numFmtId="0" fontId="0" fillId="4" borderId="5" xfId="0" applyFill="1" applyBorder="1" applyAlignment="1">
      <alignment vertical="center" wrapText="1"/>
    </xf>
    <xf numFmtId="0" fontId="2" fillId="4" borderId="4" xfId="0" applyFont="1" applyFill="1" applyBorder="1" applyAlignment="1">
      <alignment horizontal="left" vertical="center" wrapText="1"/>
    </xf>
    <xf numFmtId="0" fontId="2" fillId="4" borderId="17" xfId="0" applyFont="1" applyFill="1" applyBorder="1" applyAlignment="1">
      <alignment horizontal="left" vertical="center" wrapText="1"/>
    </xf>
    <xf numFmtId="0" fontId="2" fillId="4" borderId="6" xfId="0" applyFont="1" applyFill="1" applyBorder="1" applyAlignment="1">
      <alignment horizontal="left" vertical="center" wrapText="1"/>
    </xf>
    <xf numFmtId="0" fontId="0" fillId="4" borderId="74" xfId="0" applyFill="1" applyBorder="1" applyAlignment="1">
      <alignment horizontal="center" vertical="center" wrapText="1"/>
    </xf>
    <xf numFmtId="46" fontId="0" fillId="4" borderId="84" xfId="0" applyNumberFormat="1" applyFill="1" applyBorder="1" applyAlignment="1">
      <alignment horizontal="center" vertical="center"/>
    </xf>
    <xf numFmtId="46" fontId="0" fillId="4" borderId="74" xfId="0" applyNumberFormat="1" applyFill="1" applyBorder="1" applyAlignment="1">
      <alignment horizontal="center" vertical="center"/>
    </xf>
    <xf numFmtId="0" fontId="0" fillId="4" borderId="74" xfId="0" applyFill="1" applyBorder="1" applyAlignment="1">
      <alignment horizontal="center" vertical="center"/>
    </xf>
    <xf numFmtId="0" fontId="0" fillId="4" borderId="74" xfId="0" applyFill="1" applyBorder="1" applyAlignment="1">
      <alignment horizontal="left" vertical="center" wrapText="1"/>
    </xf>
    <xf numFmtId="46" fontId="0" fillId="11" borderId="17" xfId="0" applyNumberFormat="1" applyFill="1" applyBorder="1" applyAlignment="1">
      <alignment horizontal="center" vertical="center"/>
    </xf>
    <xf numFmtId="46" fontId="0" fillId="11" borderId="6" xfId="0" applyNumberFormat="1" applyFill="1" applyBorder="1" applyAlignment="1">
      <alignment horizontal="center" vertical="center"/>
    </xf>
    <xf numFmtId="46" fontId="2" fillId="11" borderId="4" xfId="0" applyNumberFormat="1" applyFont="1" applyFill="1" applyBorder="1" applyAlignment="1">
      <alignment horizontal="center" vertical="center"/>
    </xf>
    <xf numFmtId="46" fontId="2" fillId="11" borderId="17" xfId="0" applyNumberFormat="1" applyFont="1" applyFill="1" applyBorder="1" applyAlignment="1">
      <alignment horizontal="center" vertical="center"/>
    </xf>
    <xf numFmtId="46" fontId="2" fillId="11" borderId="6" xfId="0" applyNumberFormat="1" applyFont="1" applyFill="1" applyBorder="1" applyAlignment="1">
      <alignment horizontal="center" vertical="center"/>
    </xf>
    <xf numFmtId="0" fontId="0" fillId="11" borderId="4" xfId="0" applyFill="1" applyBorder="1" applyAlignment="1">
      <alignment horizontal="center" vertical="center"/>
    </xf>
    <xf numFmtId="0" fontId="0" fillId="11" borderId="6" xfId="0" applyFill="1" applyBorder="1" applyAlignment="1">
      <alignment horizontal="center" vertical="center"/>
    </xf>
    <xf numFmtId="0" fontId="0" fillId="11" borderId="4" xfId="0" applyFill="1" applyBorder="1" applyAlignment="1">
      <alignment horizontal="left" vertical="center" wrapText="1"/>
    </xf>
    <xf numFmtId="0" fontId="0" fillId="11" borderId="17" xfId="0" applyFill="1" applyBorder="1" applyAlignment="1">
      <alignment horizontal="left" vertical="center" wrapText="1"/>
    </xf>
    <xf numFmtId="0" fontId="0" fillId="11" borderId="6" xfId="0" applyFill="1" applyBorder="1" applyAlignment="1">
      <alignment horizontal="left" vertical="center" wrapText="1"/>
    </xf>
    <xf numFmtId="46" fontId="0" fillId="4" borderId="12" xfId="0" applyNumberFormat="1" applyFill="1" applyBorder="1" applyAlignment="1">
      <alignment horizontal="center" vertical="center"/>
    </xf>
    <xf numFmtId="46" fontId="0" fillId="4" borderId="10" xfId="0" applyNumberFormat="1" applyFill="1" applyBorder="1" applyAlignment="1">
      <alignment horizontal="center" vertical="center"/>
    </xf>
    <xf numFmtId="0" fontId="0" fillId="4" borderId="5" xfId="0" applyFill="1" applyBorder="1" applyAlignment="1">
      <alignment horizontal="left" vertical="center" wrapText="1"/>
    </xf>
    <xf numFmtId="0" fontId="0" fillId="4" borderId="20" xfId="0" applyFill="1" applyBorder="1" applyAlignment="1">
      <alignment horizontal="center" vertical="center"/>
    </xf>
    <xf numFmtId="0" fontId="0" fillId="4" borderId="20" xfId="0" applyFill="1" applyBorder="1" applyAlignment="1">
      <alignment horizontal="center" vertical="center" wrapText="1"/>
    </xf>
    <xf numFmtId="0" fontId="0" fillId="4" borderId="5" xfId="0" applyFill="1" applyBorder="1" applyAlignment="1">
      <alignment horizontal="center" vertical="center" wrapText="1"/>
    </xf>
    <xf numFmtId="46" fontId="0" fillId="11" borderId="4" xfId="0" applyNumberFormat="1" applyFill="1" applyBorder="1" applyAlignment="1">
      <alignment horizontal="center" vertical="center"/>
    </xf>
    <xf numFmtId="46" fontId="3" fillId="4" borderId="74" xfId="0" applyNumberFormat="1" applyFont="1" applyFill="1" applyBorder="1" applyAlignment="1">
      <alignment horizontal="center" vertical="center"/>
    </xf>
    <xf numFmtId="0" fontId="0" fillId="4" borderId="74" xfId="0" applyFill="1" applyBorder="1" applyAlignment="1">
      <alignment horizontal="left" vertical="center"/>
    </xf>
    <xf numFmtId="46" fontId="3" fillId="4" borderId="74" xfId="0" applyNumberFormat="1" applyFont="1" applyFill="1" applyBorder="1" applyAlignment="1">
      <alignment horizontal="center" vertical="center" wrapText="1"/>
    </xf>
    <xf numFmtId="46" fontId="9" fillId="4" borderId="74" xfId="0" applyNumberFormat="1" applyFont="1" applyFill="1" applyBorder="1" applyAlignment="1">
      <alignment horizontal="center" vertical="center"/>
    </xf>
    <xf numFmtId="46" fontId="9" fillId="4" borderId="80" xfId="0" applyNumberFormat="1" applyFont="1" applyFill="1" applyBorder="1" applyAlignment="1">
      <alignment horizontal="center" vertical="center"/>
    </xf>
    <xf numFmtId="0" fontId="0" fillId="4" borderId="80" xfId="0" applyFill="1" applyBorder="1" applyAlignment="1">
      <alignment horizontal="center" vertical="center"/>
    </xf>
    <xf numFmtId="46" fontId="0" fillId="4" borderId="81" xfId="0" applyNumberFormat="1" applyFill="1" applyBorder="1" applyAlignment="1">
      <alignment horizontal="center" vertical="center"/>
    </xf>
    <xf numFmtId="46" fontId="0" fillId="4" borderId="83" xfId="0" applyNumberFormat="1" applyFill="1" applyBorder="1" applyAlignment="1">
      <alignment horizontal="center" vertical="center"/>
    </xf>
    <xf numFmtId="46" fontId="0" fillId="4" borderId="72" xfId="0" applyNumberFormat="1" applyFill="1" applyBorder="1" applyAlignment="1">
      <alignment horizontal="center" vertical="center"/>
    </xf>
    <xf numFmtId="46" fontId="3" fillId="4" borderId="15" xfId="0" applyNumberFormat="1" applyFont="1" applyFill="1" applyBorder="1" applyAlignment="1">
      <alignment horizontal="center" vertical="center" wrapText="1"/>
    </xf>
    <xf numFmtId="46" fontId="3" fillId="4" borderId="14" xfId="0" applyNumberFormat="1" applyFont="1" applyFill="1" applyBorder="1" applyAlignment="1">
      <alignment horizontal="center" vertical="center" wrapText="1"/>
    </xf>
    <xf numFmtId="46" fontId="3" fillId="4" borderId="13" xfId="0" applyNumberFormat="1" applyFont="1" applyFill="1" applyBorder="1" applyAlignment="1">
      <alignment horizontal="center" vertical="center" wrapText="1"/>
    </xf>
    <xf numFmtId="46" fontId="3" fillId="4" borderId="18" xfId="0" applyNumberFormat="1" applyFont="1" applyFill="1" applyBorder="1" applyAlignment="1">
      <alignment horizontal="center" vertical="center" wrapText="1"/>
    </xf>
    <xf numFmtId="46" fontId="3" fillId="4" borderId="0" xfId="0" applyNumberFormat="1" applyFont="1" applyFill="1" applyAlignment="1">
      <alignment horizontal="center" vertical="center" wrapText="1"/>
    </xf>
    <xf numFmtId="46" fontId="3" fillId="4" borderId="16" xfId="0" applyNumberFormat="1" applyFont="1" applyFill="1" applyBorder="1" applyAlignment="1">
      <alignment horizontal="center" vertical="center" wrapText="1"/>
    </xf>
    <xf numFmtId="46" fontId="0" fillId="5" borderId="4" xfId="0" applyNumberFormat="1" applyFill="1" applyBorder="1" applyAlignment="1">
      <alignment horizontal="center" vertical="center"/>
    </xf>
    <xf numFmtId="46" fontId="0" fillId="5" borderId="6" xfId="0" applyNumberFormat="1" applyFill="1" applyBorder="1" applyAlignment="1">
      <alignment horizontal="center" vertical="center"/>
    </xf>
    <xf numFmtId="46" fontId="0" fillId="5" borderId="17" xfId="0" applyNumberFormat="1" applyFill="1" applyBorder="1" applyAlignment="1">
      <alignment horizontal="center" vertical="center"/>
    </xf>
    <xf numFmtId="0" fontId="0" fillId="5" borderId="4" xfId="0" applyFill="1" applyBorder="1" applyAlignment="1">
      <alignment horizontal="center" vertical="center"/>
    </xf>
    <xf numFmtId="0" fontId="0" fillId="5" borderId="6" xfId="0" applyFill="1" applyBorder="1" applyAlignment="1">
      <alignment horizontal="center" vertical="center"/>
    </xf>
    <xf numFmtId="0" fontId="0" fillId="5" borderId="4" xfId="0" applyFill="1" applyBorder="1" applyAlignment="1">
      <alignment horizontal="left" vertical="center" wrapText="1"/>
    </xf>
    <xf numFmtId="0" fontId="0" fillId="5" borderId="17" xfId="0" applyFill="1" applyBorder="1" applyAlignment="1">
      <alignment horizontal="left" vertical="center" wrapText="1"/>
    </xf>
    <xf numFmtId="0" fontId="0" fillId="5" borderId="6" xfId="0" applyFill="1" applyBorder="1" applyAlignment="1">
      <alignment horizontal="left" vertical="center" wrapText="1"/>
    </xf>
    <xf numFmtId="46" fontId="0" fillId="4" borderId="5" xfId="0" applyNumberFormat="1" applyFill="1" applyBorder="1" applyAlignment="1">
      <alignment horizontal="center" vertical="center"/>
    </xf>
    <xf numFmtId="0" fontId="0" fillId="12" borderId="87" xfId="0" applyFill="1" applyBorder="1" applyAlignment="1">
      <alignment horizontal="center" vertical="center"/>
    </xf>
    <xf numFmtId="0" fontId="0" fillId="12" borderId="88" xfId="0" applyFill="1" applyBorder="1" applyAlignment="1">
      <alignment horizontal="center" vertical="center"/>
    </xf>
    <xf numFmtId="0" fontId="0" fillId="12" borderId="89" xfId="0" applyFill="1" applyBorder="1" applyAlignment="1">
      <alignment horizontal="center" vertical="center"/>
    </xf>
    <xf numFmtId="0" fontId="0" fillId="2" borderId="90" xfId="0" applyFill="1" applyBorder="1" applyAlignment="1">
      <alignment horizontal="center" vertical="center"/>
    </xf>
    <xf numFmtId="0" fontId="0" fillId="2" borderId="90" xfId="0" applyFill="1" applyBorder="1">
      <alignment vertical="center"/>
    </xf>
    <xf numFmtId="0" fontId="0" fillId="2" borderId="91" xfId="0" applyFill="1" applyBorder="1">
      <alignment vertical="center"/>
    </xf>
    <xf numFmtId="0" fontId="0" fillId="2" borderId="74" xfId="0" applyFill="1" applyBorder="1">
      <alignment vertical="center"/>
    </xf>
    <xf numFmtId="0" fontId="0" fillId="2" borderId="85" xfId="0" applyFill="1" applyBorder="1">
      <alignment vertical="center"/>
    </xf>
    <xf numFmtId="0" fontId="0" fillId="2" borderId="86" xfId="0" applyFill="1" applyBorder="1">
      <alignment vertical="center"/>
    </xf>
    <xf numFmtId="0" fontId="0" fillId="2" borderId="84" xfId="0" applyFill="1" applyBorder="1">
      <alignment vertical="center"/>
    </xf>
    <xf numFmtId="0" fontId="0" fillId="2" borderId="74" xfId="0" applyFill="1" applyBorder="1" applyAlignment="1">
      <alignment horizontal="center" vertical="center"/>
    </xf>
    <xf numFmtId="0" fontId="0" fillId="2" borderId="91" xfId="0" applyFill="1" applyBorder="1" applyAlignment="1">
      <alignment horizontal="center" vertical="center"/>
    </xf>
    <xf numFmtId="0" fontId="0" fillId="2" borderId="73" xfId="0" applyFill="1" applyBorder="1" applyAlignment="1">
      <alignment horizontal="center" vertical="center"/>
    </xf>
    <xf numFmtId="0" fontId="0" fillId="2" borderId="73" xfId="0" applyFill="1" applyBorder="1">
      <alignment vertical="center"/>
    </xf>
    <xf numFmtId="0" fontId="0" fillId="3" borderId="14" xfId="0" applyFill="1" applyBorder="1" applyAlignment="1">
      <alignment horizontal="center" vertical="center"/>
    </xf>
    <xf numFmtId="0" fontId="0" fillId="3" borderId="15" xfId="0" applyFill="1" applyBorder="1" applyAlignment="1">
      <alignment horizontal="left" vertical="center" wrapText="1"/>
    </xf>
    <xf numFmtId="0" fontId="0" fillId="3" borderId="14" xfId="0" applyFill="1" applyBorder="1" applyAlignment="1">
      <alignment horizontal="left" vertical="center"/>
    </xf>
    <xf numFmtId="0" fontId="0" fillId="3" borderId="13" xfId="0" applyFill="1" applyBorder="1" applyAlignment="1">
      <alignment horizontal="left" vertical="center"/>
    </xf>
    <xf numFmtId="0" fontId="0" fillId="3" borderId="18" xfId="0" applyFill="1" applyBorder="1" applyAlignment="1">
      <alignment horizontal="left" vertical="center"/>
    </xf>
    <xf numFmtId="0" fontId="0" fillId="3" borderId="0" xfId="0" applyFill="1" applyAlignment="1">
      <alignment horizontal="left" vertical="center"/>
    </xf>
    <xf numFmtId="0" fontId="0" fillId="3" borderId="16" xfId="0" applyFill="1" applyBorder="1" applyAlignment="1">
      <alignment horizontal="left" vertical="center"/>
    </xf>
    <xf numFmtId="46" fontId="10" fillId="4" borderId="74" xfId="0" applyNumberFormat="1" applyFont="1" applyFill="1" applyBorder="1" applyAlignment="1">
      <alignment horizontal="center" vertical="center"/>
    </xf>
    <xf numFmtId="0" fontId="0" fillId="4" borderId="81" xfId="0" applyFill="1" applyBorder="1" applyAlignment="1">
      <alignment horizontal="center" vertical="center" wrapText="1"/>
    </xf>
    <xf numFmtId="0" fontId="0" fillId="4" borderId="83" xfId="0" applyFill="1" applyBorder="1" applyAlignment="1">
      <alignment horizontal="center" vertical="center" wrapText="1"/>
    </xf>
    <xf numFmtId="0" fontId="0" fillId="4" borderId="82" xfId="0" applyFill="1" applyBorder="1" applyAlignment="1">
      <alignment horizontal="center" vertical="center" wrapText="1"/>
    </xf>
    <xf numFmtId="0" fontId="0" fillId="4" borderId="72" xfId="0" applyFill="1" applyBorder="1" applyAlignment="1">
      <alignment horizontal="center" vertical="center" wrapText="1"/>
    </xf>
    <xf numFmtId="0" fontId="0" fillId="4" borderId="0" xfId="0" applyFill="1" applyAlignment="1">
      <alignment horizontal="center" vertical="center" wrapText="1"/>
    </xf>
    <xf numFmtId="0" fontId="0" fillId="4" borderId="75" xfId="0" applyFill="1" applyBorder="1" applyAlignment="1">
      <alignment horizontal="center" vertical="center" wrapText="1"/>
    </xf>
    <xf numFmtId="0" fontId="0" fillId="4" borderId="99" xfId="0" applyFill="1" applyBorder="1" applyAlignment="1">
      <alignment horizontal="center" vertical="center" wrapText="1"/>
    </xf>
    <xf numFmtId="0" fontId="0" fillId="4" borderId="100" xfId="0" applyFill="1" applyBorder="1" applyAlignment="1">
      <alignment horizontal="center" vertical="center" wrapText="1"/>
    </xf>
    <xf numFmtId="0" fontId="0" fillId="4" borderId="101" xfId="0" applyFill="1" applyBorder="1" applyAlignment="1">
      <alignment horizontal="center" vertical="center" wrapText="1"/>
    </xf>
    <xf numFmtId="0" fontId="0" fillId="4" borderId="81" xfId="0" applyFill="1" applyBorder="1" applyAlignment="1">
      <alignment horizontal="center" vertical="center"/>
    </xf>
    <xf numFmtId="0" fontId="0" fillId="4" borderId="83" xfId="0" applyFill="1" applyBorder="1" applyAlignment="1">
      <alignment horizontal="center" vertical="center"/>
    </xf>
    <xf numFmtId="0" fontId="0" fillId="4" borderId="82" xfId="0" applyFill="1" applyBorder="1" applyAlignment="1">
      <alignment horizontal="center" vertical="center"/>
    </xf>
    <xf numFmtId="0" fontId="0" fillId="4" borderId="72" xfId="0" applyFill="1" applyBorder="1" applyAlignment="1">
      <alignment horizontal="center" vertical="center"/>
    </xf>
    <xf numFmtId="0" fontId="0" fillId="4" borderId="75" xfId="0" applyFill="1" applyBorder="1" applyAlignment="1">
      <alignment horizontal="center" vertical="center"/>
    </xf>
    <xf numFmtId="0" fontId="0" fillId="4" borderId="99" xfId="0" applyFill="1" applyBorder="1" applyAlignment="1">
      <alignment horizontal="center" vertical="center"/>
    </xf>
    <xf numFmtId="0" fontId="0" fillId="4" borderId="100" xfId="0" applyFill="1" applyBorder="1" applyAlignment="1">
      <alignment horizontal="center" vertical="center"/>
    </xf>
    <xf numFmtId="0" fontId="0" fillId="4" borderId="101" xfId="0" applyFill="1" applyBorder="1" applyAlignment="1">
      <alignment horizontal="center" vertical="center"/>
    </xf>
    <xf numFmtId="46" fontId="0" fillId="4" borderId="82" xfId="0" applyNumberFormat="1" applyFill="1" applyBorder="1" applyAlignment="1">
      <alignment horizontal="center" vertical="center"/>
    </xf>
    <xf numFmtId="46" fontId="0" fillId="4" borderId="75" xfId="0" applyNumberFormat="1" applyFill="1" applyBorder="1" applyAlignment="1">
      <alignment horizontal="center" vertical="center"/>
    </xf>
    <xf numFmtId="46" fontId="0" fillId="4" borderId="99" xfId="0" applyNumberFormat="1" applyFill="1" applyBorder="1" applyAlignment="1">
      <alignment horizontal="center" vertical="center"/>
    </xf>
    <xf numFmtId="46" fontId="0" fillId="4" borderId="101" xfId="0" applyNumberFormat="1" applyFill="1" applyBorder="1" applyAlignment="1">
      <alignment horizontal="center" vertical="center"/>
    </xf>
    <xf numFmtId="46" fontId="4" fillId="4" borderId="81" xfId="0" applyNumberFormat="1" applyFont="1" applyFill="1" applyBorder="1" applyAlignment="1">
      <alignment horizontal="center" vertical="center"/>
    </xf>
    <xf numFmtId="46" fontId="4" fillId="4" borderId="83" xfId="0" applyNumberFormat="1" applyFont="1" applyFill="1" applyBorder="1" applyAlignment="1">
      <alignment horizontal="center" vertical="center"/>
    </xf>
    <xf numFmtId="46" fontId="4" fillId="4" borderId="82" xfId="0" applyNumberFormat="1" applyFont="1" applyFill="1" applyBorder="1" applyAlignment="1">
      <alignment horizontal="center" vertical="center"/>
    </xf>
    <xf numFmtId="46" fontId="4" fillId="4" borderId="72" xfId="0" applyNumberFormat="1" applyFont="1" applyFill="1" applyBorder="1" applyAlignment="1">
      <alignment horizontal="center" vertical="center"/>
    </xf>
    <xf numFmtId="46" fontId="4" fillId="4" borderId="0" xfId="0" applyNumberFormat="1" applyFont="1" applyFill="1" applyAlignment="1">
      <alignment horizontal="center" vertical="center"/>
    </xf>
    <xf numFmtId="46" fontId="4" fillId="4" borderId="75" xfId="0" applyNumberFormat="1" applyFont="1" applyFill="1" applyBorder="1" applyAlignment="1">
      <alignment horizontal="center" vertical="center"/>
    </xf>
    <xf numFmtId="46" fontId="4" fillId="4" borderId="99" xfId="0" applyNumberFormat="1" applyFont="1" applyFill="1" applyBorder="1" applyAlignment="1">
      <alignment horizontal="center" vertical="center"/>
    </xf>
    <xf numFmtId="46" fontId="4" fillId="4" borderId="100" xfId="0" applyNumberFormat="1" applyFont="1" applyFill="1" applyBorder="1" applyAlignment="1">
      <alignment horizontal="center" vertical="center"/>
    </xf>
    <xf numFmtId="46" fontId="4" fillId="4" borderId="101" xfId="0" applyNumberFormat="1" applyFont="1" applyFill="1" applyBorder="1" applyAlignment="1">
      <alignment horizontal="center" vertical="center"/>
    </xf>
    <xf numFmtId="0" fontId="0" fillId="4" borderId="81" xfId="0" applyFill="1" applyBorder="1" applyAlignment="1">
      <alignment horizontal="left" vertical="center" wrapText="1"/>
    </xf>
    <xf numFmtId="0" fontId="0" fillId="4" borderId="83" xfId="0" applyFill="1" applyBorder="1" applyAlignment="1">
      <alignment horizontal="left" vertical="center" wrapText="1"/>
    </xf>
    <xf numFmtId="0" fontId="0" fillId="4" borderId="82" xfId="0" applyFill="1" applyBorder="1" applyAlignment="1">
      <alignment horizontal="left" vertical="center" wrapText="1"/>
    </xf>
    <xf numFmtId="0" fontId="0" fillId="4" borderId="72" xfId="0" applyFill="1" applyBorder="1" applyAlignment="1">
      <alignment horizontal="left" vertical="center" wrapText="1"/>
    </xf>
    <xf numFmtId="0" fontId="0" fillId="4" borderId="75" xfId="0" applyFill="1" applyBorder="1" applyAlignment="1">
      <alignment horizontal="left" vertical="center" wrapText="1"/>
    </xf>
    <xf numFmtId="0" fontId="0" fillId="4" borderId="99" xfId="0" applyFill="1" applyBorder="1" applyAlignment="1">
      <alignment horizontal="left" vertical="center" wrapText="1"/>
    </xf>
    <xf numFmtId="0" fontId="0" fillId="4" borderId="100" xfId="0" applyFill="1" applyBorder="1" applyAlignment="1">
      <alignment horizontal="left" vertical="center" wrapText="1"/>
    </xf>
    <xf numFmtId="0" fontId="0" fillId="4" borderId="101" xfId="0" applyFill="1" applyBorder="1" applyAlignment="1">
      <alignment horizontal="left" vertical="center" wrapText="1"/>
    </xf>
    <xf numFmtId="46" fontId="4" fillId="4" borderId="74" xfId="0" applyNumberFormat="1" applyFont="1" applyFill="1" applyBorder="1" applyAlignment="1">
      <alignment horizontal="center" vertical="center"/>
    </xf>
    <xf numFmtId="0" fontId="0" fillId="5" borderId="17" xfId="0" applyFill="1" applyBorder="1" applyAlignment="1">
      <alignment horizontal="center" vertical="center"/>
    </xf>
    <xf numFmtId="0" fontId="0" fillId="10" borderId="74" xfId="0" applyFill="1" applyBorder="1" applyAlignment="1">
      <alignment horizontal="center" vertical="center"/>
    </xf>
    <xf numFmtId="46" fontId="4" fillId="4" borderId="5" xfId="0" applyNumberFormat="1" applyFont="1" applyFill="1" applyBorder="1" applyAlignment="1">
      <alignment horizontal="center" vertical="center"/>
    </xf>
    <xf numFmtId="46" fontId="0" fillId="4" borderId="11" xfId="0" applyNumberFormat="1" applyFill="1" applyBorder="1" applyAlignment="1">
      <alignment horizontal="center" vertical="center"/>
    </xf>
    <xf numFmtId="0" fontId="0" fillId="4" borderId="20" xfId="0" applyFill="1" applyBorder="1" applyAlignment="1">
      <alignment vertical="center" wrapText="1"/>
    </xf>
    <xf numFmtId="0" fontId="0" fillId="10" borderId="96" xfId="0" applyFill="1" applyBorder="1" applyAlignment="1">
      <alignment horizontal="center" vertical="center"/>
    </xf>
    <xf numFmtId="0" fontId="0" fillId="10" borderId="97" xfId="0" applyFill="1" applyBorder="1" applyAlignment="1">
      <alignment horizontal="center" vertical="center"/>
    </xf>
    <xf numFmtId="0" fontId="0" fillId="10" borderId="98" xfId="0" applyFill="1" applyBorder="1" applyAlignment="1">
      <alignment horizontal="center" vertical="center"/>
    </xf>
    <xf numFmtId="0" fontId="0" fillId="4" borderId="12" xfId="0" applyFill="1" applyBorder="1" applyAlignment="1">
      <alignment horizontal="center" vertical="center"/>
    </xf>
    <xf numFmtId="0" fontId="0" fillId="4" borderId="11" xfId="0" applyFill="1" applyBorder="1" applyAlignment="1">
      <alignment horizontal="center" vertical="center"/>
    </xf>
    <xf numFmtId="0" fontId="0" fillId="4" borderId="10" xfId="0" applyFill="1" applyBorder="1" applyAlignment="1">
      <alignment horizontal="center" vertical="center"/>
    </xf>
    <xf numFmtId="0" fontId="0" fillId="4" borderId="15" xfId="0" applyFill="1" applyBorder="1" applyAlignment="1">
      <alignment horizontal="center" vertical="center" wrapText="1"/>
    </xf>
    <xf numFmtId="0" fontId="0" fillId="4" borderId="14" xfId="0" applyFill="1" applyBorder="1" applyAlignment="1">
      <alignment horizontal="center" vertical="center" wrapText="1"/>
    </xf>
    <xf numFmtId="0" fontId="0" fillId="4" borderId="13" xfId="0" applyFill="1" applyBorder="1" applyAlignment="1">
      <alignment horizontal="center" vertical="center" wrapText="1"/>
    </xf>
    <xf numFmtId="0" fontId="0" fillId="4" borderId="18" xfId="0" applyFill="1" applyBorder="1" applyAlignment="1">
      <alignment horizontal="center" vertical="center" wrapText="1"/>
    </xf>
    <xf numFmtId="0" fontId="0" fillId="4" borderId="16" xfId="0" applyFill="1" applyBorder="1" applyAlignment="1">
      <alignment horizontal="center" vertical="center" wrapText="1"/>
    </xf>
    <xf numFmtId="0" fontId="0" fillId="4" borderId="12" xfId="0" applyFill="1" applyBorder="1" applyAlignment="1">
      <alignment horizontal="center" vertical="center" wrapText="1"/>
    </xf>
    <xf numFmtId="0" fontId="0" fillId="4" borderId="11" xfId="0" applyFill="1" applyBorder="1" applyAlignment="1">
      <alignment horizontal="center" vertical="center" wrapText="1"/>
    </xf>
    <xf numFmtId="0" fontId="0" fillId="4" borderId="10" xfId="0" applyFill="1" applyBorder="1" applyAlignment="1">
      <alignment horizontal="center" vertical="center" wrapText="1"/>
    </xf>
    <xf numFmtId="0" fontId="2" fillId="4" borderId="5" xfId="0" applyFont="1" applyFill="1" applyBorder="1" applyAlignment="1">
      <alignment horizontal="center" vertical="center" wrapText="1"/>
    </xf>
    <xf numFmtId="0" fontId="0" fillId="4" borderId="12" xfId="0" applyFill="1" applyBorder="1" applyAlignment="1">
      <alignment horizontal="left" vertical="center" wrapText="1"/>
    </xf>
    <xf numFmtId="0" fontId="0" fillId="4" borderId="11" xfId="0" applyFill="1" applyBorder="1" applyAlignment="1">
      <alignment horizontal="left" vertical="center" wrapText="1"/>
    </xf>
    <xf numFmtId="0" fontId="0" fillId="4" borderId="10" xfId="0" applyFill="1" applyBorder="1" applyAlignment="1">
      <alignment horizontal="left" vertical="center" wrapText="1"/>
    </xf>
    <xf numFmtId="0" fontId="0" fillId="2" borderId="94" xfId="0" applyFill="1" applyBorder="1" applyAlignment="1">
      <alignment horizontal="left" vertical="center"/>
    </xf>
    <xf numFmtId="0" fontId="0" fillId="2" borderId="95" xfId="0" applyFill="1" applyBorder="1" applyAlignment="1">
      <alignment horizontal="left" vertical="center"/>
    </xf>
    <xf numFmtId="0" fontId="0" fillId="2" borderId="92" xfId="0" applyFill="1" applyBorder="1" applyAlignment="1">
      <alignment horizontal="left" vertical="center"/>
    </xf>
    <xf numFmtId="0" fontId="0" fillId="2" borderId="93" xfId="0" applyFill="1" applyBorder="1" applyAlignment="1">
      <alignment horizontal="left" vertical="center"/>
    </xf>
    <xf numFmtId="0" fontId="0" fillId="12" borderId="19" xfId="0" applyFill="1" applyBorder="1" applyAlignment="1">
      <alignment horizontal="center" vertical="center"/>
    </xf>
    <xf numFmtId="0" fontId="2" fillId="2" borderId="105" xfId="0" applyFont="1" applyFill="1" applyBorder="1" applyAlignment="1">
      <alignment horizontal="center" vertical="center"/>
    </xf>
    <xf numFmtId="0" fontId="2" fillId="2" borderId="106" xfId="0" applyFont="1" applyFill="1" applyBorder="1" applyAlignment="1">
      <alignment horizontal="center" vertical="center"/>
    </xf>
    <xf numFmtId="0" fontId="2" fillId="2" borderId="63" xfId="0" applyFont="1" applyFill="1" applyBorder="1" applyAlignment="1">
      <alignment horizontal="center" vertical="center"/>
    </xf>
    <xf numFmtId="0" fontId="2" fillId="2" borderId="64" xfId="0" applyFont="1" applyFill="1" applyBorder="1" applyAlignment="1">
      <alignment horizontal="center" vertical="center"/>
    </xf>
    <xf numFmtId="0" fontId="0" fillId="2" borderId="4" xfId="0" applyFill="1" applyBorder="1" applyAlignment="1">
      <alignment horizontal="left" vertical="center"/>
    </xf>
    <xf numFmtId="0" fontId="0" fillId="2" borderId="17" xfId="0" applyFill="1" applyBorder="1" applyAlignment="1">
      <alignment horizontal="left" vertical="center"/>
    </xf>
    <xf numFmtId="0" fontId="0" fillId="2" borderId="6" xfId="0" applyFill="1" applyBorder="1" applyAlignment="1">
      <alignment horizontal="left" vertical="center"/>
    </xf>
    <xf numFmtId="0" fontId="2" fillId="2" borderId="20" xfId="0" applyFont="1" applyFill="1" applyBorder="1" applyAlignment="1">
      <alignment horizontal="center" vertical="center"/>
    </xf>
    <xf numFmtId="0" fontId="0" fillId="2" borderId="107" xfId="0" applyFill="1" applyBorder="1" applyAlignment="1">
      <alignment horizontal="left" vertical="center"/>
    </xf>
    <xf numFmtId="0" fontId="0" fillId="2" borderId="108" xfId="0" applyFill="1" applyBorder="1" applyAlignment="1">
      <alignment horizontal="left" vertical="center"/>
    </xf>
    <xf numFmtId="0" fontId="0" fillId="2" borderId="109" xfId="0" applyFill="1" applyBorder="1" applyAlignment="1">
      <alignment horizontal="left" vertical="center"/>
    </xf>
    <xf numFmtId="0" fontId="4" fillId="2" borderId="20" xfId="0" applyFont="1" applyFill="1" applyBorder="1" applyAlignment="1">
      <alignment horizontal="center" vertical="center"/>
    </xf>
    <xf numFmtId="0" fontId="3" fillId="2" borderId="20" xfId="0" applyFont="1" applyFill="1" applyBorder="1" applyAlignment="1">
      <alignment horizontal="center" vertical="center"/>
    </xf>
    <xf numFmtId="0" fontId="4" fillId="2" borderId="63" xfId="0" applyFont="1" applyFill="1" applyBorder="1" applyAlignment="1">
      <alignment horizontal="center" vertical="center"/>
    </xf>
    <xf numFmtId="0" fontId="3" fillId="2" borderId="64" xfId="0" applyFont="1" applyFill="1" applyBorder="1" applyAlignment="1">
      <alignment horizontal="center" vertical="center"/>
    </xf>
    <xf numFmtId="0" fontId="0" fillId="2" borderId="66" xfId="0" applyFill="1" applyBorder="1" applyAlignment="1">
      <alignment horizontal="left" vertical="center"/>
    </xf>
    <xf numFmtId="0" fontId="2" fillId="2" borderId="19" xfId="0" applyFont="1" applyFill="1" applyBorder="1" applyAlignment="1">
      <alignment horizontal="center" vertical="center"/>
    </xf>
    <xf numFmtId="0" fontId="0" fillId="2" borderId="102" xfId="0" applyFill="1" applyBorder="1" applyAlignment="1">
      <alignment horizontal="left" vertical="center"/>
    </xf>
    <xf numFmtId="0" fontId="0" fillId="2" borderId="103" xfId="0" applyFill="1" applyBorder="1" applyAlignment="1">
      <alignment horizontal="left" vertical="center"/>
    </xf>
    <xf numFmtId="0" fontId="0" fillId="2" borderId="104" xfId="0" applyFill="1" applyBorder="1" applyAlignment="1">
      <alignment horizontal="left" vertical="center"/>
    </xf>
    <xf numFmtId="0" fontId="4" fillId="2" borderId="5" xfId="0" applyFont="1" applyFill="1" applyBorder="1" applyAlignment="1">
      <alignment horizontal="center" vertical="center"/>
    </xf>
    <xf numFmtId="0" fontId="0" fillId="4" borderId="5" xfId="0" applyFill="1" applyBorder="1">
      <alignment vertical="center"/>
    </xf>
    <xf numFmtId="0" fontId="3" fillId="4" borderId="17" xfId="0" applyFont="1" applyFill="1" applyBorder="1" applyAlignment="1">
      <alignment horizontal="center" vertical="center"/>
    </xf>
    <xf numFmtId="0" fontId="3" fillId="4" borderId="6" xfId="0" applyFont="1" applyFill="1" applyBorder="1" applyAlignment="1">
      <alignment horizontal="center" vertical="center"/>
    </xf>
    <xf numFmtId="0" fontId="0" fillId="10" borderId="5" xfId="0" applyFill="1" applyBorder="1" applyAlignment="1">
      <alignment horizontal="center" vertical="center"/>
    </xf>
    <xf numFmtId="0" fontId="0" fillId="10" borderId="110" xfId="0" applyFill="1" applyBorder="1" applyAlignment="1">
      <alignment horizontal="center" vertical="center"/>
    </xf>
    <xf numFmtId="0" fontId="0" fillId="4" borderId="5" xfId="0" applyFill="1" applyBorder="1" applyAlignment="1">
      <alignment horizontal="left" vertical="center"/>
    </xf>
    <xf numFmtId="0" fontId="3" fillId="4" borderId="5" xfId="0" applyFont="1" applyFill="1" applyBorder="1" applyAlignment="1">
      <alignment horizontal="center" vertical="center"/>
    </xf>
    <xf numFmtId="0" fontId="3" fillId="4" borderId="5" xfId="0" applyFont="1" applyFill="1" applyBorder="1" applyAlignment="1">
      <alignment horizontal="left" vertical="center" wrapText="1"/>
    </xf>
    <xf numFmtId="46" fontId="2" fillId="5" borderId="5" xfId="0" applyNumberFormat="1" applyFont="1" applyFill="1" applyBorder="1" applyAlignment="1">
      <alignment horizontal="center" vertical="center"/>
    </xf>
    <xf numFmtId="46" fontId="0" fillId="5" borderId="5" xfId="0" applyNumberFormat="1" applyFill="1" applyBorder="1" applyAlignment="1">
      <alignment horizontal="center" vertical="center"/>
    </xf>
    <xf numFmtId="0" fontId="0" fillId="5" borderId="5" xfId="0" applyFill="1" applyBorder="1" applyAlignment="1">
      <alignment horizontal="center" vertical="center"/>
    </xf>
    <xf numFmtId="0" fontId="0" fillId="5" borderId="5" xfId="0" applyFill="1" applyBorder="1" applyAlignment="1">
      <alignment horizontal="left" vertical="center" wrapText="1"/>
    </xf>
    <xf numFmtId="0" fontId="4" fillId="4" borderId="4" xfId="0" applyFont="1" applyFill="1" applyBorder="1" applyAlignment="1">
      <alignment horizontal="left" vertical="center" wrapText="1"/>
    </xf>
    <xf numFmtId="0" fontId="3" fillId="4" borderId="15" xfId="0" applyFont="1" applyFill="1" applyBorder="1" applyAlignment="1">
      <alignment horizontal="center" vertical="center" wrapText="1"/>
    </xf>
    <xf numFmtId="0" fontId="3" fillId="4" borderId="14" xfId="0" applyFont="1" applyFill="1" applyBorder="1" applyAlignment="1">
      <alignment horizontal="center" vertical="center" wrapText="1"/>
    </xf>
    <xf numFmtId="0" fontId="3" fillId="4" borderId="13" xfId="0" applyFont="1" applyFill="1" applyBorder="1" applyAlignment="1">
      <alignment horizontal="center" vertical="center" wrapText="1"/>
    </xf>
    <xf numFmtId="0" fontId="3" fillId="4" borderId="18" xfId="0" applyFont="1" applyFill="1" applyBorder="1" applyAlignment="1">
      <alignment horizontal="center" vertical="center" wrapText="1"/>
    </xf>
    <xf numFmtId="0" fontId="3" fillId="4" borderId="0" xfId="0" applyFont="1" applyFill="1" applyAlignment="1">
      <alignment horizontal="center" vertical="center" wrapText="1"/>
    </xf>
    <xf numFmtId="0" fontId="3" fillId="4" borderId="16" xfId="0" applyFont="1" applyFill="1" applyBorder="1" applyAlignment="1">
      <alignment horizontal="center" vertical="center" wrapText="1"/>
    </xf>
    <xf numFmtId="0" fontId="3" fillId="4" borderId="12" xfId="0" applyFont="1" applyFill="1" applyBorder="1" applyAlignment="1">
      <alignment horizontal="center" vertical="center" wrapText="1"/>
    </xf>
    <xf numFmtId="0" fontId="3" fillId="4" borderId="11" xfId="0" applyFont="1" applyFill="1" applyBorder="1" applyAlignment="1">
      <alignment horizontal="center" vertical="center" wrapText="1"/>
    </xf>
    <xf numFmtId="0" fontId="3" fillId="4" borderId="10" xfId="0" applyFont="1" applyFill="1" applyBorder="1" applyAlignment="1">
      <alignment horizontal="center" vertical="center" wrapText="1"/>
    </xf>
    <xf numFmtId="0" fontId="0" fillId="10" borderId="72" xfId="0" applyFill="1" applyBorder="1" applyAlignment="1">
      <alignment horizontal="center" vertical="center"/>
    </xf>
    <xf numFmtId="0" fontId="0" fillId="10" borderId="0" xfId="0" applyFill="1" applyAlignment="1">
      <alignment horizontal="center" vertical="center"/>
    </xf>
    <xf numFmtId="0" fontId="0" fillId="10" borderId="75" xfId="0" applyFill="1" applyBorder="1" applyAlignment="1">
      <alignment horizontal="center" vertical="center"/>
    </xf>
    <xf numFmtId="0" fontId="0" fillId="10" borderId="76" xfId="0" applyFill="1" applyBorder="1" applyAlignment="1">
      <alignment horizontal="center" vertical="center" wrapText="1"/>
    </xf>
    <xf numFmtId="0" fontId="0" fillId="10" borderId="20" xfId="0" applyFill="1" applyBorder="1" applyAlignment="1">
      <alignment horizontal="center" vertical="center"/>
    </xf>
    <xf numFmtId="0" fontId="3" fillId="4" borderId="15" xfId="0" applyFont="1" applyFill="1" applyBorder="1" applyAlignment="1">
      <alignment horizontal="left" vertical="center" wrapText="1"/>
    </xf>
    <xf numFmtId="0" fontId="3" fillId="4" borderId="14" xfId="0" applyFont="1" applyFill="1" applyBorder="1" applyAlignment="1">
      <alignment horizontal="left" vertical="center" wrapText="1"/>
    </xf>
    <xf numFmtId="0" fontId="3" fillId="4" borderId="13" xfId="0" applyFont="1" applyFill="1" applyBorder="1" applyAlignment="1">
      <alignment horizontal="left" vertical="center" wrapText="1"/>
    </xf>
    <xf numFmtId="0" fontId="0" fillId="4" borderId="15" xfId="0" applyFill="1" applyBorder="1" applyAlignment="1">
      <alignment horizontal="left" vertical="center"/>
    </xf>
    <xf numFmtId="0" fontId="0" fillId="4" borderId="14" xfId="0" applyFill="1" applyBorder="1" applyAlignment="1">
      <alignment horizontal="left" vertical="center"/>
    </xf>
    <xf numFmtId="0" fontId="0" fillId="4" borderId="18" xfId="0" applyFill="1" applyBorder="1" applyAlignment="1">
      <alignment horizontal="left" vertical="center"/>
    </xf>
    <xf numFmtId="0" fontId="0" fillId="4" borderId="0" xfId="0" applyFill="1" applyAlignment="1">
      <alignment horizontal="left" vertical="center"/>
    </xf>
    <xf numFmtId="0" fontId="0" fillId="4" borderId="12" xfId="0" applyFill="1" applyBorder="1" applyAlignment="1">
      <alignment horizontal="left" vertical="center"/>
    </xf>
    <xf numFmtId="0" fontId="0" fillId="4" borderId="11" xfId="0" applyFill="1" applyBorder="1" applyAlignment="1">
      <alignment horizontal="left" vertical="center"/>
    </xf>
    <xf numFmtId="0" fontId="0" fillId="10" borderId="111" xfId="0" applyFill="1" applyBorder="1" applyAlignment="1">
      <alignment horizontal="center" vertical="center"/>
    </xf>
    <xf numFmtId="0" fontId="22" fillId="4" borderId="5" xfId="0" applyFont="1" applyFill="1" applyBorder="1" applyAlignment="1">
      <alignment horizontal="left" vertical="center"/>
    </xf>
    <xf numFmtId="0" fontId="3" fillId="4" borderId="18" xfId="0" applyFont="1" applyFill="1" applyBorder="1" applyAlignment="1">
      <alignment horizontal="left" vertical="center" wrapText="1"/>
    </xf>
    <xf numFmtId="0" fontId="3" fillId="4" borderId="0" xfId="0" applyFont="1" applyFill="1" applyAlignment="1">
      <alignment horizontal="left" vertical="center" wrapText="1"/>
    </xf>
    <xf numFmtId="0" fontId="3" fillId="4" borderId="16" xfId="0" applyFont="1" applyFill="1" applyBorder="1" applyAlignment="1">
      <alignment horizontal="left" vertical="center" wrapText="1"/>
    </xf>
    <xf numFmtId="0" fontId="2" fillId="4" borderId="15" xfId="0" applyFont="1" applyFill="1" applyBorder="1" applyAlignment="1">
      <alignment horizontal="left" vertical="center"/>
    </xf>
    <xf numFmtId="0" fontId="3" fillId="4" borderId="15" xfId="0" applyFont="1" applyFill="1" applyBorder="1" applyAlignment="1">
      <alignment horizontal="center" vertical="center"/>
    </xf>
    <xf numFmtId="0" fontId="3" fillId="4" borderId="14" xfId="0" applyFont="1" applyFill="1" applyBorder="1" applyAlignment="1">
      <alignment horizontal="center" vertical="center"/>
    </xf>
    <xf numFmtId="0" fontId="3" fillId="4" borderId="13" xfId="0" applyFont="1" applyFill="1" applyBorder="1" applyAlignment="1">
      <alignment horizontal="center" vertical="center"/>
    </xf>
    <xf numFmtId="0" fontId="3" fillId="4" borderId="12" xfId="0" applyFont="1" applyFill="1" applyBorder="1" applyAlignment="1">
      <alignment horizontal="center" vertical="center"/>
    </xf>
    <xf numFmtId="0" fontId="3" fillId="4" borderId="11" xfId="0" applyFont="1" applyFill="1" applyBorder="1" applyAlignment="1">
      <alignment horizontal="center" vertical="center"/>
    </xf>
    <xf numFmtId="0" fontId="3" fillId="4" borderId="10" xfId="0" applyFont="1" applyFill="1" applyBorder="1" applyAlignment="1">
      <alignment horizontal="center" vertical="center"/>
    </xf>
    <xf numFmtId="0" fontId="3" fillId="4" borderId="18" xfId="0" applyFont="1" applyFill="1" applyBorder="1" applyAlignment="1">
      <alignment horizontal="center" vertical="center"/>
    </xf>
    <xf numFmtId="0" fontId="3" fillId="4" borderId="0" xfId="0" applyFont="1" applyFill="1" applyAlignment="1">
      <alignment horizontal="center" vertical="center"/>
    </xf>
    <xf numFmtId="0" fontId="3" fillId="4" borderId="16" xfId="0" applyFont="1" applyFill="1" applyBorder="1" applyAlignment="1">
      <alignment horizontal="center" vertical="center"/>
    </xf>
    <xf numFmtId="0" fontId="0" fillId="4" borderId="4" xfId="0" applyFill="1" applyBorder="1" applyAlignment="1">
      <alignment horizontal="left" vertical="center"/>
    </xf>
    <xf numFmtId="0" fontId="0" fillId="4" borderId="17" xfId="0" applyFill="1" applyBorder="1" applyAlignment="1">
      <alignment horizontal="left" vertical="center"/>
    </xf>
    <xf numFmtId="0" fontId="3" fillId="4" borderId="4" xfId="0" applyFont="1" applyFill="1" applyBorder="1" applyAlignment="1">
      <alignment horizontal="center" vertical="center"/>
    </xf>
    <xf numFmtId="0" fontId="2" fillId="4" borderId="4" xfId="0" applyFont="1" applyFill="1" applyBorder="1" applyAlignment="1">
      <alignment horizontal="center" vertical="center"/>
    </xf>
    <xf numFmtId="0" fontId="2" fillId="4" borderId="6" xfId="0" applyFont="1" applyFill="1" applyBorder="1" applyAlignment="1">
      <alignment horizontal="center" vertical="center"/>
    </xf>
    <xf numFmtId="0" fontId="3" fillId="14" borderId="5" xfId="0" applyFont="1" applyFill="1" applyBorder="1" applyAlignment="1">
      <alignment horizontal="left" vertical="center" wrapText="1"/>
    </xf>
    <xf numFmtId="0" fontId="3" fillId="14" borderId="5" xfId="0" applyFont="1" applyFill="1" applyBorder="1" applyAlignment="1">
      <alignment horizontal="left" vertical="center"/>
    </xf>
    <xf numFmtId="0" fontId="4" fillId="14" borderId="5" xfId="0" applyFont="1" applyFill="1" applyBorder="1" applyAlignment="1">
      <alignment horizontal="center" vertical="center"/>
    </xf>
    <xf numFmtId="0" fontId="0" fillId="14" borderId="5" xfId="0" applyFill="1" applyBorder="1" applyAlignment="1">
      <alignment horizontal="center" vertical="center"/>
    </xf>
    <xf numFmtId="0" fontId="3" fillId="14" borderId="5" xfId="0" applyFont="1" applyFill="1" applyBorder="1" applyAlignment="1">
      <alignment horizontal="center" vertical="center"/>
    </xf>
    <xf numFmtId="0" fontId="0" fillId="14" borderId="5" xfId="0" applyFill="1" applyBorder="1" applyAlignment="1">
      <alignment horizontal="left" vertical="center"/>
    </xf>
    <xf numFmtId="0" fontId="26" fillId="14" borderId="5" xfId="0" applyFont="1" applyFill="1" applyBorder="1" applyAlignment="1">
      <alignment horizontal="left" vertical="center"/>
    </xf>
    <xf numFmtId="0" fontId="4" fillId="4" borderId="5" xfId="0" applyFont="1" applyFill="1" applyBorder="1" applyAlignment="1">
      <alignment horizontal="left" vertical="center"/>
    </xf>
    <xf numFmtId="0" fontId="4" fillId="4" borderId="5" xfId="0" applyFont="1" applyFill="1" applyBorder="1" applyAlignment="1">
      <alignment horizontal="center" vertical="center"/>
    </xf>
    <xf numFmtId="0" fontId="0" fillId="4" borderId="13" xfId="0" applyFill="1" applyBorder="1" applyAlignment="1">
      <alignment horizontal="left" vertical="center"/>
    </xf>
    <xf numFmtId="0" fontId="0" fillId="4" borderId="10" xfId="0" applyFill="1" applyBorder="1" applyAlignment="1">
      <alignment horizontal="left" vertical="center"/>
    </xf>
    <xf numFmtId="0" fontId="2" fillId="14" borderId="15" xfId="0" applyFont="1" applyFill="1" applyBorder="1" applyAlignment="1">
      <alignment horizontal="left" vertical="center"/>
    </xf>
    <xf numFmtId="0" fontId="0" fillId="14" borderId="14" xfId="0" applyFill="1" applyBorder="1" applyAlignment="1">
      <alignment horizontal="left" vertical="center"/>
    </xf>
    <xf numFmtId="0" fontId="0" fillId="14" borderId="12" xfId="0" applyFill="1" applyBorder="1" applyAlignment="1">
      <alignment horizontal="left" vertical="center"/>
    </xf>
    <xf numFmtId="0" fontId="0" fillId="14" borderId="11" xfId="0" applyFill="1" applyBorder="1" applyAlignment="1">
      <alignment horizontal="left" vertical="center"/>
    </xf>
    <xf numFmtId="0" fontId="3" fillId="14" borderId="15" xfId="0" applyFont="1" applyFill="1" applyBorder="1" applyAlignment="1">
      <alignment horizontal="center" vertical="center"/>
    </xf>
    <xf numFmtId="0" fontId="3" fillId="14" borderId="14" xfId="0" applyFont="1" applyFill="1" applyBorder="1" applyAlignment="1">
      <alignment horizontal="center" vertical="center"/>
    </xf>
    <xf numFmtId="0" fontId="3" fillId="14" borderId="13" xfId="0" applyFont="1" applyFill="1" applyBorder="1" applyAlignment="1">
      <alignment horizontal="center" vertical="center"/>
    </xf>
    <xf numFmtId="0" fontId="3" fillId="14" borderId="12" xfId="0" applyFont="1" applyFill="1" applyBorder="1" applyAlignment="1">
      <alignment horizontal="center" vertical="center"/>
    </xf>
    <xf numFmtId="0" fontId="3" fillId="14" borderId="11" xfId="0" applyFont="1" applyFill="1" applyBorder="1" applyAlignment="1">
      <alignment horizontal="center" vertical="center"/>
    </xf>
    <xf numFmtId="0" fontId="3" fillId="14" borderId="10" xfId="0" applyFont="1" applyFill="1" applyBorder="1" applyAlignment="1">
      <alignment horizontal="center" vertical="center"/>
    </xf>
    <xf numFmtId="0" fontId="0" fillId="14" borderId="15" xfId="0" applyFill="1" applyBorder="1" applyAlignment="1">
      <alignment horizontal="center" vertical="center"/>
    </xf>
    <xf numFmtId="0" fontId="0" fillId="14" borderId="13" xfId="0" applyFill="1" applyBorder="1" applyAlignment="1">
      <alignment horizontal="center" vertical="center"/>
    </xf>
    <xf numFmtId="0" fontId="0" fillId="14" borderId="15" xfId="0" applyFill="1" applyBorder="1" applyAlignment="1">
      <alignment horizontal="left" vertical="center" wrapText="1"/>
    </xf>
    <xf numFmtId="0" fontId="0" fillId="14" borderId="13" xfId="0" applyFill="1" applyBorder="1" applyAlignment="1">
      <alignment horizontal="left" vertical="center"/>
    </xf>
    <xf numFmtId="0" fontId="0" fillId="5" borderId="15" xfId="0" applyFill="1" applyBorder="1" applyAlignment="1">
      <alignment horizontal="center" vertical="center"/>
    </xf>
    <xf numFmtId="0" fontId="0" fillId="5" borderId="13" xfId="0" applyFill="1" applyBorder="1" applyAlignment="1">
      <alignment horizontal="center" vertical="center"/>
    </xf>
    <xf numFmtId="0" fontId="3" fillId="5" borderId="15" xfId="0" applyFont="1" applyFill="1" applyBorder="1" applyAlignment="1">
      <alignment horizontal="center" vertical="center"/>
    </xf>
    <xf numFmtId="0" fontId="3" fillId="5" borderId="14" xfId="0" applyFont="1" applyFill="1" applyBorder="1" applyAlignment="1">
      <alignment horizontal="center" vertical="center"/>
    </xf>
    <xf numFmtId="0" fontId="3" fillId="5" borderId="13" xfId="0" applyFont="1" applyFill="1" applyBorder="1" applyAlignment="1">
      <alignment horizontal="center" vertical="center"/>
    </xf>
    <xf numFmtId="0" fontId="2" fillId="14" borderId="5" xfId="0" applyFont="1" applyFill="1" applyBorder="1" applyAlignment="1">
      <alignment horizontal="left" vertical="center" wrapText="1"/>
    </xf>
    <xf numFmtId="0" fontId="0" fillId="14" borderId="5" xfId="0" applyFill="1" applyBorder="1" applyAlignment="1">
      <alignment horizontal="left" vertical="center" wrapText="1"/>
    </xf>
    <xf numFmtId="0" fontId="4" fillId="14" borderId="5" xfId="0" applyFont="1" applyFill="1" applyBorder="1" applyAlignment="1">
      <alignment horizontal="left" vertical="center" wrapText="1"/>
    </xf>
    <xf numFmtId="0" fontId="0" fillId="14" borderId="15" xfId="0" applyFill="1" applyBorder="1" applyAlignment="1">
      <alignment horizontal="left" vertical="center"/>
    </xf>
    <xf numFmtId="0" fontId="0" fillId="14" borderId="18" xfId="0" applyFill="1" applyBorder="1" applyAlignment="1">
      <alignment horizontal="left" vertical="center"/>
    </xf>
    <xf numFmtId="0" fontId="0" fillId="14" borderId="0" xfId="0" applyFill="1" applyAlignment="1">
      <alignment horizontal="left" vertical="center"/>
    </xf>
    <xf numFmtId="0" fontId="3" fillId="14" borderId="18" xfId="0" applyFont="1" applyFill="1" applyBorder="1" applyAlignment="1">
      <alignment horizontal="center" vertical="center"/>
    </xf>
    <xf numFmtId="0" fontId="3" fillId="14" borderId="0" xfId="0" applyFont="1" applyFill="1" applyAlignment="1">
      <alignment horizontal="center" vertical="center"/>
    </xf>
    <xf numFmtId="0" fontId="3" fillId="14" borderId="16" xfId="0" applyFont="1" applyFill="1" applyBorder="1" applyAlignment="1">
      <alignment horizontal="center" vertical="center"/>
    </xf>
    <xf numFmtId="0" fontId="0" fillId="14" borderId="18" xfId="0" applyFill="1" applyBorder="1" applyAlignment="1">
      <alignment horizontal="center" vertical="center"/>
    </xf>
    <xf numFmtId="0" fontId="0" fillId="14" borderId="16" xfId="0" applyFill="1" applyBorder="1" applyAlignment="1">
      <alignment horizontal="center" vertical="center"/>
    </xf>
    <xf numFmtId="0" fontId="3" fillId="14" borderId="15" xfId="0" applyFont="1" applyFill="1" applyBorder="1" applyAlignment="1">
      <alignment horizontal="center" vertical="center" wrapText="1"/>
    </xf>
    <xf numFmtId="0" fontId="4" fillId="14" borderId="15" xfId="0" applyFont="1" applyFill="1" applyBorder="1" applyAlignment="1">
      <alignment horizontal="left" vertical="center" wrapText="1"/>
    </xf>
    <xf numFmtId="0" fontId="4" fillId="14" borderId="14" xfId="0" applyFont="1" applyFill="1" applyBorder="1" applyAlignment="1">
      <alignment horizontal="left" vertical="center" wrapText="1"/>
    </xf>
    <xf numFmtId="0" fontId="4" fillId="14" borderId="13" xfId="0" applyFont="1" applyFill="1" applyBorder="1" applyAlignment="1">
      <alignment horizontal="left" vertical="center" wrapText="1"/>
    </xf>
    <xf numFmtId="0" fontId="4" fillId="14" borderId="18" xfId="0" applyFont="1" applyFill="1" applyBorder="1" applyAlignment="1">
      <alignment horizontal="left" vertical="center" wrapText="1"/>
    </xf>
    <xf numFmtId="0" fontId="4" fillId="14" borderId="0" xfId="0" applyFont="1" applyFill="1" applyAlignment="1">
      <alignment horizontal="left" vertical="center" wrapText="1"/>
    </xf>
    <xf numFmtId="0" fontId="4" fillId="14" borderId="16" xfId="0" applyFont="1" applyFill="1" applyBorder="1" applyAlignment="1">
      <alignment horizontal="left" vertical="center" wrapText="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svg"/><Relationship Id="rId1" Type="http://schemas.openxmlformats.org/officeDocument/2006/relationships/image" Target="../media/image1.png"/><Relationship Id="rId4" Type="http://schemas.openxmlformats.org/officeDocument/2006/relationships/image" Target="../media/image4.svg"/></Relationships>
</file>

<file path=xl/drawings/_rels/drawing7.xml.rels><?xml version="1.0" encoding="UTF-8" standalone="yes"?>
<Relationships xmlns="http://schemas.openxmlformats.org/package/2006/relationships"><Relationship Id="rId3" Type="http://schemas.openxmlformats.org/officeDocument/2006/relationships/image" Target="../media/image7.jpg"/><Relationship Id="rId2" Type="http://schemas.openxmlformats.org/officeDocument/2006/relationships/image" Target="../media/image6.jpg"/><Relationship Id="rId1" Type="http://schemas.openxmlformats.org/officeDocument/2006/relationships/image" Target="../media/image5.jpg"/><Relationship Id="rId6" Type="http://schemas.openxmlformats.org/officeDocument/2006/relationships/image" Target="../media/image10.png"/><Relationship Id="rId5" Type="http://schemas.openxmlformats.org/officeDocument/2006/relationships/image" Target="../media/image9.jpg"/><Relationship Id="rId4" Type="http://schemas.openxmlformats.org/officeDocument/2006/relationships/image" Target="../media/image8.jpg"/></Relationships>
</file>

<file path=xl/drawings/drawing1.xml><?xml version="1.0" encoding="utf-8"?>
<xdr:wsDr xmlns:xdr="http://schemas.openxmlformats.org/drawingml/2006/spreadsheetDrawing" xmlns:a="http://schemas.openxmlformats.org/drawingml/2006/main">
  <xdr:twoCellAnchor>
    <xdr:from>
      <xdr:col>5</xdr:col>
      <xdr:colOff>103670</xdr:colOff>
      <xdr:row>15</xdr:row>
      <xdr:rowOff>176213</xdr:rowOff>
    </xdr:from>
    <xdr:to>
      <xdr:col>25</xdr:col>
      <xdr:colOff>266700</xdr:colOff>
      <xdr:row>44</xdr:row>
      <xdr:rowOff>66261</xdr:rowOff>
    </xdr:to>
    <xdr:sp macro="" textlink="">
      <xdr:nvSpPr>
        <xdr:cNvPr id="101" name="正方形/長方形 100">
          <a:extLst>
            <a:ext uri="{FF2B5EF4-FFF2-40B4-BE49-F238E27FC236}">
              <a16:creationId xmlns:a16="http://schemas.microsoft.com/office/drawing/2014/main" id="{D08630EB-A04F-4FB8-A8E3-7D1FC73C1C89}"/>
            </a:ext>
          </a:extLst>
        </xdr:cNvPr>
        <xdr:cNvSpPr/>
      </xdr:nvSpPr>
      <xdr:spPr>
        <a:xfrm>
          <a:off x="1484795" y="4224338"/>
          <a:ext cx="5687530" cy="6795673"/>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400">
              <a:solidFill>
                <a:schemeClr val="tx1"/>
              </a:solidFill>
            </a:rPr>
            <a:t>e7awg_hw</a:t>
          </a:r>
          <a:endParaRPr kumimoji="1" lang="ja-JP" altLang="en-US" sz="1400">
            <a:solidFill>
              <a:schemeClr val="tx1"/>
            </a:solidFill>
          </a:endParaRPr>
        </a:p>
      </xdr:txBody>
    </xdr:sp>
    <xdr:clientData/>
  </xdr:twoCellAnchor>
  <xdr:twoCellAnchor>
    <xdr:from>
      <xdr:col>13</xdr:col>
      <xdr:colOff>272459</xdr:colOff>
      <xdr:row>22</xdr:row>
      <xdr:rowOff>160542</xdr:rowOff>
    </xdr:from>
    <xdr:to>
      <xdr:col>14</xdr:col>
      <xdr:colOff>263194</xdr:colOff>
      <xdr:row>24</xdr:row>
      <xdr:rowOff>223933</xdr:rowOff>
    </xdr:to>
    <xdr:sp macro="" textlink="">
      <xdr:nvSpPr>
        <xdr:cNvPr id="102" name="正方形/長方形 101">
          <a:extLst>
            <a:ext uri="{FF2B5EF4-FFF2-40B4-BE49-F238E27FC236}">
              <a16:creationId xmlns:a16="http://schemas.microsoft.com/office/drawing/2014/main" id="{32D950EB-1FAD-49C7-B111-35A7D9AD6C7B}"/>
            </a:ext>
          </a:extLst>
        </xdr:cNvPr>
        <xdr:cNvSpPr/>
      </xdr:nvSpPr>
      <xdr:spPr>
        <a:xfrm rot="5400000">
          <a:off x="3855631" y="7912120"/>
          <a:ext cx="539641" cy="27648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chemeClr val="tx1"/>
              </a:solidFill>
            </a:rPr>
            <a:t>・・・</a:t>
          </a:r>
        </a:p>
      </xdr:txBody>
    </xdr:sp>
    <xdr:clientData/>
  </xdr:twoCellAnchor>
  <xdr:twoCellAnchor>
    <xdr:from>
      <xdr:col>5</xdr:col>
      <xdr:colOff>104539</xdr:colOff>
      <xdr:row>21</xdr:row>
      <xdr:rowOff>48691</xdr:rowOff>
    </xdr:from>
    <xdr:to>
      <xdr:col>10</xdr:col>
      <xdr:colOff>230986</xdr:colOff>
      <xdr:row>25</xdr:row>
      <xdr:rowOff>203238</xdr:rowOff>
    </xdr:to>
    <xdr:sp macro="" textlink="">
      <xdr:nvSpPr>
        <xdr:cNvPr id="104" name="正方形/長方形 103">
          <a:extLst>
            <a:ext uri="{FF2B5EF4-FFF2-40B4-BE49-F238E27FC236}">
              <a16:creationId xmlns:a16="http://schemas.microsoft.com/office/drawing/2014/main" id="{C1A028C0-688C-4016-83AE-D53E5066BD15}"/>
            </a:ext>
          </a:extLst>
        </xdr:cNvPr>
        <xdr:cNvSpPr/>
      </xdr:nvSpPr>
      <xdr:spPr>
        <a:xfrm>
          <a:off x="1533289" y="7430566"/>
          <a:ext cx="1555197" cy="1107047"/>
        </a:xfrm>
        <a:prstGeom prst="rect">
          <a:avLst/>
        </a:prstGeom>
        <a:solidFill>
          <a:schemeClr val="accent1">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awg ctrl</a:t>
          </a:r>
        </a:p>
        <a:p>
          <a:pPr algn="ctr"/>
          <a:endParaRPr kumimoji="1" lang="en-US" altLang="ja-JP" sz="1100">
            <a:solidFill>
              <a:schemeClr val="tx1"/>
            </a:solidFill>
          </a:endParaRPr>
        </a:p>
        <a:p>
          <a:pPr algn="ctr"/>
          <a:r>
            <a:rPr kumimoji="1" lang="en-US" altLang="ja-JP" sz="1100">
              <a:solidFill>
                <a:schemeClr val="tx1"/>
              </a:solidFill>
            </a:rPr>
            <a:t>(UDP</a:t>
          </a:r>
          <a:r>
            <a:rPr kumimoji="1" lang="ja-JP" altLang="en-US" sz="1100">
              <a:solidFill>
                <a:schemeClr val="tx1"/>
              </a:solidFill>
            </a:rPr>
            <a:t>ポート </a:t>
          </a:r>
          <a:r>
            <a:rPr kumimoji="1" lang="en-US" altLang="ja-JP" sz="1100">
              <a:solidFill>
                <a:schemeClr val="tx1"/>
              </a:solidFill>
            </a:rPr>
            <a:t>: 16385)</a:t>
          </a:r>
        </a:p>
      </xdr:txBody>
    </xdr:sp>
    <xdr:clientData/>
  </xdr:twoCellAnchor>
  <xdr:twoCellAnchor>
    <xdr:from>
      <xdr:col>16</xdr:col>
      <xdr:colOff>75050</xdr:colOff>
      <xdr:row>20</xdr:row>
      <xdr:rowOff>156143</xdr:rowOff>
    </xdr:from>
    <xdr:to>
      <xdr:col>20</xdr:col>
      <xdr:colOff>23800</xdr:colOff>
      <xdr:row>21</xdr:row>
      <xdr:rowOff>162713</xdr:rowOff>
    </xdr:to>
    <xdr:sp macro="" textlink="">
      <xdr:nvSpPr>
        <xdr:cNvPr id="109" name="正方形/長方形 108">
          <a:extLst>
            <a:ext uri="{FF2B5EF4-FFF2-40B4-BE49-F238E27FC236}">
              <a16:creationId xmlns:a16="http://schemas.microsoft.com/office/drawing/2014/main" id="{47C81BA7-4094-49EC-A666-09EB74DBEFAB}"/>
            </a:ext>
          </a:extLst>
        </xdr:cNvPr>
        <xdr:cNvSpPr/>
      </xdr:nvSpPr>
      <xdr:spPr>
        <a:xfrm>
          <a:off x="4647050" y="7299893"/>
          <a:ext cx="1091750" cy="24469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baseline="0">
              <a:solidFill>
                <a:schemeClr val="tx1"/>
              </a:solidFill>
            </a:rPr>
            <a:t>サンプルデータ</a:t>
          </a:r>
          <a:endParaRPr kumimoji="1" lang="en-US" altLang="ja-JP" sz="900">
            <a:solidFill>
              <a:schemeClr val="tx1"/>
            </a:solidFill>
          </a:endParaRPr>
        </a:p>
      </xdr:txBody>
    </xdr:sp>
    <xdr:clientData/>
  </xdr:twoCellAnchor>
  <xdr:twoCellAnchor>
    <xdr:from>
      <xdr:col>16</xdr:col>
      <xdr:colOff>6193</xdr:colOff>
      <xdr:row>22</xdr:row>
      <xdr:rowOff>103332</xdr:rowOff>
    </xdr:from>
    <xdr:to>
      <xdr:col>25</xdr:col>
      <xdr:colOff>241788</xdr:colOff>
      <xdr:row>22</xdr:row>
      <xdr:rowOff>103332</xdr:rowOff>
    </xdr:to>
    <xdr:cxnSp macro="">
      <xdr:nvCxnSpPr>
        <xdr:cNvPr id="110" name="直線矢印コネクタ 109">
          <a:extLst>
            <a:ext uri="{FF2B5EF4-FFF2-40B4-BE49-F238E27FC236}">
              <a16:creationId xmlns:a16="http://schemas.microsoft.com/office/drawing/2014/main" id="{8594D38E-534C-446E-AD0F-A4BD835E7F2D}"/>
            </a:ext>
          </a:extLst>
        </xdr:cNvPr>
        <xdr:cNvCxnSpPr/>
      </xdr:nvCxnSpPr>
      <xdr:spPr>
        <a:xfrm>
          <a:off x="4460962" y="5906255"/>
          <a:ext cx="2741403" cy="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716</xdr:colOff>
      <xdr:row>25</xdr:row>
      <xdr:rowOff>210464</xdr:rowOff>
    </xdr:from>
    <xdr:to>
      <xdr:col>25</xdr:col>
      <xdr:colOff>256442</xdr:colOff>
      <xdr:row>25</xdr:row>
      <xdr:rowOff>210464</xdr:rowOff>
    </xdr:to>
    <xdr:cxnSp macro="">
      <xdr:nvCxnSpPr>
        <xdr:cNvPr id="111" name="直線矢印コネクタ 110">
          <a:extLst>
            <a:ext uri="{FF2B5EF4-FFF2-40B4-BE49-F238E27FC236}">
              <a16:creationId xmlns:a16="http://schemas.microsoft.com/office/drawing/2014/main" id="{3B0EC3EB-F118-44E9-B034-DB83C1802BCA}"/>
            </a:ext>
          </a:extLst>
        </xdr:cNvPr>
        <xdr:cNvCxnSpPr/>
      </xdr:nvCxnSpPr>
      <xdr:spPr>
        <a:xfrm>
          <a:off x="4455485" y="6738752"/>
          <a:ext cx="2761534" cy="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281651</xdr:colOff>
      <xdr:row>21</xdr:row>
      <xdr:rowOff>101908</xdr:rowOff>
    </xdr:from>
    <xdr:to>
      <xdr:col>25</xdr:col>
      <xdr:colOff>61933</xdr:colOff>
      <xdr:row>22</xdr:row>
      <xdr:rowOff>103371</xdr:rowOff>
    </xdr:to>
    <xdr:sp macro="" textlink="">
      <xdr:nvSpPr>
        <xdr:cNvPr id="112" name="正方形/長方形 111">
          <a:extLst>
            <a:ext uri="{FF2B5EF4-FFF2-40B4-BE49-F238E27FC236}">
              <a16:creationId xmlns:a16="http://schemas.microsoft.com/office/drawing/2014/main" id="{79F1C59F-663B-4E59-A8B6-2B2A05F02444}"/>
            </a:ext>
          </a:extLst>
        </xdr:cNvPr>
        <xdr:cNvSpPr/>
      </xdr:nvSpPr>
      <xdr:spPr>
        <a:xfrm>
          <a:off x="5996651" y="7483783"/>
          <a:ext cx="1209032" cy="23958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chemeClr val="tx1"/>
              </a:solidFill>
            </a:rPr>
            <a:t>出力波形データ </a:t>
          </a:r>
          <a:r>
            <a:rPr kumimoji="1" lang="en-US" altLang="ja-JP" sz="900">
              <a:solidFill>
                <a:schemeClr val="tx1"/>
              </a:solidFill>
            </a:rPr>
            <a:t>0</a:t>
          </a:r>
        </a:p>
      </xdr:txBody>
    </xdr:sp>
    <xdr:clientData/>
  </xdr:twoCellAnchor>
  <xdr:twoCellAnchor>
    <xdr:from>
      <xdr:col>13</xdr:col>
      <xdr:colOff>26724</xdr:colOff>
      <xdr:row>21</xdr:row>
      <xdr:rowOff>18879</xdr:rowOff>
    </xdr:from>
    <xdr:to>
      <xdr:col>15</xdr:col>
      <xdr:colOff>282581</xdr:colOff>
      <xdr:row>22</xdr:row>
      <xdr:rowOff>219662</xdr:rowOff>
    </xdr:to>
    <xdr:sp macro="" textlink="">
      <xdr:nvSpPr>
        <xdr:cNvPr id="113" name="正方形/長方形 112">
          <a:extLst>
            <a:ext uri="{FF2B5EF4-FFF2-40B4-BE49-F238E27FC236}">
              <a16:creationId xmlns:a16="http://schemas.microsoft.com/office/drawing/2014/main" id="{3CC4B1B2-F5BF-46F4-9E31-27365C2DB1EA}"/>
            </a:ext>
          </a:extLst>
        </xdr:cNvPr>
        <xdr:cNvSpPr/>
      </xdr:nvSpPr>
      <xdr:spPr>
        <a:xfrm>
          <a:off x="3741474" y="7400754"/>
          <a:ext cx="827357" cy="438908"/>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AWG</a:t>
          </a:r>
          <a:r>
            <a:rPr kumimoji="1" lang="en-US" altLang="ja-JP" sz="1100" baseline="0">
              <a:solidFill>
                <a:schemeClr val="tx1"/>
              </a:solidFill>
            </a:rPr>
            <a:t> 0</a:t>
          </a:r>
          <a:endParaRPr kumimoji="1" lang="en-US" altLang="ja-JP" sz="1100">
            <a:solidFill>
              <a:schemeClr val="tx1"/>
            </a:solidFill>
          </a:endParaRPr>
        </a:p>
      </xdr:txBody>
    </xdr:sp>
    <xdr:clientData/>
  </xdr:twoCellAnchor>
  <xdr:twoCellAnchor>
    <xdr:from>
      <xdr:col>13</xdr:col>
      <xdr:colOff>26723</xdr:colOff>
      <xdr:row>24</xdr:row>
      <xdr:rowOff>111868</xdr:rowOff>
    </xdr:from>
    <xdr:to>
      <xdr:col>15</xdr:col>
      <xdr:colOff>273056</xdr:colOff>
      <xdr:row>26</xdr:row>
      <xdr:rowOff>97747</xdr:rowOff>
    </xdr:to>
    <xdr:sp macro="" textlink="">
      <xdr:nvSpPr>
        <xdr:cNvPr id="114" name="正方形/長方形 113">
          <a:extLst>
            <a:ext uri="{FF2B5EF4-FFF2-40B4-BE49-F238E27FC236}">
              <a16:creationId xmlns:a16="http://schemas.microsoft.com/office/drawing/2014/main" id="{C80301CA-0D07-4D27-9A3E-391A3C43046C}"/>
            </a:ext>
          </a:extLst>
        </xdr:cNvPr>
        <xdr:cNvSpPr/>
      </xdr:nvSpPr>
      <xdr:spPr>
        <a:xfrm>
          <a:off x="3741473" y="8208118"/>
          <a:ext cx="817833" cy="462129"/>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AWG</a:t>
          </a:r>
          <a:r>
            <a:rPr kumimoji="1" lang="en-US" altLang="ja-JP" sz="1100" baseline="0">
              <a:solidFill>
                <a:schemeClr val="tx1"/>
              </a:solidFill>
            </a:rPr>
            <a:t> 7</a:t>
          </a:r>
          <a:endParaRPr kumimoji="1" lang="en-US" altLang="ja-JP" sz="1100">
            <a:solidFill>
              <a:schemeClr val="tx1"/>
            </a:solidFill>
          </a:endParaRPr>
        </a:p>
      </xdr:txBody>
    </xdr:sp>
    <xdr:clientData/>
  </xdr:twoCellAnchor>
  <xdr:twoCellAnchor>
    <xdr:from>
      <xdr:col>10</xdr:col>
      <xdr:colOff>228029</xdr:colOff>
      <xdr:row>21</xdr:row>
      <xdr:rowOff>97569</xdr:rowOff>
    </xdr:from>
    <xdr:to>
      <xdr:col>13</xdr:col>
      <xdr:colOff>15969</xdr:colOff>
      <xdr:row>21</xdr:row>
      <xdr:rowOff>97569</xdr:rowOff>
    </xdr:to>
    <xdr:cxnSp macro="">
      <xdr:nvCxnSpPr>
        <xdr:cNvPr id="115" name="直線矢印コネクタ 114">
          <a:extLst>
            <a:ext uri="{FF2B5EF4-FFF2-40B4-BE49-F238E27FC236}">
              <a16:creationId xmlns:a16="http://schemas.microsoft.com/office/drawing/2014/main" id="{7FD5A925-B9E9-46CD-A3E2-0C0ECF6AA6B9}"/>
            </a:ext>
          </a:extLst>
        </xdr:cNvPr>
        <xdr:cNvCxnSpPr/>
      </xdr:nvCxnSpPr>
      <xdr:spPr>
        <a:xfrm>
          <a:off x="3085529" y="7479444"/>
          <a:ext cx="645190"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232667</xdr:colOff>
      <xdr:row>24</xdr:row>
      <xdr:rowOff>221590</xdr:rowOff>
    </xdr:from>
    <xdr:to>
      <xdr:col>13</xdr:col>
      <xdr:colOff>27175</xdr:colOff>
      <xdr:row>24</xdr:row>
      <xdr:rowOff>221590</xdr:rowOff>
    </xdr:to>
    <xdr:cxnSp macro="">
      <xdr:nvCxnSpPr>
        <xdr:cNvPr id="116" name="直線矢印コネクタ 115">
          <a:extLst>
            <a:ext uri="{FF2B5EF4-FFF2-40B4-BE49-F238E27FC236}">
              <a16:creationId xmlns:a16="http://schemas.microsoft.com/office/drawing/2014/main" id="{7D1FECB3-0E20-4B10-B5D1-A61E28C293F6}"/>
            </a:ext>
          </a:extLst>
        </xdr:cNvPr>
        <xdr:cNvCxnSpPr/>
      </xdr:nvCxnSpPr>
      <xdr:spPr>
        <a:xfrm>
          <a:off x="3090167" y="8317840"/>
          <a:ext cx="651758"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104539</xdr:colOff>
      <xdr:row>17</xdr:row>
      <xdr:rowOff>91537</xdr:rowOff>
    </xdr:from>
    <xdr:to>
      <xdr:col>10</xdr:col>
      <xdr:colOff>250263</xdr:colOff>
      <xdr:row>20</xdr:row>
      <xdr:rowOff>85168</xdr:rowOff>
    </xdr:to>
    <xdr:sp macro="" textlink="">
      <xdr:nvSpPr>
        <xdr:cNvPr id="117" name="正方形/長方形 116">
          <a:extLst>
            <a:ext uri="{FF2B5EF4-FFF2-40B4-BE49-F238E27FC236}">
              <a16:creationId xmlns:a16="http://schemas.microsoft.com/office/drawing/2014/main" id="{E08A7DD2-F799-4801-A446-30CCA4991DF9}"/>
            </a:ext>
          </a:extLst>
        </xdr:cNvPr>
        <xdr:cNvSpPr/>
      </xdr:nvSpPr>
      <xdr:spPr>
        <a:xfrm>
          <a:off x="1533289" y="6520912"/>
          <a:ext cx="1574474" cy="708006"/>
        </a:xfrm>
        <a:prstGeom prst="rect">
          <a:avLst/>
        </a:prstGeom>
        <a:solidFill>
          <a:schemeClr val="accent1">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upl axi rw</a:t>
          </a:r>
        </a:p>
        <a:p>
          <a:pPr algn="ctr"/>
          <a:endParaRPr kumimoji="1" lang="en-US" altLang="ja-JP" sz="1100">
            <a:solidFill>
              <a:schemeClr val="tx1"/>
            </a:solidFill>
          </a:endParaRPr>
        </a:p>
        <a:p>
          <a:pPr algn="ctr"/>
          <a:r>
            <a:rPr kumimoji="1" lang="en-US" altLang="ja-JP" sz="1100">
              <a:solidFill>
                <a:schemeClr val="tx1"/>
              </a:solidFill>
            </a:rPr>
            <a:t>(UDP</a:t>
          </a:r>
          <a:r>
            <a:rPr kumimoji="1" lang="ja-JP" altLang="en-US" sz="1100">
              <a:solidFill>
                <a:schemeClr val="tx1"/>
              </a:solidFill>
            </a:rPr>
            <a:t>ポート </a:t>
          </a:r>
          <a:r>
            <a:rPr kumimoji="1" lang="en-US" altLang="ja-JP" sz="1100">
              <a:solidFill>
                <a:schemeClr val="tx1"/>
              </a:solidFill>
            </a:rPr>
            <a:t>: 16384)</a:t>
          </a:r>
        </a:p>
      </xdr:txBody>
    </xdr:sp>
    <xdr:clientData/>
  </xdr:twoCellAnchor>
  <xdr:twoCellAnchor>
    <xdr:from>
      <xdr:col>10</xdr:col>
      <xdr:colOff>239828</xdr:colOff>
      <xdr:row>18</xdr:row>
      <xdr:rowOff>232166</xdr:rowOff>
    </xdr:from>
    <xdr:to>
      <xdr:col>20</xdr:col>
      <xdr:colOff>21980</xdr:colOff>
      <xdr:row>18</xdr:row>
      <xdr:rowOff>232166</xdr:rowOff>
    </xdr:to>
    <xdr:cxnSp macro="">
      <xdr:nvCxnSpPr>
        <xdr:cNvPr id="118" name="直線矢印コネクタ 117">
          <a:extLst>
            <a:ext uri="{FF2B5EF4-FFF2-40B4-BE49-F238E27FC236}">
              <a16:creationId xmlns:a16="http://schemas.microsoft.com/office/drawing/2014/main" id="{3DB15761-A8D8-4080-9EA6-9AF1DAC3FD5A}"/>
            </a:ext>
          </a:extLst>
        </xdr:cNvPr>
        <xdr:cNvCxnSpPr/>
      </xdr:nvCxnSpPr>
      <xdr:spPr>
        <a:xfrm>
          <a:off x="3024059" y="5067935"/>
          <a:ext cx="2566383"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148457</xdr:colOff>
      <xdr:row>31</xdr:row>
      <xdr:rowOff>215619</xdr:rowOff>
    </xdr:from>
    <xdr:to>
      <xdr:col>5</xdr:col>
      <xdr:colOff>89612</xdr:colOff>
      <xdr:row>31</xdr:row>
      <xdr:rowOff>215619</xdr:rowOff>
    </xdr:to>
    <xdr:cxnSp macro="">
      <xdr:nvCxnSpPr>
        <xdr:cNvPr id="119" name="直線矢印コネクタ 118">
          <a:extLst>
            <a:ext uri="{FF2B5EF4-FFF2-40B4-BE49-F238E27FC236}">
              <a16:creationId xmlns:a16="http://schemas.microsoft.com/office/drawing/2014/main" id="{03B707DB-1E0F-4315-A867-33AA0629120B}"/>
            </a:ext>
          </a:extLst>
        </xdr:cNvPr>
        <xdr:cNvCxnSpPr/>
      </xdr:nvCxnSpPr>
      <xdr:spPr>
        <a:xfrm>
          <a:off x="1005707" y="9978744"/>
          <a:ext cx="512655"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154318</xdr:colOff>
      <xdr:row>18</xdr:row>
      <xdr:rowOff>214154</xdr:rowOff>
    </xdr:from>
    <xdr:to>
      <xdr:col>5</xdr:col>
      <xdr:colOff>102991</xdr:colOff>
      <xdr:row>18</xdr:row>
      <xdr:rowOff>214154</xdr:rowOff>
    </xdr:to>
    <xdr:cxnSp macro="">
      <xdr:nvCxnSpPr>
        <xdr:cNvPr id="120" name="直線矢印コネクタ 119">
          <a:extLst>
            <a:ext uri="{FF2B5EF4-FFF2-40B4-BE49-F238E27FC236}">
              <a16:creationId xmlns:a16="http://schemas.microsoft.com/office/drawing/2014/main" id="{7336E658-DDA9-4BD0-A35E-EF2547778CEE}"/>
            </a:ext>
          </a:extLst>
        </xdr:cNvPr>
        <xdr:cNvCxnSpPr/>
      </xdr:nvCxnSpPr>
      <xdr:spPr>
        <a:xfrm>
          <a:off x="1011568" y="6881654"/>
          <a:ext cx="520173"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164409</xdr:colOff>
      <xdr:row>23</xdr:row>
      <xdr:rowOff>101427</xdr:rowOff>
    </xdr:from>
    <xdr:to>
      <xdr:col>5</xdr:col>
      <xdr:colOff>98404</xdr:colOff>
      <xdr:row>23</xdr:row>
      <xdr:rowOff>101427</xdr:rowOff>
    </xdr:to>
    <xdr:cxnSp macro="">
      <xdr:nvCxnSpPr>
        <xdr:cNvPr id="121" name="直線矢印コネクタ 120">
          <a:extLst>
            <a:ext uri="{FF2B5EF4-FFF2-40B4-BE49-F238E27FC236}">
              <a16:creationId xmlns:a16="http://schemas.microsoft.com/office/drawing/2014/main" id="{D5F10923-927F-47A0-AC54-0334FB7DA27C}"/>
            </a:ext>
          </a:extLst>
        </xdr:cNvPr>
        <xdr:cNvCxnSpPr/>
      </xdr:nvCxnSpPr>
      <xdr:spPr>
        <a:xfrm>
          <a:off x="1021659" y="7959552"/>
          <a:ext cx="505495"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147638</xdr:colOff>
      <xdr:row>29</xdr:row>
      <xdr:rowOff>42358</xdr:rowOff>
    </xdr:from>
    <xdr:to>
      <xdr:col>3</xdr:col>
      <xdr:colOff>130658</xdr:colOff>
      <xdr:row>30</xdr:row>
      <xdr:rowOff>153986</xdr:rowOff>
    </xdr:to>
    <xdr:sp macro="" textlink="">
      <xdr:nvSpPr>
        <xdr:cNvPr id="122" name="矢印: 左右 121">
          <a:extLst>
            <a:ext uri="{FF2B5EF4-FFF2-40B4-BE49-F238E27FC236}">
              <a16:creationId xmlns:a16="http://schemas.microsoft.com/office/drawing/2014/main" id="{0C0846F3-C838-44B0-A828-B9A6FB81A640}"/>
            </a:ext>
          </a:extLst>
        </xdr:cNvPr>
        <xdr:cNvSpPr/>
      </xdr:nvSpPr>
      <xdr:spPr>
        <a:xfrm>
          <a:off x="147638" y="7424233"/>
          <a:ext cx="811695" cy="349753"/>
        </a:xfrm>
        <a:prstGeom prst="leftRightArrow">
          <a:avLst>
            <a:gd name="adj1" fmla="val 54651"/>
            <a:gd name="adj2" fmla="val 47764"/>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ja-JP"/>
            <a:t>10GbE</a:t>
          </a:r>
          <a:endParaRPr kumimoji="1" lang="ja-JP" altLang="en-US" sz="1100">
            <a:solidFill>
              <a:schemeClr val="bg1"/>
            </a:solidFill>
          </a:endParaRPr>
        </a:p>
      </xdr:txBody>
    </xdr:sp>
    <xdr:clientData/>
  </xdr:twoCellAnchor>
  <xdr:twoCellAnchor>
    <xdr:from>
      <xdr:col>3</xdr:col>
      <xdr:colOff>154206</xdr:colOff>
      <xdr:row>18</xdr:row>
      <xdr:rowOff>179318</xdr:rowOff>
    </xdr:from>
    <xdr:to>
      <xdr:col>3</xdr:col>
      <xdr:colOff>154206</xdr:colOff>
      <xdr:row>41</xdr:row>
      <xdr:rowOff>0</xdr:rowOff>
    </xdr:to>
    <xdr:cxnSp macro="">
      <xdr:nvCxnSpPr>
        <xdr:cNvPr id="123" name="直線コネクタ 122">
          <a:extLst>
            <a:ext uri="{FF2B5EF4-FFF2-40B4-BE49-F238E27FC236}">
              <a16:creationId xmlns:a16="http://schemas.microsoft.com/office/drawing/2014/main" id="{D772470C-5494-46E2-9A03-1710C77B67A2}"/>
            </a:ext>
          </a:extLst>
        </xdr:cNvPr>
        <xdr:cNvCxnSpPr/>
      </xdr:nvCxnSpPr>
      <xdr:spPr>
        <a:xfrm>
          <a:off x="982881" y="4941818"/>
          <a:ext cx="0" cy="5297557"/>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281414</xdr:colOff>
      <xdr:row>24</xdr:row>
      <xdr:rowOff>202313</xdr:rowOff>
    </xdr:from>
    <xdr:to>
      <xdr:col>25</xdr:col>
      <xdr:colOff>61696</xdr:colOff>
      <xdr:row>25</xdr:row>
      <xdr:rowOff>210578</xdr:rowOff>
    </xdr:to>
    <xdr:sp macro="" textlink="">
      <xdr:nvSpPr>
        <xdr:cNvPr id="124" name="正方形/長方形 123">
          <a:extLst>
            <a:ext uri="{FF2B5EF4-FFF2-40B4-BE49-F238E27FC236}">
              <a16:creationId xmlns:a16="http://schemas.microsoft.com/office/drawing/2014/main" id="{6CFF1324-3AFE-4EA0-9601-050C361BDD97}"/>
            </a:ext>
          </a:extLst>
        </xdr:cNvPr>
        <xdr:cNvSpPr/>
      </xdr:nvSpPr>
      <xdr:spPr>
        <a:xfrm>
          <a:off x="5996414" y="8298563"/>
          <a:ext cx="1209032" cy="24639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chemeClr val="tx1"/>
              </a:solidFill>
            </a:rPr>
            <a:t>出力波形データ </a:t>
          </a:r>
          <a:r>
            <a:rPr kumimoji="1" lang="en-US" altLang="ja-JP" sz="900">
              <a:solidFill>
                <a:schemeClr val="tx1"/>
              </a:solidFill>
            </a:rPr>
            <a:t>7</a:t>
          </a:r>
        </a:p>
      </xdr:txBody>
    </xdr:sp>
    <xdr:clientData/>
  </xdr:twoCellAnchor>
  <xdr:twoCellAnchor>
    <xdr:from>
      <xdr:col>25</xdr:col>
      <xdr:colOff>235551</xdr:colOff>
      <xdr:row>21</xdr:row>
      <xdr:rowOff>202716</xdr:rowOff>
    </xdr:from>
    <xdr:to>
      <xdr:col>28</xdr:col>
      <xdr:colOff>232038</xdr:colOff>
      <xdr:row>23</xdr:row>
      <xdr:rowOff>52190</xdr:rowOff>
    </xdr:to>
    <xdr:sp macro="" textlink="">
      <xdr:nvSpPr>
        <xdr:cNvPr id="125" name="正方形/長方形 124">
          <a:extLst>
            <a:ext uri="{FF2B5EF4-FFF2-40B4-BE49-F238E27FC236}">
              <a16:creationId xmlns:a16="http://schemas.microsoft.com/office/drawing/2014/main" id="{4492564A-C77D-4348-829F-54EBFB1FA1A8}"/>
            </a:ext>
          </a:extLst>
        </xdr:cNvPr>
        <xdr:cNvSpPr/>
      </xdr:nvSpPr>
      <xdr:spPr>
        <a:xfrm>
          <a:off x="7141176" y="5679591"/>
          <a:ext cx="825162" cy="325724"/>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a:solidFill>
                <a:schemeClr val="tx1"/>
              </a:solidFill>
            </a:rPr>
            <a:t>AXI4</a:t>
          </a:r>
          <a:r>
            <a:rPr kumimoji="1" lang="en-US" altLang="ja-JP" sz="900" baseline="0">
              <a:solidFill>
                <a:schemeClr val="tx1"/>
              </a:solidFill>
            </a:rPr>
            <a:t>-Stream</a:t>
          </a:r>
          <a:endParaRPr kumimoji="1" lang="en-US" altLang="ja-JP" sz="900">
            <a:solidFill>
              <a:schemeClr val="tx1"/>
            </a:solidFill>
          </a:endParaRPr>
        </a:p>
      </xdr:txBody>
    </xdr:sp>
    <xdr:clientData/>
  </xdr:twoCellAnchor>
  <xdr:twoCellAnchor>
    <xdr:from>
      <xdr:col>25</xdr:col>
      <xdr:colOff>226830</xdr:colOff>
      <xdr:row>25</xdr:row>
      <xdr:rowOff>49359</xdr:rowOff>
    </xdr:from>
    <xdr:to>
      <xdr:col>28</xdr:col>
      <xdr:colOff>232038</xdr:colOff>
      <xdr:row>26</xdr:row>
      <xdr:rowOff>111161</xdr:rowOff>
    </xdr:to>
    <xdr:sp macro="" textlink="">
      <xdr:nvSpPr>
        <xdr:cNvPr id="126" name="正方形/長方形 125">
          <a:extLst>
            <a:ext uri="{FF2B5EF4-FFF2-40B4-BE49-F238E27FC236}">
              <a16:creationId xmlns:a16="http://schemas.microsoft.com/office/drawing/2014/main" id="{25341472-79FB-47C8-85F4-793C21507D30}"/>
            </a:ext>
          </a:extLst>
        </xdr:cNvPr>
        <xdr:cNvSpPr/>
      </xdr:nvSpPr>
      <xdr:spPr>
        <a:xfrm>
          <a:off x="7132455" y="6478734"/>
          <a:ext cx="833883" cy="299927"/>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baseline="0">
              <a:solidFill>
                <a:schemeClr val="tx1"/>
              </a:solidFill>
            </a:rPr>
            <a:t>AXI4-Stream</a:t>
          </a:r>
          <a:endParaRPr kumimoji="1" lang="en-US" altLang="ja-JP" sz="900">
            <a:solidFill>
              <a:schemeClr val="tx1"/>
            </a:solidFill>
          </a:endParaRPr>
        </a:p>
      </xdr:txBody>
    </xdr:sp>
    <xdr:clientData/>
  </xdr:twoCellAnchor>
  <xdr:twoCellAnchor>
    <xdr:from>
      <xdr:col>21</xdr:col>
      <xdr:colOff>182555</xdr:colOff>
      <xdr:row>17</xdr:row>
      <xdr:rowOff>193643</xdr:rowOff>
    </xdr:from>
    <xdr:to>
      <xdr:col>25</xdr:col>
      <xdr:colOff>1292</xdr:colOff>
      <xdr:row>20</xdr:row>
      <xdr:rowOff>41796</xdr:rowOff>
    </xdr:to>
    <xdr:sp macro="" textlink="">
      <xdr:nvSpPr>
        <xdr:cNvPr id="127" name="正方形/長方形 126">
          <a:extLst>
            <a:ext uri="{FF2B5EF4-FFF2-40B4-BE49-F238E27FC236}">
              <a16:creationId xmlns:a16="http://schemas.microsoft.com/office/drawing/2014/main" id="{F92B5A6A-3FEE-4696-82FE-DA629C9986E9}"/>
            </a:ext>
          </a:extLst>
        </xdr:cNvPr>
        <xdr:cNvSpPr/>
      </xdr:nvSpPr>
      <xdr:spPr>
        <a:xfrm>
          <a:off x="6029440" y="4787624"/>
          <a:ext cx="932429" cy="573518"/>
        </a:xfrm>
        <a:prstGeom prst="rect">
          <a:avLst/>
        </a:prstGeom>
        <a:solidFill>
          <a:schemeClr val="accent1">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波形データ</a:t>
          </a:r>
          <a:endParaRPr kumimoji="1" lang="en-US" altLang="ja-JP" sz="1100">
            <a:solidFill>
              <a:schemeClr val="tx1"/>
            </a:solidFill>
          </a:endParaRPr>
        </a:p>
        <a:p>
          <a:pPr algn="ctr"/>
          <a:r>
            <a:rPr kumimoji="1" lang="en-US" altLang="ja-JP" sz="1100">
              <a:solidFill>
                <a:schemeClr val="tx1"/>
              </a:solidFill>
            </a:rPr>
            <a:t>RAM(s)</a:t>
          </a:r>
        </a:p>
      </xdr:txBody>
    </xdr:sp>
    <xdr:clientData/>
  </xdr:twoCellAnchor>
  <xdr:twoCellAnchor>
    <xdr:from>
      <xdr:col>20</xdr:col>
      <xdr:colOff>31633</xdr:colOff>
      <xdr:row>18</xdr:row>
      <xdr:rowOff>183217</xdr:rowOff>
    </xdr:from>
    <xdr:to>
      <xdr:col>20</xdr:col>
      <xdr:colOff>31633</xdr:colOff>
      <xdr:row>42</xdr:row>
      <xdr:rowOff>91108</xdr:rowOff>
    </xdr:to>
    <xdr:cxnSp macro="">
      <xdr:nvCxnSpPr>
        <xdr:cNvPr id="128" name="直線コネクタ 127">
          <a:extLst>
            <a:ext uri="{FF2B5EF4-FFF2-40B4-BE49-F238E27FC236}">
              <a16:creationId xmlns:a16="http://schemas.microsoft.com/office/drawing/2014/main" id="{5CCB2F07-D04D-4D04-BCE7-256EF225DC8D}"/>
            </a:ext>
          </a:extLst>
        </xdr:cNvPr>
        <xdr:cNvCxnSpPr/>
      </xdr:nvCxnSpPr>
      <xdr:spPr>
        <a:xfrm>
          <a:off x="5498155" y="4987130"/>
          <a:ext cx="0" cy="5672587"/>
        </a:xfrm>
        <a:prstGeom prst="line">
          <a:avLst/>
        </a:prstGeom>
        <a:ln w="15875">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5225</xdr:colOff>
      <xdr:row>21</xdr:row>
      <xdr:rowOff>125382</xdr:rowOff>
    </xdr:from>
    <xdr:to>
      <xdr:col>20</xdr:col>
      <xdr:colOff>29249</xdr:colOff>
      <xdr:row>21</xdr:row>
      <xdr:rowOff>125382</xdr:rowOff>
    </xdr:to>
    <xdr:cxnSp macro="">
      <xdr:nvCxnSpPr>
        <xdr:cNvPr id="129" name="直線矢印コネクタ 128">
          <a:extLst>
            <a:ext uri="{FF2B5EF4-FFF2-40B4-BE49-F238E27FC236}">
              <a16:creationId xmlns:a16="http://schemas.microsoft.com/office/drawing/2014/main" id="{498CFBAA-7F58-4EED-BF35-06F70A4693D5}"/>
            </a:ext>
          </a:extLst>
        </xdr:cNvPr>
        <xdr:cNvCxnSpPr/>
      </xdr:nvCxnSpPr>
      <xdr:spPr>
        <a:xfrm flipH="1">
          <a:off x="4577225" y="7507257"/>
          <a:ext cx="1167024" cy="0"/>
        </a:xfrm>
        <a:prstGeom prst="straightConnector1">
          <a:avLst/>
        </a:prstGeom>
        <a:ln>
          <a:solidFill>
            <a:schemeClr val="tx1"/>
          </a:solidFill>
          <a:headEnd type="non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274856</xdr:colOff>
      <xdr:row>25</xdr:row>
      <xdr:rowOff>19875</xdr:rowOff>
    </xdr:from>
    <xdr:to>
      <xdr:col>20</xdr:col>
      <xdr:colOff>37957</xdr:colOff>
      <xdr:row>25</xdr:row>
      <xdr:rowOff>19875</xdr:rowOff>
    </xdr:to>
    <xdr:cxnSp macro="">
      <xdr:nvCxnSpPr>
        <xdr:cNvPr id="130" name="直線矢印コネクタ 129">
          <a:extLst>
            <a:ext uri="{FF2B5EF4-FFF2-40B4-BE49-F238E27FC236}">
              <a16:creationId xmlns:a16="http://schemas.microsoft.com/office/drawing/2014/main" id="{B8EAD62A-13AF-45EF-8EA6-F5BDA08C0320}"/>
            </a:ext>
          </a:extLst>
        </xdr:cNvPr>
        <xdr:cNvCxnSpPr/>
      </xdr:nvCxnSpPr>
      <xdr:spPr>
        <a:xfrm flipH="1" flipV="1">
          <a:off x="4561106" y="8354250"/>
          <a:ext cx="1191851" cy="0"/>
        </a:xfrm>
        <a:prstGeom prst="straightConnector1">
          <a:avLst/>
        </a:prstGeom>
        <a:ln>
          <a:solidFill>
            <a:schemeClr val="tx1"/>
          </a:solidFill>
          <a:headEnd type="non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26222</xdr:colOff>
      <xdr:row>18</xdr:row>
      <xdr:rowOff>232076</xdr:rowOff>
    </xdr:from>
    <xdr:to>
      <xdr:col>21</xdr:col>
      <xdr:colOff>168519</xdr:colOff>
      <xdr:row>18</xdr:row>
      <xdr:rowOff>232076</xdr:rowOff>
    </xdr:to>
    <xdr:cxnSp macro="">
      <xdr:nvCxnSpPr>
        <xdr:cNvPr id="131" name="直線矢印コネクタ 130">
          <a:extLst>
            <a:ext uri="{FF2B5EF4-FFF2-40B4-BE49-F238E27FC236}">
              <a16:creationId xmlns:a16="http://schemas.microsoft.com/office/drawing/2014/main" id="{AEEB8674-1EB0-448D-A2CC-C8B303E08935}"/>
            </a:ext>
          </a:extLst>
        </xdr:cNvPr>
        <xdr:cNvCxnSpPr/>
      </xdr:nvCxnSpPr>
      <xdr:spPr>
        <a:xfrm>
          <a:off x="5594684" y="5067845"/>
          <a:ext cx="420720"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108387</xdr:colOff>
      <xdr:row>29</xdr:row>
      <xdr:rowOff>143309</xdr:rowOff>
    </xdr:from>
    <xdr:to>
      <xdr:col>10</xdr:col>
      <xdr:colOff>234834</xdr:colOff>
      <xdr:row>34</xdr:row>
      <xdr:rowOff>56929</xdr:rowOff>
    </xdr:to>
    <xdr:sp macro="" textlink="">
      <xdr:nvSpPr>
        <xdr:cNvPr id="132" name="正方形/長方形 131">
          <a:extLst>
            <a:ext uri="{FF2B5EF4-FFF2-40B4-BE49-F238E27FC236}">
              <a16:creationId xmlns:a16="http://schemas.microsoft.com/office/drawing/2014/main" id="{55E6195D-2B70-4C99-BCC7-E3B0D54B60CB}"/>
            </a:ext>
          </a:extLst>
        </xdr:cNvPr>
        <xdr:cNvSpPr/>
      </xdr:nvSpPr>
      <xdr:spPr>
        <a:xfrm>
          <a:off x="1487870" y="7474275"/>
          <a:ext cx="1505930" cy="1096033"/>
        </a:xfrm>
        <a:prstGeom prst="rect">
          <a:avLst/>
        </a:prstGeom>
        <a:solidFill>
          <a:schemeClr val="accent1">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digital out ctrl</a:t>
          </a:r>
        </a:p>
        <a:p>
          <a:pPr algn="ctr"/>
          <a:endParaRPr kumimoji="1" lang="en-US" altLang="ja-JP" sz="1100">
            <a:solidFill>
              <a:schemeClr val="tx1"/>
            </a:solidFill>
          </a:endParaRPr>
        </a:p>
        <a:p>
          <a:pPr algn="ctr"/>
          <a:r>
            <a:rPr kumimoji="1" lang="en-US" altLang="ja-JP" sz="1100">
              <a:solidFill>
                <a:schemeClr val="tx1"/>
              </a:solidFill>
            </a:rPr>
            <a:t>(UDP</a:t>
          </a:r>
          <a:r>
            <a:rPr kumimoji="1" lang="ja-JP" altLang="en-US" sz="1100">
              <a:solidFill>
                <a:schemeClr val="tx1"/>
              </a:solidFill>
            </a:rPr>
            <a:t>ポート </a:t>
          </a:r>
          <a:r>
            <a:rPr kumimoji="1" lang="en-US" altLang="ja-JP" sz="1100">
              <a:solidFill>
                <a:schemeClr val="tx1"/>
              </a:solidFill>
            </a:rPr>
            <a:t>: 16385)</a:t>
          </a:r>
        </a:p>
      </xdr:txBody>
    </xdr:sp>
    <xdr:clientData/>
  </xdr:twoCellAnchor>
  <xdr:twoCellAnchor>
    <xdr:from>
      <xdr:col>13</xdr:col>
      <xdr:colOff>228194</xdr:colOff>
      <xdr:row>30</xdr:row>
      <xdr:rowOff>199769</xdr:rowOff>
    </xdr:from>
    <xdr:to>
      <xdr:col>14</xdr:col>
      <xdr:colOff>218929</xdr:colOff>
      <xdr:row>33</xdr:row>
      <xdr:rowOff>25035</xdr:rowOff>
    </xdr:to>
    <xdr:sp macro="" textlink="">
      <xdr:nvSpPr>
        <xdr:cNvPr id="135" name="正方形/長方形 134">
          <a:extLst>
            <a:ext uri="{FF2B5EF4-FFF2-40B4-BE49-F238E27FC236}">
              <a16:creationId xmlns:a16="http://schemas.microsoft.com/office/drawing/2014/main" id="{6E83D87E-3C13-43DA-B0FB-A885519F12F4}"/>
            </a:ext>
          </a:extLst>
        </xdr:cNvPr>
        <xdr:cNvSpPr/>
      </xdr:nvSpPr>
      <xdr:spPr>
        <a:xfrm rot="5400000">
          <a:off x="3811366" y="9856347"/>
          <a:ext cx="539641" cy="27648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chemeClr val="tx1"/>
              </a:solidFill>
            </a:rPr>
            <a:t>・・・</a:t>
          </a:r>
        </a:p>
      </xdr:txBody>
    </xdr:sp>
    <xdr:clientData/>
  </xdr:twoCellAnchor>
  <xdr:twoCellAnchor>
    <xdr:from>
      <xdr:col>10</xdr:col>
      <xdr:colOff>242997</xdr:colOff>
      <xdr:row>30</xdr:row>
      <xdr:rowOff>75647</xdr:rowOff>
    </xdr:from>
    <xdr:to>
      <xdr:col>12</xdr:col>
      <xdr:colOff>126727</xdr:colOff>
      <xdr:row>30</xdr:row>
      <xdr:rowOff>75647</xdr:rowOff>
    </xdr:to>
    <xdr:cxnSp macro="">
      <xdr:nvCxnSpPr>
        <xdr:cNvPr id="136" name="直線矢印コネクタ 135">
          <a:extLst>
            <a:ext uri="{FF2B5EF4-FFF2-40B4-BE49-F238E27FC236}">
              <a16:creationId xmlns:a16="http://schemas.microsoft.com/office/drawing/2014/main" id="{CF7F6FD2-02F1-4D25-A81E-CEE6B25BD15F}"/>
            </a:ext>
          </a:extLst>
        </xdr:cNvPr>
        <xdr:cNvCxnSpPr/>
      </xdr:nvCxnSpPr>
      <xdr:spPr>
        <a:xfrm>
          <a:off x="3100497" y="9600647"/>
          <a:ext cx="455230"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236429</xdr:colOff>
      <xdr:row>33</xdr:row>
      <xdr:rowOff>143638</xdr:rowOff>
    </xdr:from>
    <xdr:to>
      <xdr:col>12</xdr:col>
      <xdr:colOff>120158</xdr:colOff>
      <xdr:row>33</xdr:row>
      <xdr:rowOff>143638</xdr:rowOff>
    </xdr:to>
    <xdr:cxnSp macro="">
      <xdr:nvCxnSpPr>
        <xdr:cNvPr id="137" name="直線矢印コネクタ 136">
          <a:extLst>
            <a:ext uri="{FF2B5EF4-FFF2-40B4-BE49-F238E27FC236}">
              <a16:creationId xmlns:a16="http://schemas.microsoft.com/office/drawing/2014/main" id="{6E8DBF96-D5E1-432B-974B-D0130E1D12B1}"/>
            </a:ext>
          </a:extLst>
        </xdr:cNvPr>
        <xdr:cNvCxnSpPr/>
      </xdr:nvCxnSpPr>
      <xdr:spPr>
        <a:xfrm>
          <a:off x="3093929" y="10383013"/>
          <a:ext cx="455229"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179550</xdr:colOff>
      <xdr:row>22</xdr:row>
      <xdr:rowOff>76761</xdr:rowOff>
    </xdr:from>
    <xdr:to>
      <xdr:col>11</xdr:col>
      <xdr:colOff>179550</xdr:colOff>
      <xdr:row>37</xdr:row>
      <xdr:rowOff>76200</xdr:rowOff>
    </xdr:to>
    <xdr:cxnSp macro="">
      <xdr:nvCxnSpPr>
        <xdr:cNvPr id="157" name="直線コネクタ 156">
          <a:extLst>
            <a:ext uri="{FF2B5EF4-FFF2-40B4-BE49-F238E27FC236}">
              <a16:creationId xmlns:a16="http://schemas.microsoft.com/office/drawing/2014/main" id="{485D345C-8790-44A9-92AC-CB34D5D8FF89}"/>
            </a:ext>
          </a:extLst>
        </xdr:cNvPr>
        <xdr:cNvCxnSpPr/>
      </xdr:nvCxnSpPr>
      <xdr:spPr>
        <a:xfrm>
          <a:off x="3218025" y="5791761"/>
          <a:ext cx="0" cy="3571314"/>
        </a:xfrm>
        <a:prstGeom prst="line">
          <a:avLst/>
        </a:prstGeom>
        <a:ln w="15875">
          <a:solidFill>
            <a:srgbClr val="00B05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169985</xdr:colOff>
      <xdr:row>22</xdr:row>
      <xdr:rowOff>109694</xdr:rowOff>
    </xdr:from>
    <xdr:to>
      <xdr:col>13</xdr:col>
      <xdr:colOff>31771</xdr:colOff>
      <xdr:row>22</xdr:row>
      <xdr:rowOff>109694</xdr:rowOff>
    </xdr:to>
    <xdr:cxnSp macro="">
      <xdr:nvCxnSpPr>
        <xdr:cNvPr id="159" name="直線矢印コネクタ 158">
          <a:extLst>
            <a:ext uri="{FF2B5EF4-FFF2-40B4-BE49-F238E27FC236}">
              <a16:creationId xmlns:a16="http://schemas.microsoft.com/office/drawing/2014/main" id="{E681F5F6-A722-441D-8246-FE7E931F0717}"/>
            </a:ext>
          </a:extLst>
        </xdr:cNvPr>
        <xdr:cNvCxnSpPr/>
      </xdr:nvCxnSpPr>
      <xdr:spPr>
        <a:xfrm flipH="1">
          <a:off x="3313235" y="7729694"/>
          <a:ext cx="433286" cy="0"/>
        </a:xfrm>
        <a:prstGeom prst="straightConnector1">
          <a:avLst/>
        </a:prstGeom>
        <a:ln>
          <a:solidFill>
            <a:srgbClr val="00B050"/>
          </a:solidFill>
          <a:headEnd type="non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168088</xdr:colOff>
      <xdr:row>26</xdr:row>
      <xdr:rowOff>22288</xdr:rowOff>
    </xdr:from>
    <xdr:to>
      <xdr:col>13</xdr:col>
      <xdr:colOff>16083</xdr:colOff>
      <xdr:row>26</xdr:row>
      <xdr:rowOff>22288</xdr:rowOff>
    </xdr:to>
    <xdr:cxnSp macro="">
      <xdr:nvCxnSpPr>
        <xdr:cNvPr id="168" name="直線矢印コネクタ 167">
          <a:extLst>
            <a:ext uri="{FF2B5EF4-FFF2-40B4-BE49-F238E27FC236}">
              <a16:creationId xmlns:a16="http://schemas.microsoft.com/office/drawing/2014/main" id="{532CAAA7-8361-4F87-B25D-91FBB96CA0D9}"/>
            </a:ext>
          </a:extLst>
        </xdr:cNvPr>
        <xdr:cNvCxnSpPr/>
      </xdr:nvCxnSpPr>
      <xdr:spPr>
        <a:xfrm flipH="1">
          <a:off x="3311338" y="8594788"/>
          <a:ext cx="419495" cy="0"/>
        </a:xfrm>
        <a:prstGeom prst="straightConnector1">
          <a:avLst/>
        </a:prstGeom>
        <a:ln>
          <a:solidFill>
            <a:srgbClr val="00B050"/>
          </a:solidFill>
          <a:headEnd type="non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28736</xdr:colOff>
      <xdr:row>28</xdr:row>
      <xdr:rowOff>83426</xdr:rowOff>
    </xdr:from>
    <xdr:to>
      <xdr:col>11</xdr:col>
      <xdr:colOff>189189</xdr:colOff>
      <xdr:row>29</xdr:row>
      <xdr:rowOff>143309</xdr:rowOff>
    </xdr:to>
    <xdr:cxnSp macro="">
      <xdr:nvCxnSpPr>
        <xdr:cNvPr id="171" name="コネクタ: カギ線 170">
          <a:extLst>
            <a:ext uri="{FF2B5EF4-FFF2-40B4-BE49-F238E27FC236}">
              <a16:creationId xmlns:a16="http://schemas.microsoft.com/office/drawing/2014/main" id="{5A99FAB8-96B7-3F7B-7904-BDC1BB449333}"/>
            </a:ext>
          </a:extLst>
        </xdr:cNvPr>
        <xdr:cNvCxnSpPr>
          <a:endCxn id="132" idx="0"/>
        </xdr:cNvCxnSpPr>
      </xdr:nvCxnSpPr>
      <xdr:spPr>
        <a:xfrm rot="10800000" flipV="1">
          <a:off x="2235908" y="7177909"/>
          <a:ext cx="988143" cy="296366"/>
        </a:xfrm>
        <a:prstGeom prst="bentConnector2">
          <a:avLst/>
        </a:prstGeom>
        <a:ln>
          <a:solidFill>
            <a:srgbClr val="00B05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14185</xdr:colOff>
      <xdr:row>26</xdr:row>
      <xdr:rowOff>96047</xdr:rowOff>
    </xdr:from>
    <xdr:to>
      <xdr:col>10</xdr:col>
      <xdr:colOff>256075</xdr:colOff>
      <xdr:row>28</xdr:row>
      <xdr:rowOff>118097</xdr:rowOff>
    </xdr:to>
    <xdr:sp macro="" textlink="">
      <xdr:nvSpPr>
        <xdr:cNvPr id="195" name="正方形/長方形 194">
          <a:extLst>
            <a:ext uri="{FF2B5EF4-FFF2-40B4-BE49-F238E27FC236}">
              <a16:creationId xmlns:a16="http://schemas.microsoft.com/office/drawing/2014/main" id="{EB7881A6-C15C-45F1-9B14-5639F9CAB5D5}"/>
            </a:ext>
          </a:extLst>
        </xdr:cNvPr>
        <xdr:cNvSpPr/>
      </xdr:nvSpPr>
      <xdr:spPr>
        <a:xfrm>
          <a:off x="2014435" y="8668547"/>
          <a:ext cx="1099140" cy="4983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chemeClr val="tx1"/>
              </a:solidFill>
            </a:rPr>
            <a:t>ディジタル出力</a:t>
          </a:r>
          <a:endParaRPr kumimoji="1" lang="en-US" altLang="ja-JP" sz="900">
            <a:solidFill>
              <a:schemeClr val="tx1"/>
            </a:solidFill>
          </a:endParaRPr>
        </a:p>
        <a:p>
          <a:pPr algn="ctr"/>
          <a:r>
            <a:rPr kumimoji="1" lang="ja-JP" altLang="en-US" sz="900">
              <a:solidFill>
                <a:schemeClr val="tx1"/>
              </a:solidFill>
            </a:rPr>
            <a:t>制御信号</a:t>
          </a:r>
          <a:endParaRPr kumimoji="1" lang="en-US" altLang="ja-JP" sz="900">
            <a:solidFill>
              <a:schemeClr val="tx1"/>
            </a:solidFill>
          </a:endParaRPr>
        </a:p>
      </xdr:txBody>
    </xdr:sp>
    <xdr:clientData/>
  </xdr:twoCellAnchor>
  <xdr:twoCellAnchor>
    <xdr:from>
      <xdr:col>16</xdr:col>
      <xdr:colOff>9506</xdr:colOff>
      <xdr:row>30</xdr:row>
      <xdr:rowOff>43697</xdr:rowOff>
    </xdr:from>
    <xdr:to>
      <xdr:col>25</xdr:col>
      <xdr:colOff>249115</xdr:colOff>
      <xdr:row>30</xdr:row>
      <xdr:rowOff>43697</xdr:rowOff>
    </xdr:to>
    <xdr:cxnSp macro="">
      <xdr:nvCxnSpPr>
        <xdr:cNvPr id="244" name="直線矢印コネクタ 243">
          <a:extLst>
            <a:ext uri="{FF2B5EF4-FFF2-40B4-BE49-F238E27FC236}">
              <a16:creationId xmlns:a16="http://schemas.microsoft.com/office/drawing/2014/main" id="{3DBE9911-62F3-444A-B573-93801378F3D8}"/>
            </a:ext>
          </a:extLst>
        </xdr:cNvPr>
        <xdr:cNvCxnSpPr/>
      </xdr:nvCxnSpPr>
      <xdr:spPr>
        <a:xfrm>
          <a:off x="4464275" y="7780928"/>
          <a:ext cx="2745417" cy="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1130</xdr:colOff>
      <xdr:row>33</xdr:row>
      <xdr:rowOff>129708</xdr:rowOff>
    </xdr:from>
    <xdr:to>
      <xdr:col>25</xdr:col>
      <xdr:colOff>256442</xdr:colOff>
      <xdr:row>33</xdr:row>
      <xdr:rowOff>129708</xdr:rowOff>
    </xdr:to>
    <xdr:cxnSp macro="">
      <xdr:nvCxnSpPr>
        <xdr:cNvPr id="246" name="直線矢印コネクタ 245">
          <a:extLst>
            <a:ext uri="{FF2B5EF4-FFF2-40B4-BE49-F238E27FC236}">
              <a16:creationId xmlns:a16="http://schemas.microsoft.com/office/drawing/2014/main" id="{E35FD2B0-906F-48F8-AF37-E9228A4A5800}"/>
            </a:ext>
          </a:extLst>
        </xdr:cNvPr>
        <xdr:cNvCxnSpPr/>
      </xdr:nvCxnSpPr>
      <xdr:spPr>
        <a:xfrm>
          <a:off x="4455899" y="8592304"/>
          <a:ext cx="2761120" cy="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104775</xdr:colOff>
      <xdr:row>29</xdr:row>
      <xdr:rowOff>30678</xdr:rowOff>
    </xdr:from>
    <xdr:to>
      <xdr:col>25</xdr:col>
      <xdr:colOff>65246</xdr:colOff>
      <xdr:row>30</xdr:row>
      <xdr:rowOff>43736</xdr:rowOff>
    </xdr:to>
    <xdr:sp macro="" textlink="">
      <xdr:nvSpPr>
        <xdr:cNvPr id="248" name="正方形/長方形 247">
          <a:extLst>
            <a:ext uri="{FF2B5EF4-FFF2-40B4-BE49-F238E27FC236}">
              <a16:creationId xmlns:a16="http://schemas.microsoft.com/office/drawing/2014/main" id="{78D301CC-F524-4D01-9AB8-3EF0DACE257A}"/>
            </a:ext>
          </a:extLst>
        </xdr:cNvPr>
        <xdr:cNvSpPr/>
      </xdr:nvSpPr>
      <xdr:spPr>
        <a:xfrm>
          <a:off x="5819775" y="9317553"/>
          <a:ext cx="1389221" cy="25118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900">
              <a:solidFill>
                <a:schemeClr val="tx1"/>
              </a:solidFill>
            </a:rPr>
            <a:t>16-bit  </a:t>
          </a:r>
          <a:r>
            <a:rPr kumimoji="1" lang="ja-JP" altLang="en-US" sz="900">
              <a:solidFill>
                <a:schemeClr val="tx1"/>
              </a:solidFill>
            </a:rPr>
            <a:t>ディジタル値 </a:t>
          </a:r>
          <a:r>
            <a:rPr kumimoji="1" lang="en-US" altLang="ja-JP" sz="900">
              <a:solidFill>
                <a:schemeClr val="tx1"/>
              </a:solidFill>
            </a:rPr>
            <a:t>0</a:t>
          </a:r>
        </a:p>
      </xdr:txBody>
    </xdr:sp>
    <xdr:clientData/>
  </xdr:twoCellAnchor>
  <xdr:twoCellAnchor>
    <xdr:from>
      <xdr:col>20</xdr:col>
      <xdr:colOff>57150</xdr:colOff>
      <xdr:row>32</xdr:row>
      <xdr:rowOff>121558</xdr:rowOff>
    </xdr:from>
    <xdr:to>
      <xdr:col>25</xdr:col>
      <xdr:colOff>65009</xdr:colOff>
      <xdr:row>33</xdr:row>
      <xdr:rowOff>129822</xdr:rowOff>
    </xdr:to>
    <xdr:sp macro="" textlink="">
      <xdr:nvSpPr>
        <xdr:cNvPr id="250" name="正方形/長方形 249">
          <a:extLst>
            <a:ext uri="{FF2B5EF4-FFF2-40B4-BE49-F238E27FC236}">
              <a16:creationId xmlns:a16="http://schemas.microsoft.com/office/drawing/2014/main" id="{5437574E-F061-460A-9858-05F0967D00E0}"/>
            </a:ext>
          </a:extLst>
        </xdr:cNvPr>
        <xdr:cNvSpPr/>
      </xdr:nvSpPr>
      <xdr:spPr>
        <a:xfrm>
          <a:off x="5772150" y="10122808"/>
          <a:ext cx="1436609" cy="24638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a:solidFill>
                <a:schemeClr val="tx1"/>
              </a:solidFill>
            </a:rPr>
            <a:t>16-bit  </a:t>
          </a:r>
          <a:r>
            <a:rPr kumimoji="1" lang="ja-JP" altLang="en-US" sz="900">
              <a:solidFill>
                <a:schemeClr val="tx1"/>
              </a:solidFill>
            </a:rPr>
            <a:t>ディジタル値 </a:t>
          </a:r>
          <a:r>
            <a:rPr kumimoji="1" lang="en-US" altLang="ja-JP" sz="900">
              <a:solidFill>
                <a:schemeClr val="tx1"/>
              </a:solidFill>
            </a:rPr>
            <a:t>33</a:t>
          </a:r>
        </a:p>
      </xdr:txBody>
    </xdr:sp>
    <xdr:clientData/>
  </xdr:twoCellAnchor>
  <xdr:twoCellAnchor>
    <xdr:from>
      <xdr:col>12</xdr:col>
      <xdr:colOff>146904</xdr:colOff>
      <xdr:row>29</xdr:row>
      <xdr:rowOff>63549</xdr:rowOff>
    </xdr:from>
    <xdr:to>
      <xdr:col>16</xdr:col>
      <xdr:colOff>9525</xdr:colOff>
      <xdr:row>31</xdr:row>
      <xdr:rowOff>26207</xdr:rowOff>
    </xdr:to>
    <xdr:sp macro="" textlink="">
      <xdr:nvSpPr>
        <xdr:cNvPr id="133" name="正方形/長方形 132">
          <a:extLst>
            <a:ext uri="{FF2B5EF4-FFF2-40B4-BE49-F238E27FC236}">
              <a16:creationId xmlns:a16="http://schemas.microsoft.com/office/drawing/2014/main" id="{A4F3B4CD-7D5B-4B74-A191-B1331AF91925}"/>
            </a:ext>
          </a:extLst>
        </xdr:cNvPr>
        <xdr:cNvSpPr/>
      </xdr:nvSpPr>
      <xdr:spPr>
        <a:xfrm>
          <a:off x="3575904" y="9350424"/>
          <a:ext cx="1005621" cy="438908"/>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baseline="0">
              <a:solidFill>
                <a:schemeClr val="tx1"/>
              </a:solidFill>
            </a:rPr>
            <a:t>digital out 0</a:t>
          </a:r>
          <a:endParaRPr kumimoji="1" lang="en-US" altLang="ja-JP" sz="1100">
            <a:solidFill>
              <a:schemeClr val="tx1"/>
            </a:solidFill>
          </a:endParaRPr>
        </a:p>
      </xdr:txBody>
    </xdr:sp>
    <xdr:clientData/>
  </xdr:twoCellAnchor>
  <xdr:twoCellAnchor>
    <xdr:from>
      <xdr:col>12</xdr:col>
      <xdr:colOff>146903</xdr:colOff>
      <xdr:row>32</xdr:row>
      <xdr:rowOff>166063</xdr:rowOff>
    </xdr:from>
    <xdr:to>
      <xdr:col>16</xdr:col>
      <xdr:colOff>19050</xdr:colOff>
      <xdr:row>34</xdr:row>
      <xdr:rowOff>151942</xdr:rowOff>
    </xdr:to>
    <xdr:sp macro="" textlink="">
      <xdr:nvSpPr>
        <xdr:cNvPr id="134" name="正方形/長方形 133">
          <a:extLst>
            <a:ext uri="{FF2B5EF4-FFF2-40B4-BE49-F238E27FC236}">
              <a16:creationId xmlns:a16="http://schemas.microsoft.com/office/drawing/2014/main" id="{D339D079-709D-4218-8ECB-0553F53F7DBF}"/>
            </a:ext>
          </a:extLst>
        </xdr:cNvPr>
        <xdr:cNvSpPr/>
      </xdr:nvSpPr>
      <xdr:spPr>
        <a:xfrm>
          <a:off x="3575903" y="10167313"/>
          <a:ext cx="1015147" cy="462129"/>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baseline="0">
              <a:solidFill>
                <a:schemeClr val="tx1"/>
              </a:solidFill>
            </a:rPr>
            <a:t>digital out 33</a:t>
          </a:r>
          <a:endParaRPr kumimoji="1" lang="en-US" altLang="ja-JP" sz="1100">
            <a:solidFill>
              <a:schemeClr val="tx1"/>
            </a:solidFill>
          </a:endParaRPr>
        </a:p>
      </xdr:txBody>
    </xdr:sp>
    <xdr:clientData/>
  </xdr:twoCellAnchor>
  <xdr:twoCellAnchor>
    <xdr:from>
      <xdr:col>41</xdr:col>
      <xdr:colOff>136042</xdr:colOff>
      <xdr:row>14</xdr:row>
      <xdr:rowOff>0</xdr:rowOff>
    </xdr:from>
    <xdr:to>
      <xdr:col>65</xdr:col>
      <xdr:colOff>211620</xdr:colOff>
      <xdr:row>45</xdr:row>
      <xdr:rowOff>130864</xdr:rowOff>
    </xdr:to>
    <xdr:sp macro="" textlink="">
      <xdr:nvSpPr>
        <xdr:cNvPr id="2" name="正方形/長方形 1">
          <a:extLst>
            <a:ext uri="{FF2B5EF4-FFF2-40B4-BE49-F238E27FC236}">
              <a16:creationId xmlns:a16="http://schemas.microsoft.com/office/drawing/2014/main" id="{214DD5B8-5074-4635-AC54-04E1B92317F7}"/>
            </a:ext>
          </a:extLst>
        </xdr:cNvPr>
        <xdr:cNvSpPr/>
      </xdr:nvSpPr>
      <xdr:spPr>
        <a:xfrm>
          <a:off x="11622071" y="3765176"/>
          <a:ext cx="6799108" cy="7425894"/>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400">
              <a:solidFill>
                <a:schemeClr val="tx1"/>
              </a:solidFill>
            </a:rPr>
            <a:t>ZCU111</a:t>
          </a:r>
          <a:endParaRPr kumimoji="1" lang="ja-JP" altLang="en-US" sz="1400">
            <a:solidFill>
              <a:schemeClr val="tx1"/>
            </a:solidFill>
          </a:endParaRPr>
        </a:p>
      </xdr:txBody>
    </xdr:sp>
    <xdr:clientData/>
  </xdr:twoCellAnchor>
  <xdr:twoCellAnchor>
    <xdr:from>
      <xdr:col>59</xdr:col>
      <xdr:colOff>229785</xdr:colOff>
      <xdr:row>15</xdr:row>
      <xdr:rowOff>213691</xdr:rowOff>
    </xdr:from>
    <xdr:to>
      <xdr:col>64</xdr:col>
      <xdr:colOff>284922</xdr:colOff>
      <xdr:row>39</xdr:row>
      <xdr:rowOff>36442</xdr:rowOff>
    </xdr:to>
    <xdr:sp macro="" textlink="">
      <xdr:nvSpPr>
        <xdr:cNvPr id="3" name="正方形/長方形 2">
          <a:extLst>
            <a:ext uri="{FF2B5EF4-FFF2-40B4-BE49-F238E27FC236}">
              <a16:creationId xmlns:a16="http://schemas.microsoft.com/office/drawing/2014/main" id="{8B91D669-0F97-4689-9614-D3CC0F64725E}"/>
            </a:ext>
          </a:extLst>
        </xdr:cNvPr>
        <xdr:cNvSpPr/>
      </xdr:nvSpPr>
      <xdr:spPr>
        <a:xfrm>
          <a:off x="17089035" y="4261816"/>
          <a:ext cx="1483887" cy="5537751"/>
        </a:xfrm>
        <a:prstGeom prst="rect">
          <a:avLst/>
        </a:prstGeom>
        <a:solidFill>
          <a:schemeClr val="accent6">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200">
              <a:solidFill>
                <a:schemeClr val="tx1"/>
              </a:solidFill>
            </a:rPr>
            <a:t>RF</a:t>
          </a:r>
          <a:r>
            <a:rPr kumimoji="1" lang="en-US" altLang="ja-JP" sz="1200" baseline="0">
              <a:solidFill>
                <a:schemeClr val="tx1"/>
              </a:solidFill>
            </a:rPr>
            <a:t> Data Converter</a:t>
          </a:r>
          <a:endParaRPr kumimoji="1" lang="ja-JP" altLang="en-US" sz="1400">
            <a:solidFill>
              <a:schemeClr val="tx1"/>
            </a:solidFill>
          </a:endParaRPr>
        </a:p>
      </xdr:txBody>
    </xdr:sp>
    <xdr:clientData/>
  </xdr:twoCellAnchor>
  <xdr:twoCellAnchor>
    <xdr:from>
      <xdr:col>60</xdr:col>
      <xdr:colOff>149124</xdr:colOff>
      <xdr:row>19</xdr:row>
      <xdr:rowOff>144830</xdr:rowOff>
    </xdr:from>
    <xdr:to>
      <xdr:col>64</xdr:col>
      <xdr:colOff>102424</xdr:colOff>
      <xdr:row>21</xdr:row>
      <xdr:rowOff>197009</xdr:rowOff>
    </xdr:to>
    <xdr:sp macro="" textlink="">
      <xdr:nvSpPr>
        <xdr:cNvPr id="4" name="正方形/長方形 3">
          <a:extLst>
            <a:ext uri="{FF2B5EF4-FFF2-40B4-BE49-F238E27FC236}">
              <a16:creationId xmlns:a16="http://schemas.microsoft.com/office/drawing/2014/main" id="{9701789C-7D50-445F-9E41-52BE3D8E634F}"/>
            </a:ext>
          </a:extLst>
        </xdr:cNvPr>
        <xdr:cNvSpPr/>
      </xdr:nvSpPr>
      <xdr:spPr>
        <a:xfrm>
          <a:off x="17294124" y="5145455"/>
          <a:ext cx="1096300" cy="528429"/>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DAC</a:t>
          </a:r>
        </a:p>
        <a:p>
          <a:pPr algn="ctr"/>
          <a:r>
            <a:rPr kumimoji="1" lang="en-US" altLang="ja-JP" sz="1200">
              <a:solidFill>
                <a:schemeClr val="tx1"/>
              </a:solidFill>
            </a:rPr>
            <a:t>Tile</a:t>
          </a:r>
          <a:r>
            <a:rPr kumimoji="1" lang="en-US" altLang="ja-JP" sz="1200" baseline="0">
              <a:solidFill>
                <a:schemeClr val="tx1"/>
              </a:solidFill>
            </a:rPr>
            <a:t> 228   Ch 0</a:t>
          </a:r>
          <a:endParaRPr kumimoji="1" lang="ja-JP" altLang="en-US" sz="1400">
            <a:solidFill>
              <a:schemeClr val="tx1"/>
            </a:solidFill>
          </a:endParaRPr>
        </a:p>
      </xdr:txBody>
    </xdr:sp>
    <xdr:clientData/>
  </xdr:twoCellAnchor>
  <xdr:twoCellAnchor>
    <xdr:from>
      <xdr:col>57</xdr:col>
      <xdr:colOff>190540</xdr:colOff>
      <xdr:row>20</xdr:row>
      <xdr:rowOff>35829</xdr:rowOff>
    </xdr:from>
    <xdr:to>
      <xdr:col>60</xdr:col>
      <xdr:colOff>157783</xdr:colOff>
      <xdr:row>20</xdr:row>
      <xdr:rowOff>35829</xdr:rowOff>
    </xdr:to>
    <xdr:cxnSp macro="">
      <xdr:nvCxnSpPr>
        <xdr:cNvPr id="5" name="直線矢印コネクタ 4">
          <a:extLst>
            <a:ext uri="{FF2B5EF4-FFF2-40B4-BE49-F238E27FC236}">
              <a16:creationId xmlns:a16="http://schemas.microsoft.com/office/drawing/2014/main" id="{6931812C-8C95-4155-A870-54C3F44C619A}"/>
            </a:ext>
          </a:extLst>
        </xdr:cNvPr>
        <xdr:cNvCxnSpPr/>
      </xdr:nvCxnSpPr>
      <xdr:spPr>
        <a:xfrm>
          <a:off x="16478290" y="5274579"/>
          <a:ext cx="824493"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60</xdr:col>
      <xdr:colOff>144155</xdr:colOff>
      <xdr:row>22</xdr:row>
      <xdr:rowOff>4548</xdr:rowOff>
    </xdr:from>
    <xdr:to>
      <xdr:col>64</xdr:col>
      <xdr:colOff>97455</xdr:colOff>
      <xdr:row>24</xdr:row>
      <xdr:rowOff>52397</xdr:rowOff>
    </xdr:to>
    <xdr:sp macro="" textlink="">
      <xdr:nvSpPr>
        <xdr:cNvPr id="6" name="正方形/長方形 5">
          <a:extLst>
            <a:ext uri="{FF2B5EF4-FFF2-40B4-BE49-F238E27FC236}">
              <a16:creationId xmlns:a16="http://schemas.microsoft.com/office/drawing/2014/main" id="{8E4D3500-D309-4486-A000-81E5E89D2015}"/>
            </a:ext>
          </a:extLst>
        </xdr:cNvPr>
        <xdr:cNvSpPr/>
      </xdr:nvSpPr>
      <xdr:spPr>
        <a:xfrm>
          <a:off x="17289155" y="5719548"/>
          <a:ext cx="1096300" cy="524099"/>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DAC</a:t>
          </a:r>
        </a:p>
        <a:p>
          <a:pPr algn="ctr"/>
          <a:r>
            <a:rPr kumimoji="1" lang="en-US" altLang="ja-JP" sz="1200">
              <a:solidFill>
                <a:schemeClr val="tx1"/>
              </a:solidFill>
            </a:rPr>
            <a:t>Tile</a:t>
          </a:r>
          <a:r>
            <a:rPr kumimoji="1" lang="en-US" altLang="ja-JP" sz="1200" baseline="0">
              <a:solidFill>
                <a:schemeClr val="tx1"/>
              </a:solidFill>
            </a:rPr>
            <a:t> 228   Ch 1</a:t>
          </a:r>
          <a:endParaRPr kumimoji="1" lang="ja-JP" altLang="en-US" sz="1400">
            <a:solidFill>
              <a:schemeClr val="tx1"/>
            </a:solidFill>
          </a:endParaRPr>
        </a:p>
      </xdr:txBody>
    </xdr:sp>
    <xdr:clientData/>
  </xdr:twoCellAnchor>
  <xdr:twoCellAnchor>
    <xdr:from>
      <xdr:col>57</xdr:col>
      <xdr:colOff>193854</xdr:colOff>
      <xdr:row>22</xdr:row>
      <xdr:rowOff>160148</xdr:rowOff>
    </xdr:from>
    <xdr:to>
      <xdr:col>60</xdr:col>
      <xdr:colOff>141218</xdr:colOff>
      <xdr:row>22</xdr:row>
      <xdr:rowOff>160148</xdr:rowOff>
    </xdr:to>
    <xdr:cxnSp macro="">
      <xdr:nvCxnSpPr>
        <xdr:cNvPr id="7" name="直線矢印コネクタ 6">
          <a:extLst>
            <a:ext uri="{FF2B5EF4-FFF2-40B4-BE49-F238E27FC236}">
              <a16:creationId xmlns:a16="http://schemas.microsoft.com/office/drawing/2014/main" id="{4F8F1802-834B-4B51-8B42-D87621C35FA5}"/>
            </a:ext>
          </a:extLst>
        </xdr:cNvPr>
        <xdr:cNvCxnSpPr/>
      </xdr:nvCxnSpPr>
      <xdr:spPr>
        <a:xfrm>
          <a:off x="16481604" y="5875148"/>
          <a:ext cx="804614"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60</xdr:col>
      <xdr:colOff>147467</xdr:colOff>
      <xdr:row>24</xdr:row>
      <xdr:rowOff>116250</xdr:rowOff>
    </xdr:from>
    <xdr:to>
      <xdr:col>64</xdr:col>
      <xdr:colOff>100767</xdr:colOff>
      <xdr:row>26</xdr:row>
      <xdr:rowOff>177953</xdr:rowOff>
    </xdr:to>
    <xdr:sp macro="" textlink="">
      <xdr:nvSpPr>
        <xdr:cNvPr id="8" name="正方形/長方形 7">
          <a:extLst>
            <a:ext uri="{FF2B5EF4-FFF2-40B4-BE49-F238E27FC236}">
              <a16:creationId xmlns:a16="http://schemas.microsoft.com/office/drawing/2014/main" id="{D0C3400B-0F39-43D0-8C56-327AF232B59B}"/>
            </a:ext>
          </a:extLst>
        </xdr:cNvPr>
        <xdr:cNvSpPr/>
      </xdr:nvSpPr>
      <xdr:spPr>
        <a:xfrm>
          <a:off x="17292467" y="6307500"/>
          <a:ext cx="1096300" cy="537953"/>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DAC</a:t>
          </a:r>
        </a:p>
        <a:p>
          <a:pPr algn="ctr"/>
          <a:r>
            <a:rPr kumimoji="1" lang="en-US" altLang="ja-JP" sz="1200">
              <a:solidFill>
                <a:schemeClr val="tx1"/>
              </a:solidFill>
            </a:rPr>
            <a:t>Tile</a:t>
          </a:r>
          <a:r>
            <a:rPr kumimoji="1" lang="en-US" altLang="ja-JP" sz="1200" baseline="0">
              <a:solidFill>
                <a:schemeClr val="tx1"/>
              </a:solidFill>
            </a:rPr>
            <a:t> 228   Ch 2</a:t>
          </a:r>
          <a:endParaRPr kumimoji="1" lang="ja-JP" altLang="en-US" sz="1400">
            <a:solidFill>
              <a:schemeClr val="tx1"/>
            </a:solidFill>
          </a:endParaRPr>
        </a:p>
      </xdr:txBody>
    </xdr:sp>
    <xdr:clientData/>
  </xdr:twoCellAnchor>
  <xdr:twoCellAnchor>
    <xdr:from>
      <xdr:col>57</xdr:col>
      <xdr:colOff>197166</xdr:colOff>
      <xdr:row>25</xdr:row>
      <xdr:rowOff>16124</xdr:rowOff>
    </xdr:from>
    <xdr:to>
      <xdr:col>60</xdr:col>
      <xdr:colOff>149501</xdr:colOff>
      <xdr:row>25</xdr:row>
      <xdr:rowOff>16124</xdr:rowOff>
    </xdr:to>
    <xdr:cxnSp macro="">
      <xdr:nvCxnSpPr>
        <xdr:cNvPr id="9" name="直線矢印コネクタ 8">
          <a:extLst>
            <a:ext uri="{FF2B5EF4-FFF2-40B4-BE49-F238E27FC236}">
              <a16:creationId xmlns:a16="http://schemas.microsoft.com/office/drawing/2014/main" id="{3D501895-162C-44A0-B83E-0688837913B5}"/>
            </a:ext>
          </a:extLst>
        </xdr:cNvPr>
        <xdr:cNvCxnSpPr/>
      </xdr:nvCxnSpPr>
      <xdr:spPr>
        <a:xfrm>
          <a:off x="16484916" y="6445499"/>
          <a:ext cx="809585"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60</xdr:col>
      <xdr:colOff>150780</xdr:colOff>
      <xdr:row>26</xdr:row>
      <xdr:rowOff>221436</xdr:rowOff>
    </xdr:from>
    <xdr:to>
      <xdr:col>64</xdr:col>
      <xdr:colOff>104080</xdr:colOff>
      <xdr:row>29</xdr:row>
      <xdr:rowOff>32689</xdr:rowOff>
    </xdr:to>
    <xdr:sp macro="" textlink="">
      <xdr:nvSpPr>
        <xdr:cNvPr id="10" name="正方形/長方形 9">
          <a:extLst>
            <a:ext uri="{FF2B5EF4-FFF2-40B4-BE49-F238E27FC236}">
              <a16:creationId xmlns:a16="http://schemas.microsoft.com/office/drawing/2014/main" id="{10D386B0-3B00-419F-A14F-2E7CC1B75D2F}"/>
            </a:ext>
          </a:extLst>
        </xdr:cNvPr>
        <xdr:cNvSpPr/>
      </xdr:nvSpPr>
      <xdr:spPr>
        <a:xfrm>
          <a:off x="17295780" y="6888936"/>
          <a:ext cx="1096300" cy="525628"/>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DAC</a:t>
          </a:r>
        </a:p>
        <a:p>
          <a:pPr algn="ctr"/>
          <a:r>
            <a:rPr kumimoji="1" lang="en-US" altLang="ja-JP" sz="1200">
              <a:solidFill>
                <a:schemeClr val="tx1"/>
              </a:solidFill>
            </a:rPr>
            <a:t>Tile</a:t>
          </a:r>
          <a:r>
            <a:rPr kumimoji="1" lang="en-US" altLang="ja-JP" sz="1200" baseline="0">
              <a:solidFill>
                <a:schemeClr val="tx1"/>
              </a:solidFill>
            </a:rPr>
            <a:t> 228   Ch 3</a:t>
          </a:r>
          <a:endParaRPr kumimoji="1" lang="ja-JP" altLang="en-US" sz="1400">
            <a:solidFill>
              <a:schemeClr val="tx1"/>
            </a:solidFill>
          </a:endParaRPr>
        </a:p>
      </xdr:txBody>
    </xdr:sp>
    <xdr:clientData/>
  </xdr:twoCellAnchor>
  <xdr:twoCellAnchor>
    <xdr:from>
      <xdr:col>57</xdr:col>
      <xdr:colOff>200479</xdr:colOff>
      <xdr:row>27</xdr:row>
      <xdr:rowOff>131568</xdr:rowOff>
    </xdr:from>
    <xdr:to>
      <xdr:col>60</xdr:col>
      <xdr:colOff>149501</xdr:colOff>
      <xdr:row>27</xdr:row>
      <xdr:rowOff>131568</xdr:rowOff>
    </xdr:to>
    <xdr:cxnSp macro="">
      <xdr:nvCxnSpPr>
        <xdr:cNvPr id="11" name="直線矢印コネクタ 10">
          <a:extLst>
            <a:ext uri="{FF2B5EF4-FFF2-40B4-BE49-F238E27FC236}">
              <a16:creationId xmlns:a16="http://schemas.microsoft.com/office/drawing/2014/main" id="{2381506B-85C9-41C6-A858-99E8D497FE26}"/>
            </a:ext>
          </a:extLst>
        </xdr:cNvPr>
        <xdr:cNvCxnSpPr/>
      </xdr:nvCxnSpPr>
      <xdr:spPr>
        <a:xfrm>
          <a:off x="16488229" y="7037193"/>
          <a:ext cx="806272"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60</xdr:col>
      <xdr:colOff>144154</xdr:colOff>
      <xdr:row>29</xdr:row>
      <xdr:rowOff>84695</xdr:rowOff>
    </xdr:from>
    <xdr:to>
      <xdr:col>64</xdr:col>
      <xdr:colOff>97454</xdr:colOff>
      <xdr:row>31</xdr:row>
      <xdr:rowOff>136873</xdr:rowOff>
    </xdr:to>
    <xdr:sp macro="" textlink="">
      <xdr:nvSpPr>
        <xdr:cNvPr id="12" name="正方形/長方形 11">
          <a:extLst>
            <a:ext uri="{FF2B5EF4-FFF2-40B4-BE49-F238E27FC236}">
              <a16:creationId xmlns:a16="http://schemas.microsoft.com/office/drawing/2014/main" id="{E265619C-808C-44C1-B56E-F88C5762B445}"/>
            </a:ext>
          </a:extLst>
        </xdr:cNvPr>
        <xdr:cNvSpPr/>
      </xdr:nvSpPr>
      <xdr:spPr>
        <a:xfrm>
          <a:off x="17289154" y="7466570"/>
          <a:ext cx="1096300" cy="528428"/>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DAC</a:t>
          </a:r>
        </a:p>
        <a:p>
          <a:pPr algn="ctr"/>
          <a:r>
            <a:rPr kumimoji="1" lang="en-US" altLang="ja-JP" sz="1200">
              <a:solidFill>
                <a:schemeClr val="tx1"/>
              </a:solidFill>
            </a:rPr>
            <a:t>Tile</a:t>
          </a:r>
          <a:r>
            <a:rPr kumimoji="1" lang="en-US" altLang="ja-JP" sz="1200" baseline="0">
              <a:solidFill>
                <a:schemeClr val="tx1"/>
              </a:solidFill>
            </a:rPr>
            <a:t> 229   Ch 0</a:t>
          </a:r>
          <a:endParaRPr kumimoji="1" lang="ja-JP" altLang="en-US" sz="1400">
            <a:solidFill>
              <a:schemeClr val="tx1"/>
            </a:solidFill>
          </a:endParaRPr>
        </a:p>
      </xdr:txBody>
    </xdr:sp>
    <xdr:clientData/>
  </xdr:twoCellAnchor>
  <xdr:twoCellAnchor>
    <xdr:from>
      <xdr:col>57</xdr:col>
      <xdr:colOff>192139</xdr:colOff>
      <xdr:row>29</xdr:row>
      <xdr:rowOff>235101</xdr:rowOff>
    </xdr:from>
    <xdr:to>
      <xdr:col>60</xdr:col>
      <xdr:colOff>141218</xdr:colOff>
      <xdr:row>29</xdr:row>
      <xdr:rowOff>235101</xdr:rowOff>
    </xdr:to>
    <xdr:cxnSp macro="">
      <xdr:nvCxnSpPr>
        <xdr:cNvPr id="13" name="直線矢印コネクタ 12">
          <a:extLst>
            <a:ext uri="{FF2B5EF4-FFF2-40B4-BE49-F238E27FC236}">
              <a16:creationId xmlns:a16="http://schemas.microsoft.com/office/drawing/2014/main" id="{4C598B0E-C2D4-4846-A879-3622B30C628F}"/>
            </a:ext>
          </a:extLst>
        </xdr:cNvPr>
        <xdr:cNvCxnSpPr/>
      </xdr:nvCxnSpPr>
      <xdr:spPr>
        <a:xfrm>
          <a:off x="16479889" y="7616976"/>
          <a:ext cx="806329"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60</xdr:col>
      <xdr:colOff>127259</xdr:colOff>
      <xdr:row>31</xdr:row>
      <xdr:rowOff>191203</xdr:rowOff>
    </xdr:from>
    <xdr:to>
      <xdr:col>64</xdr:col>
      <xdr:colOff>92485</xdr:colOff>
      <xdr:row>34</xdr:row>
      <xdr:rowOff>5256</xdr:rowOff>
    </xdr:to>
    <xdr:sp macro="" textlink="">
      <xdr:nvSpPr>
        <xdr:cNvPr id="14" name="正方形/長方形 13">
          <a:extLst>
            <a:ext uri="{FF2B5EF4-FFF2-40B4-BE49-F238E27FC236}">
              <a16:creationId xmlns:a16="http://schemas.microsoft.com/office/drawing/2014/main" id="{195BA859-B98A-4FF4-AE7E-F55140E99027}"/>
            </a:ext>
          </a:extLst>
        </xdr:cNvPr>
        <xdr:cNvSpPr/>
      </xdr:nvSpPr>
      <xdr:spPr>
        <a:xfrm>
          <a:off x="17272259" y="8049328"/>
          <a:ext cx="1108226" cy="528428"/>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DAC</a:t>
          </a:r>
        </a:p>
        <a:p>
          <a:pPr algn="ctr"/>
          <a:r>
            <a:rPr kumimoji="1" lang="en-US" altLang="ja-JP" sz="1200">
              <a:solidFill>
                <a:schemeClr val="tx1"/>
              </a:solidFill>
            </a:rPr>
            <a:t>Tile</a:t>
          </a:r>
          <a:r>
            <a:rPr kumimoji="1" lang="en-US" altLang="ja-JP" sz="1200" baseline="0">
              <a:solidFill>
                <a:schemeClr val="tx1"/>
              </a:solidFill>
            </a:rPr>
            <a:t> 229   Ch 1</a:t>
          </a:r>
          <a:endParaRPr kumimoji="1" lang="ja-JP" altLang="en-US" sz="1400">
            <a:solidFill>
              <a:schemeClr val="tx1"/>
            </a:solidFill>
          </a:endParaRPr>
        </a:p>
      </xdr:txBody>
    </xdr:sp>
    <xdr:clientData/>
  </xdr:twoCellAnchor>
  <xdr:twoCellAnchor>
    <xdr:from>
      <xdr:col>57</xdr:col>
      <xdr:colOff>188884</xdr:colOff>
      <xdr:row>32</xdr:row>
      <xdr:rowOff>91077</xdr:rowOff>
    </xdr:from>
    <xdr:to>
      <xdr:col>60</xdr:col>
      <xdr:colOff>132936</xdr:colOff>
      <xdr:row>32</xdr:row>
      <xdr:rowOff>91077</xdr:rowOff>
    </xdr:to>
    <xdr:cxnSp macro="">
      <xdr:nvCxnSpPr>
        <xdr:cNvPr id="15" name="直線矢印コネクタ 14">
          <a:extLst>
            <a:ext uri="{FF2B5EF4-FFF2-40B4-BE49-F238E27FC236}">
              <a16:creationId xmlns:a16="http://schemas.microsoft.com/office/drawing/2014/main" id="{497B49C1-5B67-4FA5-BE7F-55B45F2D5DB5}"/>
            </a:ext>
          </a:extLst>
        </xdr:cNvPr>
        <xdr:cNvCxnSpPr/>
      </xdr:nvCxnSpPr>
      <xdr:spPr>
        <a:xfrm>
          <a:off x="16476634" y="8187327"/>
          <a:ext cx="801302"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60</xdr:col>
      <xdr:colOff>134493</xdr:colOff>
      <xdr:row>34</xdr:row>
      <xdr:rowOff>58265</xdr:rowOff>
    </xdr:from>
    <xdr:to>
      <xdr:col>64</xdr:col>
      <xdr:colOff>95797</xdr:colOff>
      <xdr:row>36</xdr:row>
      <xdr:rowOff>117168</xdr:rowOff>
    </xdr:to>
    <xdr:sp macro="" textlink="">
      <xdr:nvSpPr>
        <xdr:cNvPr id="16" name="正方形/長方形 15">
          <a:extLst>
            <a:ext uri="{FF2B5EF4-FFF2-40B4-BE49-F238E27FC236}">
              <a16:creationId xmlns:a16="http://schemas.microsoft.com/office/drawing/2014/main" id="{6C8C3D1B-65A8-48A6-8979-088A88824053}"/>
            </a:ext>
          </a:extLst>
        </xdr:cNvPr>
        <xdr:cNvSpPr/>
      </xdr:nvSpPr>
      <xdr:spPr>
        <a:xfrm>
          <a:off x="17279493" y="8630765"/>
          <a:ext cx="1104304" cy="535153"/>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DAC</a:t>
          </a:r>
        </a:p>
        <a:p>
          <a:pPr algn="ctr"/>
          <a:r>
            <a:rPr kumimoji="1" lang="en-US" altLang="ja-JP" sz="1200">
              <a:solidFill>
                <a:schemeClr val="tx1"/>
              </a:solidFill>
            </a:rPr>
            <a:t>Tile</a:t>
          </a:r>
          <a:r>
            <a:rPr kumimoji="1" lang="en-US" altLang="ja-JP" sz="1200" baseline="0">
              <a:solidFill>
                <a:schemeClr val="tx1"/>
              </a:solidFill>
            </a:rPr>
            <a:t> 229   Ch 2</a:t>
          </a:r>
          <a:endParaRPr kumimoji="1" lang="ja-JP" altLang="en-US" sz="1400">
            <a:solidFill>
              <a:schemeClr val="tx1"/>
            </a:solidFill>
          </a:endParaRPr>
        </a:p>
      </xdr:txBody>
    </xdr:sp>
    <xdr:clientData/>
  </xdr:twoCellAnchor>
  <xdr:twoCellAnchor>
    <xdr:from>
      <xdr:col>57</xdr:col>
      <xdr:colOff>192196</xdr:colOff>
      <xdr:row>34</xdr:row>
      <xdr:rowOff>206520</xdr:rowOff>
    </xdr:from>
    <xdr:to>
      <xdr:col>60</xdr:col>
      <xdr:colOff>141218</xdr:colOff>
      <xdr:row>34</xdr:row>
      <xdr:rowOff>206520</xdr:rowOff>
    </xdr:to>
    <xdr:cxnSp macro="">
      <xdr:nvCxnSpPr>
        <xdr:cNvPr id="17" name="直線矢印コネクタ 16">
          <a:extLst>
            <a:ext uri="{FF2B5EF4-FFF2-40B4-BE49-F238E27FC236}">
              <a16:creationId xmlns:a16="http://schemas.microsoft.com/office/drawing/2014/main" id="{1726D27A-1015-4601-9429-5A362A6E40E7}"/>
            </a:ext>
          </a:extLst>
        </xdr:cNvPr>
        <xdr:cNvCxnSpPr/>
      </xdr:nvCxnSpPr>
      <xdr:spPr>
        <a:xfrm>
          <a:off x="16479946" y="8779020"/>
          <a:ext cx="806272"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60</xdr:col>
      <xdr:colOff>145810</xdr:colOff>
      <xdr:row>36</xdr:row>
      <xdr:rowOff>153019</xdr:rowOff>
    </xdr:from>
    <xdr:to>
      <xdr:col>64</xdr:col>
      <xdr:colOff>99110</xdr:colOff>
      <xdr:row>38</xdr:row>
      <xdr:rowOff>205198</xdr:rowOff>
    </xdr:to>
    <xdr:sp macro="" textlink="">
      <xdr:nvSpPr>
        <xdr:cNvPr id="18" name="正方形/長方形 17">
          <a:extLst>
            <a:ext uri="{FF2B5EF4-FFF2-40B4-BE49-F238E27FC236}">
              <a16:creationId xmlns:a16="http://schemas.microsoft.com/office/drawing/2014/main" id="{40CBEB9F-17B5-425B-901A-810EBDA78DFF}"/>
            </a:ext>
          </a:extLst>
        </xdr:cNvPr>
        <xdr:cNvSpPr/>
      </xdr:nvSpPr>
      <xdr:spPr>
        <a:xfrm>
          <a:off x="17290810" y="9201769"/>
          <a:ext cx="1096300" cy="528429"/>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DAC</a:t>
          </a:r>
        </a:p>
        <a:p>
          <a:pPr algn="ctr"/>
          <a:r>
            <a:rPr kumimoji="1" lang="en-US" altLang="ja-JP" sz="1200">
              <a:solidFill>
                <a:schemeClr val="tx1"/>
              </a:solidFill>
            </a:rPr>
            <a:t>Tile</a:t>
          </a:r>
          <a:r>
            <a:rPr kumimoji="1" lang="en-US" altLang="ja-JP" sz="1200" baseline="0">
              <a:solidFill>
                <a:schemeClr val="tx1"/>
              </a:solidFill>
            </a:rPr>
            <a:t> 229   Ch 3</a:t>
          </a:r>
          <a:endParaRPr kumimoji="1" lang="ja-JP" altLang="en-US" sz="1400">
            <a:solidFill>
              <a:schemeClr val="tx1"/>
            </a:solidFill>
          </a:endParaRPr>
        </a:p>
      </xdr:txBody>
    </xdr:sp>
    <xdr:clientData/>
  </xdr:twoCellAnchor>
  <xdr:twoCellAnchor>
    <xdr:from>
      <xdr:col>57</xdr:col>
      <xdr:colOff>195509</xdr:colOff>
      <xdr:row>37</xdr:row>
      <xdr:rowOff>83112</xdr:rowOff>
    </xdr:from>
    <xdr:to>
      <xdr:col>60</xdr:col>
      <xdr:colOff>157783</xdr:colOff>
      <xdr:row>37</xdr:row>
      <xdr:rowOff>83112</xdr:rowOff>
    </xdr:to>
    <xdr:cxnSp macro="">
      <xdr:nvCxnSpPr>
        <xdr:cNvPr id="19" name="直線矢印コネクタ 18">
          <a:extLst>
            <a:ext uri="{FF2B5EF4-FFF2-40B4-BE49-F238E27FC236}">
              <a16:creationId xmlns:a16="http://schemas.microsoft.com/office/drawing/2014/main" id="{949FB5D0-F5F8-4795-BB3F-4F5AE304409D}"/>
            </a:ext>
          </a:extLst>
        </xdr:cNvPr>
        <xdr:cNvCxnSpPr/>
      </xdr:nvCxnSpPr>
      <xdr:spPr>
        <a:xfrm>
          <a:off x="16483259" y="9369987"/>
          <a:ext cx="819524"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46</xdr:col>
      <xdr:colOff>204239</xdr:colOff>
      <xdr:row>20</xdr:row>
      <xdr:rowOff>160157</xdr:rowOff>
    </xdr:from>
    <xdr:to>
      <xdr:col>51</xdr:col>
      <xdr:colOff>180257</xdr:colOff>
      <xdr:row>24</xdr:row>
      <xdr:rowOff>200741</xdr:rowOff>
    </xdr:to>
    <xdr:sp macro="" textlink="">
      <xdr:nvSpPr>
        <xdr:cNvPr id="20" name="正方形/長方形 19">
          <a:extLst>
            <a:ext uri="{FF2B5EF4-FFF2-40B4-BE49-F238E27FC236}">
              <a16:creationId xmlns:a16="http://schemas.microsoft.com/office/drawing/2014/main" id="{03E6EF31-8E43-4008-8E15-857EB2A3AF32}"/>
            </a:ext>
          </a:extLst>
        </xdr:cNvPr>
        <xdr:cNvSpPr/>
      </xdr:nvSpPr>
      <xdr:spPr>
        <a:xfrm>
          <a:off x="13348739" y="5398907"/>
          <a:ext cx="1404768" cy="993084"/>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AWG </a:t>
          </a:r>
        </a:p>
        <a:p>
          <a:pPr algn="ctr"/>
          <a:r>
            <a:rPr kumimoji="1" lang="ja-JP" altLang="en-US" sz="1100">
              <a:solidFill>
                <a:schemeClr val="tx1"/>
              </a:solidFill>
            </a:rPr>
            <a:t>コントローラ</a:t>
          </a:r>
          <a:endParaRPr kumimoji="1" lang="en-US" altLang="ja-JP" sz="1100">
            <a:solidFill>
              <a:schemeClr val="tx1"/>
            </a:solidFill>
          </a:endParaRPr>
        </a:p>
        <a:p>
          <a:pPr algn="ctr"/>
          <a:endParaRPr kumimoji="1" lang="ja-JP" altLang="en-US" sz="1100">
            <a:solidFill>
              <a:schemeClr val="tx1"/>
            </a:solidFill>
          </a:endParaRPr>
        </a:p>
      </xdr:txBody>
    </xdr:sp>
    <xdr:clientData/>
  </xdr:twoCellAnchor>
  <xdr:twoCellAnchor>
    <xdr:from>
      <xdr:col>47</xdr:col>
      <xdr:colOff>23597</xdr:colOff>
      <xdr:row>22</xdr:row>
      <xdr:rowOff>220304</xdr:rowOff>
    </xdr:from>
    <xdr:to>
      <xdr:col>51</xdr:col>
      <xdr:colOff>90480</xdr:colOff>
      <xdr:row>24</xdr:row>
      <xdr:rowOff>75181</xdr:rowOff>
    </xdr:to>
    <xdr:sp macro="" textlink="">
      <xdr:nvSpPr>
        <xdr:cNvPr id="21" name="正方形/長方形 20">
          <a:extLst>
            <a:ext uri="{FF2B5EF4-FFF2-40B4-BE49-F238E27FC236}">
              <a16:creationId xmlns:a16="http://schemas.microsoft.com/office/drawing/2014/main" id="{93736ADE-E449-4282-8F35-BE7F76706904}"/>
            </a:ext>
          </a:extLst>
        </xdr:cNvPr>
        <xdr:cNvSpPr/>
      </xdr:nvSpPr>
      <xdr:spPr>
        <a:xfrm>
          <a:off x="13453847" y="5935304"/>
          <a:ext cx="1209883" cy="331127"/>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制御レジスタ</a:t>
          </a:r>
        </a:p>
      </xdr:txBody>
    </xdr:sp>
    <xdr:clientData/>
  </xdr:twoCellAnchor>
  <xdr:twoCellAnchor>
    <xdr:from>
      <xdr:col>51</xdr:col>
      <xdr:colOff>181279</xdr:colOff>
      <xdr:row>22</xdr:row>
      <xdr:rowOff>193287</xdr:rowOff>
    </xdr:from>
    <xdr:to>
      <xdr:col>53</xdr:col>
      <xdr:colOff>27169</xdr:colOff>
      <xdr:row>22</xdr:row>
      <xdr:rowOff>193287</xdr:rowOff>
    </xdr:to>
    <xdr:cxnSp macro="">
      <xdr:nvCxnSpPr>
        <xdr:cNvPr id="22" name="直線矢印コネクタ 21">
          <a:extLst>
            <a:ext uri="{FF2B5EF4-FFF2-40B4-BE49-F238E27FC236}">
              <a16:creationId xmlns:a16="http://schemas.microsoft.com/office/drawing/2014/main" id="{D802539D-84D8-40A1-A955-0C7EE4A39E9B}"/>
            </a:ext>
          </a:extLst>
        </xdr:cNvPr>
        <xdr:cNvCxnSpPr/>
      </xdr:nvCxnSpPr>
      <xdr:spPr>
        <a:xfrm>
          <a:off x="14754529" y="5908287"/>
          <a:ext cx="417390"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53</xdr:col>
      <xdr:colOff>25465</xdr:colOff>
      <xdr:row>21</xdr:row>
      <xdr:rowOff>30391</xdr:rowOff>
    </xdr:from>
    <xdr:to>
      <xdr:col>53</xdr:col>
      <xdr:colOff>25465</xdr:colOff>
      <xdr:row>38</xdr:row>
      <xdr:rowOff>139038</xdr:rowOff>
    </xdr:to>
    <xdr:cxnSp macro="">
      <xdr:nvCxnSpPr>
        <xdr:cNvPr id="23" name="直線コネクタ 22">
          <a:extLst>
            <a:ext uri="{FF2B5EF4-FFF2-40B4-BE49-F238E27FC236}">
              <a16:creationId xmlns:a16="http://schemas.microsoft.com/office/drawing/2014/main" id="{50872549-0EB5-4A4E-9E41-17FB6B99955F}"/>
            </a:ext>
          </a:extLst>
        </xdr:cNvPr>
        <xdr:cNvCxnSpPr/>
      </xdr:nvCxnSpPr>
      <xdr:spPr>
        <a:xfrm>
          <a:off x="15170215" y="5507266"/>
          <a:ext cx="0" cy="4156772"/>
        </a:xfrm>
        <a:prstGeom prst="line">
          <a:avLst/>
        </a:prstGeom>
        <a:ln>
          <a:solidFill>
            <a:schemeClr val="tx1"/>
          </a:solidFill>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53</xdr:col>
      <xdr:colOff>21944</xdr:colOff>
      <xdr:row>21</xdr:row>
      <xdr:rowOff>89467</xdr:rowOff>
    </xdr:from>
    <xdr:to>
      <xdr:col>55</xdr:col>
      <xdr:colOff>18631</xdr:colOff>
      <xdr:row>21</xdr:row>
      <xdr:rowOff>89467</xdr:rowOff>
    </xdr:to>
    <xdr:cxnSp macro="">
      <xdr:nvCxnSpPr>
        <xdr:cNvPr id="24" name="直線矢印コネクタ 23">
          <a:extLst>
            <a:ext uri="{FF2B5EF4-FFF2-40B4-BE49-F238E27FC236}">
              <a16:creationId xmlns:a16="http://schemas.microsoft.com/office/drawing/2014/main" id="{793A0D3A-D557-4F5E-AF86-6C819577F40C}"/>
            </a:ext>
          </a:extLst>
        </xdr:cNvPr>
        <xdr:cNvCxnSpPr/>
      </xdr:nvCxnSpPr>
      <xdr:spPr>
        <a:xfrm>
          <a:off x="15166694" y="5566342"/>
          <a:ext cx="568187"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53</xdr:col>
      <xdr:colOff>17860</xdr:colOff>
      <xdr:row>38</xdr:row>
      <xdr:rowOff>113742</xdr:rowOff>
    </xdr:from>
    <xdr:to>
      <xdr:col>55</xdr:col>
      <xdr:colOff>24716</xdr:colOff>
      <xdr:row>38</xdr:row>
      <xdr:rowOff>113742</xdr:rowOff>
    </xdr:to>
    <xdr:cxnSp macro="">
      <xdr:nvCxnSpPr>
        <xdr:cNvPr id="25" name="直線矢印コネクタ 24">
          <a:extLst>
            <a:ext uri="{FF2B5EF4-FFF2-40B4-BE49-F238E27FC236}">
              <a16:creationId xmlns:a16="http://schemas.microsoft.com/office/drawing/2014/main" id="{C34E9DC5-0B78-42BF-B70D-57930CA0B662}"/>
            </a:ext>
          </a:extLst>
        </xdr:cNvPr>
        <xdr:cNvCxnSpPr/>
      </xdr:nvCxnSpPr>
      <xdr:spPr>
        <a:xfrm>
          <a:off x="15162610" y="9638742"/>
          <a:ext cx="578356"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68121</xdr:colOff>
      <xdr:row>20</xdr:row>
      <xdr:rowOff>24984</xdr:rowOff>
    </xdr:from>
    <xdr:to>
      <xdr:col>54</xdr:col>
      <xdr:colOff>68121</xdr:colOff>
      <xdr:row>37</xdr:row>
      <xdr:rowOff>88353</xdr:rowOff>
    </xdr:to>
    <xdr:cxnSp macro="">
      <xdr:nvCxnSpPr>
        <xdr:cNvPr id="26" name="直線コネクタ 25">
          <a:extLst>
            <a:ext uri="{FF2B5EF4-FFF2-40B4-BE49-F238E27FC236}">
              <a16:creationId xmlns:a16="http://schemas.microsoft.com/office/drawing/2014/main" id="{BA66420B-D5DA-4853-A04F-FCDB0470CFB8}"/>
            </a:ext>
          </a:extLst>
        </xdr:cNvPr>
        <xdr:cNvCxnSpPr/>
      </xdr:nvCxnSpPr>
      <xdr:spPr>
        <a:xfrm>
          <a:off x="15498621" y="5263734"/>
          <a:ext cx="0" cy="4111494"/>
        </a:xfrm>
        <a:prstGeom prst="line">
          <a:avLst/>
        </a:prstGeom>
        <a:ln>
          <a:solidFill>
            <a:srgbClr val="FF0000"/>
          </a:solidFill>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57</xdr:col>
      <xdr:colOff>121284</xdr:colOff>
      <xdr:row>21</xdr:row>
      <xdr:rowOff>98537</xdr:rowOff>
    </xdr:from>
    <xdr:to>
      <xdr:col>59</xdr:col>
      <xdr:colOff>19214</xdr:colOff>
      <xdr:row>21</xdr:row>
      <xdr:rowOff>98537</xdr:rowOff>
    </xdr:to>
    <xdr:cxnSp macro="">
      <xdr:nvCxnSpPr>
        <xdr:cNvPr id="28" name="直線矢印コネクタ 27">
          <a:extLst>
            <a:ext uri="{FF2B5EF4-FFF2-40B4-BE49-F238E27FC236}">
              <a16:creationId xmlns:a16="http://schemas.microsoft.com/office/drawing/2014/main" id="{4120BBBB-09FE-45FF-A4F1-0A197B31A4E5}"/>
            </a:ext>
          </a:extLst>
        </xdr:cNvPr>
        <xdr:cNvCxnSpPr/>
      </xdr:nvCxnSpPr>
      <xdr:spPr>
        <a:xfrm>
          <a:off x="16409034" y="5575412"/>
          <a:ext cx="469430"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59</xdr:col>
      <xdr:colOff>22552</xdr:colOff>
      <xdr:row>21</xdr:row>
      <xdr:rowOff>45880</xdr:rowOff>
    </xdr:from>
    <xdr:to>
      <xdr:col>59</xdr:col>
      <xdr:colOff>22552</xdr:colOff>
      <xdr:row>40</xdr:row>
      <xdr:rowOff>7868</xdr:rowOff>
    </xdr:to>
    <xdr:cxnSp macro="">
      <xdr:nvCxnSpPr>
        <xdr:cNvPr id="29" name="直線コネクタ 28">
          <a:extLst>
            <a:ext uri="{FF2B5EF4-FFF2-40B4-BE49-F238E27FC236}">
              <a16:creationId xmlns:a16="http://schemas.microsoft.com/office/drawing/2014/main" id="{537292C7-F7D5-4DCE-ACC0-217007580FA0}"/>
            </a:ext>
          </a:extLst>
        </xdr:cNvPr>
        <xdr:cNvCxnSpPr/>
      </xdr:nvCxnSpPr>
      <xdr:spPr>
        <a:xfrm>
          <a:off x="16881802" y="5522755"/>
          <a:ext cx="0" cy="4486363"/>
        </a:xfrm>
        <a:prstGeom prst="line">
          <a:avLst/>
        </a:prstGeom>
        <a:ln>
          <a:solidFill>
            <a:srgbClr val="00B050"/>
          </a:solidFill>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57</xdr:col>
      <xdr:colOff>109378</xdr:colOff>
      <xdr:row>23</xdr:row>
      <xdr:rowOff>198550</xdr:rowOff>
    </xdr:from>
    <xdr:to>
      <xdr:col>59</xdr:col>
      <xdr:colOff>16833</xdr:colOff>
      <xdr:row>23</xdr:row>
      <xdr:rowOff>198550</xdr:rowOff>
    </xdr:to>
    <xdr:cxnSp macro="">
      <xdr:nvCxnSpPr>
        <xdr:cNvPr id="30" name="直線矢印コネクタ 29">
          <a:extLst>
            <a:ext uri="{FF2B5EF4-FFF2-40B4-BE49-F238E27FC236}">
              <a16:creationId xmlns:a16="http://schemas.microsoft.com/office/drawing/2014/main" id="{0C7E0043-2D4F-4FDF-97BC-F343AFF5FA8F}"/>
            </a:ext>
          </a:extLst>
        </xdr:cNvPr>
        <xdr:cNvCxnSpPr/>
      </xdr:nvCxnSpPr>
      <xdr:spPr>
        <a:xfrm>
          <a:off x="16397128" y="6151675"/>
          <a:ext cx="478955"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57</xdr:col>
      <xdr:colOff>128428</xdr:colOff>
      <xdr:row>26</xdr:row>
      <xdr:rowOff>50832</xdr:rowOff>
    </xdr:from>
    <xdr:to>
      <xdr:col>59</xdr:col>
      <xdr:colOff>26358</xdr:colOff>
      <xdr:row>26</xdr:row>
      <xdr:rowOff>50832</xdr:rowOff>
    </xdr:to>
    <xdr:cxnSp macro="">
      <xdr:nvCxnSpPr>
        <xdr:cNvPr id="31" name="直線矢印コネクタ 30">
          <a:extLst>
            <a:ext uri="{FF2B5EF4-FFF2-40B4-BE49-F238E27FC236}">
              <a16:creationId xmlns:a16="http://schemas.microsoft.com/office/drawing/2014/main" id="{F408E7D2-DFDC-4839-A96E-2D450F296138}"/>
            </a:ext>
          </a:extLst>
        </xdr:cNvPr>
        <xdr:cNvCxnSpPr/>
      </xdr:nvCxnSpPr>
      <xdr:spPr>
        <a:xfrm>
          <a:off x="16416178" y="6718332"/>
          <a:ext cx="469430"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57</xdr:col>
      <xdr:colOff>120094</xdr:colOff>
      <xdr:row>28</xdr:row>
      <xdr:rowOff>179498</xdr:rowOff>
    </xdr:from>
    <xdr:to>
      <xdr:col>59</xdr:col>
      <xdr:colOff>18024</xdr:colOff>
      <xdr:row>28</xdr:row>
      <xdr:rowOff>179498</xdr:rowOff>
    </xdr:to>
    <xdr:cxnSp macro="">
      <xdr:nvCxnSpPr>
        <xdr:cNvPr id="32" name="直線矢印コネクタ 31">
          <a:extLst>
            <a:ext uri="{FF2B5EF4-FFF2-40B4-BE49-F238E27FC236}">
              <a16:creationId xmlns:a16="http://schemas.microsoft.com/office/drawing/2014/main" id="{1F60FB15-B32C-416A-AF83-B572C5EE82E3}"/>
            </a:ext>
          </a:extLst>
        </xdr:cNvPr>
        <xdr:cNvCxnSpPr/>
      </xdr:nvCxnSpPr>
      <xdr:spPr>
        <a:xfrm>
          <a:off x="16407844" y="7323248"/>
          <a:ext cx="469430"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57</xdr:col>
      <xdr:colOff>123666</xdr:colOff>
      <xdr:row>31</xdr:row>
      <xdr:rowOff>37816</xdr:rowOff>
    </xdr:from>
    <xdr:to>
      <xdr:col>59</xdr:col>
      <xdr:colOff>21596</xdr:colOff>
      <xdr:row>31</xdr:row>
      <xdr:rowOff>37816</xdr:rowOff>
    </xdr:to>
    <xdr:cxnSp macro="">
      <xdr:nvCxnSpPr>
        <xdr:cNvPr id="33" name="直線矢印コネクタ 32">
          <a:extLst>
            <a:ext uri="{FF2B5EF4-FFF2-40B4-BE49-F238E27FC236}">
              <a16:creationId xmlns:a16="http://schemas.microsoft.com/office/drawing/2014/main" id="{1948A2A1-1ACA-4E12-BFFA-FE35CE070B45}"/>
            </a:ext>
          </a:extLst>
        </xdr:cNvPr>
        <xdr:cNvCxnSpPr/>
      </xdr:nvCxnSpPr>
      <xdr:spPr>
        <a:xfrm>
          <a:off x="16411416" y="7895941"/>
          <a:ext cx="469430"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57</xdr:col>
      <xdr:colOff>121284</xdr:colOff>
      <xdr:row>33</xdr:row>
      <xdr:rowOff>115517</xdr:rowOff>
    </xdr:from>
    <xdr:to>
      <xdr:col>59</xdr:col>
      <xdr:colOff>19214</xdr:colOff>
      <xdr:row>33</xdr:row>
      <xdr:rowOff>115517</xdr:rowOff>
    </xdr:to>
    <xdr:cxnSp macro="">
      <xdr:nvCxnSpPr>
        <xdr:cNvPr id="34" name="直線矢印コネクタ 33">
          <a:extLst>
            <a:ext uri="{FF2B5EF4-FFF2-40B4-BE49-F238E27FC236}">
              <a16:creationId xmlns:a16="http://schemas.microsoft.com/office/drawing/2014/main" id="{22978210-593A-4C43-92CF-7F1A258FC18F}"/>
            </a:ext>
          </a:extLst>
        </xdr:cNvPr>
        <xdr:cNvCxnSpPr/>
      </xdr:nvCxnSpPr>
      <xdr:spPr>
        <a:xfrm>
          <a:off x="16409034" y="8449892"/>
          <a:ext cx="469430"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57</xdr:col>
      <xdr:colOff>124856</xdr:colOff>
      <xdr:row>35</xdr:row>
      <xdr:rowOff>229962</xdr:rowOff>
    </xdr:from>
    <xdr:to>
      <xdr:col>59</xdr:col>
      <xdr:colOff>22786</xdr:colOff>
      <xdr:row>35</xdr:row>
      <xdr:rowOff>229962</xdr:rowOff>
    </xdr:to>
    <xdr:cxnSp macro="">
      <xdr:nvCxnSpPr>
        <xdr:cNvPr id="35" name="直線矢印コネクタ 34">
          <a:extLst>
            <a:ext uri="{FF2B5EF4-FFF2-40B4-BE49-F238E27FC236}">
              <a16:creationId xmlns:a16="http://schemas.microsoft.com/office/drawing/2014/main" id="{27685933-8B33-4F29-A2AB-B1C38BA3AF1D}"/>
            </a:ext>
          </a:extLst>
        </xdr:cNvPr>
        <xdr:cNvCxnSpPr/>
      </xdr:nvCxnSpPr>
      <xdr:spPr>
        <a:xfrm>
          <a:off x="16412606" y="9040587"/>
          <a:ext cx="469430"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57</xdr:col>
      <xdr:colOff>122475</xdr:colOff>
      <xdr:row>38</xdr:row>
      <xdr:rowOff>121929</xdr:rowOff>
    </xdr:from>
    <xdr:to>
      <xdr:col>59</xdr:col>
      <xdr:colOff>20405</xdr:colOff>
      <xdr:row>38</xdr:row>
      <xdr:rowOff>121929</xdr:rowOff>
    </xdr:to>
    <xdr:cxnSp macro="">
      <xdr:nvCxnSpPr>
        <xdr:cNvPr id="36" name="直線矢印コネクタ 35">
          <a:extLst>
            <a:ext uri="{FF2B5EF4-FFF2-40B4-BE49-F238E27FC236}">
              <a16:creationId xmlns:a16="http://schemas.microsoft.com/office/drawing/2014/main" id="{D07FE484-E3C4-4132-9E7F-C80299B17DB1}"/>
            </a:ext>
          </a:extLst>
        </xdr:cNvPr>
        <xdr:cNvCxnSpPr/>
      </xdr:nvCxnSpPr>
      <xdr:spPr>
        <a:xfrm>
          <a:off x="16410225" y="9646929"/>
          <a:ext cx="469430"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55</xdr:col>
      <xdr:colOff>25960</xdr:colOff>
      <xdr:row>19</xdr:row>
      <xdr:rowOff>191032</xdr:rowOff>
    </xdr:from>
    <xdr:to>
      <xdr:col>57</xdr:col>
      <xdr:colOff>262404</xdr:colOff>
      <xdr:row>21</xdr:row>
      <xdr:rowOff>161307</xdr:rowOff>
    </xdr:to>
    <xdr:sp macro="" textlink="">
      <xdr:nvSpPr>
        <xdr:cNvPr id="37" name="正方形/長方形 36">
          <a:extLst>
            <a:ext uri="{FF2B5EF4-FFF2-40B4-BE49-F238E27FC236}">
              <a16:creationId xmlns:a16="http://schemas.microsoft.com/office/drawing/2014/main" id="{21AFD589-FFCD-464A-A9D0-A8C5D6C04CA6}"/>
            </a:ext>
          </a:extLst>
        </xdr:cNvPr>
        <xdr:cNvSpPr/>
      </xdr:nvSpPr>
      <xdr:spPr>
        <a:xfrm>
          <a:off x="15742210" y="5191657"/>
          <a:ext cx="807944" cy="446525"/>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AWG 0</a:t>
          </a:r>
          <a:endParaRPr kumimoji="1" lang="ja-JP" altLang="en-US" sz="1200">
            <a:solidFill>
              <a:schemeClr val="tx1"/>
            </a:solidFill>
          </a:endParaRPr>
        </a:p>
      </xdr:txBody>
    </xdr:sp>
    <xdr:clientData/>
  </xdr:twoCellAnchor>
  <xdr:twoCellAnchor>
    <xdr:from>
      <xdr:col>55</xdr:col>
      <xdr:colOff>20991</xdr:colOff>
      <xdr:row>22</xdr:row>
      <xdr:rowOff>47629</xdr:rowOff>
    </xdr:from>
    <xdr:to>
      <xdr:col>57</xdr:col>
      <xdr:colOff>249431</xdr:colOff>
      <xdr:row>24</xdr:row>
      <xdr:rowOff>19431</xdr:rowOff>
    </xdr:to>
    <xdr:sp macro="" textlink="">
      <xdr:nvSpPr>
        <xdr:cNvPr id="38" name="正方形/長方形 37">
          <a:extLst>
            <a:ext uri="{FF2B5EF4-FFF2-40B4-BE49-F238E27FC236}">
              <a16:creationId xmlns:a16="http://schemas.microsoft.com/office/drawing/2014/main" id="{2A626AF9-913D-42E4-923A-B842226F80BC}"/>
            </a:ext>
          </a:extLst>
        </xdr:cNvPr>
        <xdr:cNvSpPr/>
      </xdr:nvSpPr>
      <xdr:spPr>
        <a:xfrm>
          <a:off x="15737241" y="5762629"/>
          <a:ext cx="799940" cy="448052"/>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AWG 1</a:t>
          </a:r>
          <a:endParaRPr kumimoji="1" lang="ja-JP" altLang="en-US" sz="1200">
            <a:solidFill>
              <a:schemeClr val="tx1"/>
            </a:solidFill>
          </a:endParaRPr>
        </a:p>
      </xdr:txBody>
    </xdr:sp>
    <xdr:clientData/>
  </xdr:twoCellAnchor>
  <xdr:twoCellAnchor>
    <xdr:from>
      <xdr:col>55</xdr:col>
      <xdr:colOff>24303</xdr:colOff>
      <xdr:row>24</xdr:row>
      <xdr:rowOff>174778</xdr:rowOff>
    </xdr:from>
    <xdr:to>
      <xdr:col>57</xdr:col>
      <xdr:colOff>260747</xdr:colOff>
      <xdr:row>26</xdr:row>
      <xdr:rowOff>123201</xdr:rowOff>
    </xdr:to>
    <xdr:sp macro="" textlink="">
      <xdr:nvSpPr>
        <xdr:cNvPr id="39" name="正方形/長方形 38">
          <a:extLst>
            <a:ext uri="{FF2B5EF4-FFF2-40B4-BE49-F238E27FC236}">
              <a16:creationId xmlns:a16="http://schemas.microsoft.com/office/drawing/2014/main" id="{BA9FE93C-0AF5-4B9F-B498-FCEBA29C4227}"/>
            </a:ext>
          </a:extLst>
        </xdr:cNvPr>
        <xdr:cNvSpPr/>
      </xdr:nvSpPr>
      <xdr:spPr>
        <a:xfrm>
          <a:off x="15740553" y="6366028"/>
          <a:ext cx="807944" cy="424673"/>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AWG 2</a:t>
          </a:r>
          <a:endParaRPr kumimoji="1" lang="ja-JP" altLang="en-US" sz="1200">
            <a:solidFill>
              <a:schemeClr val="tx1"/>
            </a:solidFill>
          </a:endParaRPr>
        </a:p>
      </xdr:txBody>
    </xdr:sp>
    <xdr:clientData/>
  </xdr:twoCellAnchor>
  <xdr:twoCellAnchor>
    <xdr:from>
      <xdr:col>55</xdr:col>
      <xdr:colOff>27616</xdr:colOff>
      <xdr:row>27</xdr:row>
      <xdr:rowOff>29514</xdr:rowOff>
    </xdr:from>
    <xdr:to>
      <xdr:col>57</xdr:col>
      <xdr:colOff>264060</xdr:colOff>
      <xdr:row>28</xdr:row>
      <xdr:rowOff>237913</xdr:rowOff>
    </xdr:to>
    <xdr:sp macro="" textlink="">
      <xdr:nvSpPr>
        <xdr:cNvPr id="40" name="正方形/長方形 39">
          <a:extLst>
            <a:ext uri="{FF2B5EF4-FFF2-40B4-BE49-F238E27FC236}">
              <a16:creationId xmlns:a16="http://schemas.microsoft.com/office/drawing/2014/main" id="{E8E3117E-66DF-4623-9F2B-8D1A2AA727A8}"/>
            </a:ext>
          </a:extLst>
        </xdr:cNvPr>
        <xdr:cNvSpPr/>
      </xdr:nvSpPr>
      <xdr:spPr>
        <a:xfrm>
          <a:off x="15743866" y="6935139"/>
          <a:ext cx="807944" cy="446524"/>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AWG 3</a:t>
          </a:r>
          <a:endParaRPr kumimoji="1" lang="ja-JP" altLang="en-US" sz="1200">
            <a:solidFill>
              <a:schemeClr val="tx1"/>
            </a:solidFill>
          </a:endParaRPr>
        </a:p>
      </xdr:txBody>
    </xdr:sp>
    <xdr:clientData/>
  </xdr:twoCellAnchor>
  <xdr:twoCellAnchor>
    <xdr:from>
      <xdr:col>55</xdr:col>
      <xdr:colOff>20990</xdr:colOff>
      <xdr:row>29</xdr:row>
      <xdr:rowOff>132106</xdr:rowOff>
    </xdr:from>
    <xdr:to>
      <xdr:col>57</xdr:col>
      <xdr:colOff>249430</xdr:colOff>
      <xdr:row>31</xdr:row>
      <xdr:rowOff>103909</xdr:rowOff>
    </xdr:to>
    <xdr:sp macro="" textlink="">
      <xdr:nvSpPr>
        <xdr:cNvPr id="41" name="正方形/長方形 40">
          <a:extLst>
            <a:ext uri="{FF2B5EF4-FFF2-40B4-BE49-F238E27FC236}">
              <a16:creationId xmlns:a16="http://schemas.microsoft.com/office/drawing/2014/main" id="{FC58578A-B402-4D82-B9CB-0BD8CAF19784}"/>
            </a:ext>
          </a:extLst>
        </xdr:cNvPr>
        <xdr:cNvSpPr/>
      </xdr:nvSpPr>
      <xdr:spPr>
        <a:xfrm>
          <a:off x="15737240" y="7513981"/>
          <a:ext cx="799940" cy="448053"/>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AWG 4</a:t>
          </a:r>
          <a:endParaRPr kumimoji="1" lang="ja-JP" altLang="en-US" sz="1200">
            <a:solidFill>
              <a:schemeClr val="tx1"/>
            </a:solidFill>
          </a:endParaRPr>
        </a:p>
      </xdr:txBody>
    </xdr:sp>
    <xdr:clientData/>
  </xdr:twoCellAnchor>
  <xdr:twoCellAnchor>
    <xdr:from>
      <xdr:col>55</xdr:col>
      <xdr:colOff>16021</xdr:colOff>
      <xdr:row>32</xdr:row>
      <xdr:rowOff>2082</xdr:rowOff>
    </xdr:from>
    <xdr:to>
      <xdr:col>57</xdr:col>
      <xdr:colOff>240539</xdr:colOff>
      <xdr:row>33</xdr:row>
      <xdr:rowOff>207679</xdr:rowOff>
    </xdr:to>
    <xdr:sp macro="" textlink="">
      <xdr:nvSpPr>
        <xdr:cNvPr id="42" name="正方形/長方形 41">
          <a:extLst>
            <a:ext uri="{FF2B5EF4-FFF2-40B4-BE49-F238E27FC236}">
              <a16:creationId xmlns:a16="http://schemas.microsoft.com/office/drawing/2014/main" id="{5B3678FA-95ED-49CF-A6C6-B3EC758E7010}"/>
            </a:ext>
          </a:extLst>
        </xdr:cNvPr>
        <xdr:cNvSpPr/>
      </xdr:nvSpPr>
      <xdr:spPr>
        <a:xfrm>
          <a:off x="15732271" y="8098332"/>
          <a:ext cx="796018" cy="443722"/>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AWG 5</a:t>
          </a:r>
          <a:endParaRPr kumimoji="1" lang="ja-JP" altLang="en-US" sz="1200">
            <a:solidFill>
              <a:schemeClr val="tx1"/>
            </a:solidFill>
          </a:endParaRPr>
        </a:p>
      </xdr:txBody>
    </xdr:sp>
    <xdr:clientData/>
  </xdr:twoCellAnchor>
  <xdr:twoCellAnchor>
    <xdr:from>
      <xdr:col>55</xdr:col>
      <xdr:colOff>19333</xdr:colOff>
      <xdr:row>34</xdr:row>
      <xdr:rowOff>121122</xdr:rowOff>
    </xdr:from>
    <xdr:to>
      <xdr:col>57</xdr:col>
      <xdr:colOff>243851</xdr:colOff>
      <xdr:row>36</xdr:row>
      <xdr:rowOff>84266</xdr:rowOff>
    </xdr:to>
    <xdr:sp macro="" textlink="">
      <xdr:nvSpPr>
        <xdr:cNvPr id="43" name="正方形/長方形 42">
          <a:extLst>
            <a:ext uri="{FF2B5EF4-FFF2-40B4-BE49-F238E27FC236}">
              <a16:creationId xmlns:a16="http://schemas.microsoft.com/office/drawing/2014/main" id="{4AB74AE7-73AF-4C21-AE4C-1CFF5A818DE3}"/>
            </a:ext>
          </a:extLst>
        </xdr:cNvPr>
        <xdr:cNvSpPr/>
      </xdr:nvSpPr>
      <xdr:spPr>
        <a:xfrm>
          <a:off x="15735583" y="8693622"/>
          <a:ext cx="796018" cy="439394"/>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AWG 6</a:t>
          </a:r>
          <a:endParaRPr kumimoji="1" lang="ja-JP" altLang="en-US" sz="1200">
            <a:solidFill>
              <a:schemeClr val="tx1"/>
            </a:solidFill>
          </a:endParaRPr>
        </a:p>
      </xdr:txBody>
    </xdr:sp>
    <xdr:clientData/>
  </xdr:twoCellAnchor>
  <xdr:twoCellAnchor>
    <xdr:from>
      <xdr:col>55</xdr:col>
      <xdr:colOff>22646</xdr:colOff>
      <xdr:row>36</xdr:row>
      <xdr:rowOff>200430</xdr:rowOff>
    </xdr:from>
    <xdr:to>
      <xdr:col>57</xdr:col>
      <xdr:colOff>251086</xdr:colOff>
      <xdr:row>38</xdr:row>
      <xdr:rowOff>217227</xdr:rowOff>
    </xdr:to>
    <xdr:sp macro="" textlink="">
      <xdr:nvSpPr>
        <xdr:cNvPr id="44" name="正方形/長方形 43">
          <a:extLst>
            <a:ext uri="{FF2B5EF4-FFF2-40B4-BE49-F238E27FC236}">
              <a16:creationId xmlns:a16="http://schemas.microsoft.com/office/drawing/2014/main" id="{31209245-8D54-4252-A390-5CEAB568FAA5}"/>
            </a:ext>
          </a:extLst>
        </xdr:cNvPr>
        <xdr:cNvSpPr/>
      </xdr:nvSpPr>
      <xdr:spPr>
        <a:xfrm>
          <a:off x="15738896" y="9249180"/>
          <a:ext cx="799940" cy="493047"/>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AWG 7</a:t>
          </a:r>
          <a:endParaRPr kumimoji="1" lang="ja-JP" altLang="en-US" sz="1200">
            <a:solidFill>
              <a:schemeClr val="tx1"/>
            </a:solidFill>
          </a:endParaRPr>
        </a:p>
      </xdr:txBody>
    </xdr:sp>
    <xdr:clientData/>
  </xdr:twoCellAnchor>
  <xdr:twoCellAnchor>
    <xdr:from>
      <xdr:col>54</xdr:col>
      <xdr:colOff>74393</xdr:colOff>
      <xdr:row>20</xdr:row>
      <xdr:rowOff>36908</xdr:rowOff>
    </xdr:from>
    <xdr:to>
      <xdr:col>55</xdr:col>
      <xdr:colOff>7207</xdr:colOff>
      <xdr:row>20</xdr:row>
      <xdr:rowOff>36908</xdr:rowOff>
    </xdr:to>
    <xdr:cxnSp macro="">
      <xdr:nvCxnSpPr>
        <xdr:cNvPr id="45" name="直線矢印コネクタ 44">
          <a:extLst>
            <a:ext uri="{FF2B5EF4-FFF2-40B4-BE49-F238E27FC236}">
              <a16:creationId xmlns:a16="http://schemas.microsoft.com/office/drawing/2014/main" id="{0E6E6528-6DB6-4F0B-8BFE-CA0579AFD4A6}"/>
            </a:ext>
          </a:extLst>
        </xdr:cNvPr>
        <xdr:cNvCxnSpPr/>
      </xdr:nvCxnSpPr>
      <xdr:spPr>
        <a:xfrm>
          <a:off x="15504893" y="5275658"/>
          <a:ext cx="218564"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72012</xdr:colOff>
      <xdr:row>22</xdr:row>
      <xdr:rowOff>156051</xdr:rowOff>
    </xdr:from>
    <xdr:to>
      <xdr:col>55</xdr:col>
      <xdr:colOff>4826</xdr:colOff>
      <xdr:row>22</xdr:row>
      <xdr:rowOff>156051</xdr:rowOff>
    </xdr:to>
    <xdr:cxnSp macro="">
      <xdr:nvCxnSpPr>
        <xdr:cNvPr id="46" name="直線矢印コネクタ 45">
          <a:extLst>
            <a:ext uri="{FF2B5EF4-FFF2-40B4-BE49-F238E27FC236}">
              <a16:creationId xmlns:a16="http://schemas.microsoft.com/office/drawing/2014/main" id="{79EC2135-3946-42FE-9FB9-8B6EB0616DD4}"/>
            </a:ext>
          </a:extLst>
        </xdr:cNvPr>
        <xdr:cNvCxnSpPr/>
      </xdr:nvCxnSpPr>
      <xdr:spPr>
        <a:xfrm>
          <a:off x="15502512" y="5871051"/>
          <a:ext cx="218564"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81537</xdr:colOff>
      <xdr:row>25</xdr:row>
      <xdr:rowOff>25932</xdr:rowOff>
    </xdr:from>
    <xdr:to>
      <xdr:col>55</xdr:col>
      <xdr:colOff>14351</xdr:colOff>
      <xdr:row>25</xdr:row>
      <xdr:rowOff>25932</xdr:rowOff>
    </xdr:to>
    <xdr:cxnSp macro="">
      <xdr:nvCxnSpPr>
        <xdr:cNvPr id="47" name="直線矢印コネクタ 46">
          <a:extLst>
            <a:ext uri="{FF2B5EF4-FFF2-40B4-BE49-F238E27FC236}">
              <a16:creationId xmlns:a16="http://schemas.microsoft.com/office/drawing/2014/main" id="{08BED102-9250-499C-887A-77C12EFA7AF8}"/>
            </a:ext>
          </a:extLst>
        </xdr:cNvPr>
        <xdr:cNvCxnSpPr/>
      </xdr:nvCxnSpPr>
      <xdr:spPr>
        <a:xfrm>
          <a:off x="15512037" y="6455307"/>
          <a:ext cx="218564"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73203</xdr:colOff>
      <xdr:row>27</xdr:row>
      <xdr:rowOff>117871</xdr:rowOff>
    </xdr:from>
    <xdr:to>
      <xdr:col>55</xdr:col>
      <xdr:colOff>6017</xdr:colOff>
      <xdr:row>27</xdr:row>
      <xdr:rowOff>117871</xdr:rowOff>
    </xdr:to>
    <xdr:cxnSp macro="">
      <xdr:nvCxnSpPr>
        <xdr:cNvPr id="48" name="直線矢印コネクタ 47">
          <a:extLst>
            <a:ext uri="{FF2B5EF4-FFF2-40B4-BE49-F238E27FC236}">
              <a16:creationId xmlns:a16="http://schemas.microsoft.com/office/drawing/2014/main" id="{E41FCD33-DAB3-4604-A04F-A971C7F25B78}"/>
            </a:ext>
          </a:extLst>
        </xdr:cNvPr>
        <xdr:cNvCxnSpPr/>
      </xdr:nvCxnSpPr>
      <xdr:spPr>
        <a:xfrm>
          <a:off x="15503703" y="7023496"/>
          <a:ext cx="218564"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76775</xdr:colOff>
      <xdr:row>29</xdr:row>
      <xdr:rowOff>233442</xdr:rowOff>
    </xdr:from>
    <xdr:to>
      <xdr:col>55</xdr:col>
      <xdr:colOff>9589</xdr:colOff>
      <xdr:row>29</xdr:row>
      <xdr:rowOff>233442</xdr:rowOff>
    </xdr:to>
    <xdr:cxnSp macro="">
      <xdr:nvCxnSpPr>
        <xdr:cNvPr id="49" name="直線矢印コネクタ 48">
          <a:extLst>
            <a:ext uri="{FF2B5EF4-FFF2-40B4-BE49-F238E27FC236}">
              <a16:creationId xmlns:a16="http://schemas.microsoft.com/office/drawing/2014/main" id="{B257B6B4-C6B9-403D-9E3C-66B6991FBE70}"/>
            </a:ext>
          </a:extLst>
        </xdr:cNvPr>
        <xdr:cNvCxnSpPr/>
      </xdr:nvCxnSpPr>
      <xdr:spPr>
        <a:xfrm>
          <a:off x="15507275" y="7615317"/>
          <a:ext cx="218564"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74393</xdr:colOff>
      <xdr:row>32</xdr:row>
      <xdr:rowOff>100940</xdr:rowOff>
    </xdr:from>
    <xdr:to>
      <xdr:col>55</xdr:col>
      <xdr:colOff>7207</xdr:colOff>
      <xdr:row>32</xdr:row>
      <xdr:rowOff>100940</xdr:rowOff>
    </xdr:to>
    <xdr:cxnSp macro="">
      <xdr:nvCxnSpPr>
        <xdr:cNvPr id="50" name="直線矢印コネクタ 49">
          <a:extLst>
            <a:ext uri="{FF2B5EF4-FFF2-40B4-BE49-F238E27FC236}">
              <a16:creationId xmlns:a16="http://schemas.microsoft.com/office/drawing/2014/main" id="{1FEAC3B7-3CE6-4BE1-AEEF-EFA6F42438A1}"/>
            </a:ext>
          </a:extLst>
        </xdr:cNvPr>
        <xdr:cNvCxnSpPr/>
      </xdr:nvCxnSpPr>
      <xdr:spPr>
        <a:xfrm>
          <a:off x="15504893" y="8197190"/>
          <a:ext cx="218564"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77965</xdr:colOff>
      <xdr:row>34</xdr:row>
      <xdr:rowOff>216773</xdr:rowOff>
    </xdr:from>
    <xdr:to>
      <xdr:col>55</xdr:col>
      <xdr:colOff>10779</xdr:colOff>
      <xdr:row>34</xdr:row>
      <xdr:rowOff>216773</xdr:rowOff>
    </xdr:to>
    <xdr:cxnSp macro="">
      <xdr:nvCxnSpPr>
        <xdr:cNvPr id="51" name="直線矢印コネクタ 50">
          <a:extLst>
            <a:ext uri="{FF2B5EF4-FFF2-40B4-BE49-F238E27FC236}">
              <a16:creationId xmlns:a16="http://schemas.microsoft.com/office/drawing/2014/main" id="{A67CB0EE-A8D4-4C38-B677-72D2BE3D8A61}"/>
            </a:ext>
          </a:extLst>
        </xdr:cNvPr>
        <xdr:cNvCxnSpPr/>
      </xdr:nvCxnSpPr>
      <xdr:spPr>
        <a:xfrm>
          <a:off x="15508465" y="8789273"/>
          <a:ext cx="218564"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75584</xdr:colOff>
      <xdr:row>37</xdr:row>
      <xdr:rowOff>82233</xdr:rowOff>
    </xdr:from>
    <xdr:to>
      <xdr:col>55</xdr:col>
      <xdr:colOff>8398</xdr:colOff>
      <xdr:row>37</xdr:row>
      <xdr:rowOff>82233</xdr:rowOff>
    </xdr:to>
    <xdr:cxnSp macro="">
      <xdr:nvCxnSpPr>
        <xdr:cNvPr id="52" name="直線矢印コネクタ 51">
          <a:extLst>
            <a:ext uri="{FF2B5EF4-FFF2-40B4-BE49-F238E27FC236}">
              <a16:creationId xmlns:a16="http://schemas.microsoft.com/office/drawing/2014/main" id="{9ECF8143-5A47-4820-8A1D-FE1FE5D18FFD}"/>
            </a:ext>
          </a:extLst>
        </xdr:cNvPr>
        <xdr:cNvCxnSpPr/>
      </xdr:nvCxnSpPr>
      <xdr:spPr>
        <a:xfrm>
          <a:off x="15506084" y="9369108"/>
          <a:ext cx="218564"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46</xdr:col>
      <xdr:colOff>276044</xdr:colOff>
      <xdr:row>40</xdr:row>
      <xdr:rowOff>161321</xdr:rowOff>
    </xdr:from>
    <xdr:to>
      <xdr:col>52</xdr:col>
      <xdr:colOff>52191</xdr:colOff>
      <xdr:row>44</xdr:row>
      <xdr:rowOff>235085</xdr:rowOff>
    </xdr:to>
    <xdr:sp macro="" textlink="">
      <xdr:nvSpPr>
        <xdr:cNvPr id="53" name="正方形/長方形 52">
          <a:extLst>
            <a:ext uri="{FF2B5EF4-FFF2-40B4-BE49-F238E27FC236}">
              <a16:creationId xmlns:a16="http://schemas.microsoft.com/office/drawing/2014/main" id="{7C58330C-86CE-4EED-ABDE-49918DC0BF11}"/>
            </a:ext>
          </a:extLst>
        </xdr:cNvPr>
        <xdr:cNvSpPr/>
      </xdr:nvSpPr>
      <xdr:spPr>
        <a:xfrm>
          <a:off x="13420544" y="10162571"/>
          <a:ext cx="1490647" cy="1026264"/>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100">
              <a:solidFill>
                <a:schemeClr val="tx1"/>
              </a:solidFill>
            </a:rPr>
            <a:t>ディジタル出力</a:t>
          </a:r>
          <a:endParaRPr kumimoji="1" lang="en-US" altLang="ja-JP" sz="1100">
            <a:solidFill>
              <a:schemeClr val="tx1"/>
            </a:solidFill>
          </a:endParaRPr>
        </a:p>
        <a:p>
          <a:pPr algn="ctr"/>
          <a:r>
            <a:rPr kumimoji="1" lang="ja-JP" altLang="en-US" sz="1100">
              <a:solidFill>
                <a:schemeClr val="tx1"/>
              </a:solidFill>
            </a:rPr>
            <a:t>コントローラ</a:t>
          </a:r>
          <a:endParaRPr kumimoji="1" lang="en-US" altLang="ja-JP" sz="1100">
            <a:solidFill>
              <a:schemeClr val="tx1"/>
            </a:solidFill>
          </a:endParaRPr>
        </a:p>
        <a:p>
          <a:pPr algn="ctr"/>
          <a:endParaRPr kumimoji="1" lang="ja-JP" altLang="en-US" sz="1100">
            <a:solidFill>
              <a:schemeClr val="tx1"/>
            </a:solidFill>
          </a:endParaRPr>
        </a:p>
      </xdr:txBody>
    </xdr:sp>
    <xdr:clientData/>
  </xdr:twoCellAnchor>
  <xdr:twoCellAnchor>
    <xdr:from>
      <xdr:col>47</xdr:col>
      <xdr:colOff>140197</xdr:colOff>
      <xdr:row>43</xdr:row>
      <xdr:rowOff>44969</xdr:rowOff>
    </xdr:from>
    <xdr:to>
      <xdr:col>51</xdr:col>
      <xdr:colOff>175606</xdr:colOff>
      <xdr:row>44</xdr:row>
      <xdr:rowOff>145633</xdr:rowOff>
    </xdr:to>
    <xdr:sp macro="" textlink="">
      <xdr:nvSpPr>
        <xdr:cNvPr id="54" name="正方形/長方形 53">
          <a:extLst>
            <a:ext uri="{FF2B5EF4-FFF2-40B4-BE49-F238E27FC236}">
              <a16:creationId xmlns:a16="http://schemas.microsoft.com/office/drawing/2014/main" id="{47038D67-A728-49F0-A90A-E79F3B745AAC}"/>
            </a:ext>
          </a:extLst>
        </xdr:cNvPr>
        <xdr:cNvSpPr/>
      </xdr:nvSpPr>
      <xdr:spPr>
        <a:xfrm>
          <a:off x="13570447" y="10760594"/>
          <a:ext cx="1178409" cy="338789"/>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制御レジスタ</a:t>
          </a:r>
        </a:p>
      </xdr:txBody>
    </xdr:sp>
    <xdr:clientData/>
  </xdr:twoCellAnchor>
  <xdr:twoCellAnchor>
    <xdr:from>
      <xdr:col>54</xdr:col>
      <xdr:colOff>27092</xdr:colOff>
      <xdr:row>41</xdr:row>
      <xdr:rowOff>77110</xdr:rowOff>
    </xdr:from>
    <xdr:to>
      <xdr:col>59</xdr:col>
      <xdr:colOff>19353</xdr:colOff>
      <xdr:row>44</xdr:row>
      <xdr:rowOff>42950</xdr:rowOff>
    </xdr:to>
    <xdr:sp macro="" textlink="">
      <xdr:nvSpPr>
        <xdr:cNvPr id="55" name="正方形/長方形 54">
          <a:extLst>
            <a:ext uri="{FF2B5EF4-FFF2-40B4-BE49-F238E27FC236}">
              <a16:creationId xmlns:a16="http://schemas.microsoft.com/office/drawing/2014/main" id="{28D54733-3FEA-49FE-A471-7A820D37DC48}"/>
            </a:ext>
          </a:extLst>
        </xdr:cNvPr>
        <xdr:cNvSpPr/>
      </xdr:nvSpPr>
      <xdr:spPr>
        <a:xfrm>
          <a:off x="15457592" y="10316485"/>
          <a:ext cx="1421011" cy="680215"/>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ディジタル出力</a:t>
          </a:r>
          <a:endParaRPr kumimoji="1" lang="en-US" altLang="ja-JP" sz="1100">
            <a:solidFill>
              <a:schemeClr val="tx1"/>
            </a:solidFill>
          </a:endParaRPr>
        </a:p>
        <a:p>
          <a:pPr algn="ctr"/>
          <a:r>
            <a:rPr kumimoji="1" lang="ja-JP" altLang="en-US" sz="1100">
              <a:solidFill>
                <a:schemeClr val="tx1"/>
              </a:solidFill>
            </a:rPr>
            <a:t>モジュール</a:t>
          </a:r>
          <a:r>
            <a:rPr kumimoji="1" lang="en-US" altLang="ja-JP" sz="1100">
              <a:solidFill>
                <a:schemeClr val="tx1"/>
              </a:solidFill>
            </a:rPr>
            <a:t> 0</a:t>
          </a:r>
          <a:endParaRPr kumimoji="1" lang="ja-JP" altLang="en-US" sz="1100">
            <a:solidFill>
              <a:schemeClr val="tx1"/>
            </a:solidFill>
          </a:endParaRPr>
        </a:p>
      </xdr:txBody>
    </xdr:sp>
    <xdr:clientData/>
  </xdr:twoCellAnchor>
  <xdr:twoCellAnchor>
    <xdr:from>
      <xdr:col>53</xdr:col>
      <xdr:colOff>26341</xdr:colOff>
      <xdr:row>33</xdr:row>
      <xdr:rowOff>100586</xdr:rowOff>
    </xdr:from>
    <xdr:to>
      <xdr:col>55</xdr:col>
      <xdr:colOff>23028</xdr:colOff>
      <xdr:row>33</xdr:row>
      <xdr:rowOff>100586</xdr:rowOff>
    </xdr:to>
    <xdr:cxnSp macro="">
      <xdr:nvCxnSpPr>
        <xdr:cNvPr id="56" name="直線矢印コネクタ 55">
          <a:extLst>
            <a:ext uri="{FF2B5EF4-FFF2-40B4-BE49-F238E27FC236}">
              <a16:creationId xmlns:a16="http://schemas.microsoft.com/office/drawing/2014/main" id="{022155DA-4A3A-40D8-9497-166226CFF103}"/>
            </a:ext>
          </a:extLst>
        </xdr:cNvPr>
        <xdr:cNvCxnSpPr/>
      </xdr:nvCxnSpPr>
      <xdr:spPr>
        <a:xfrm>
          <a:off x="15171091" y="8434961"/>
          <a:ext cx="568187"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53</xdr:col>
      <xdr:colOff>20479</xdr:colOff>
      <xdr:row>23</xdr:row>
      <xdr:rowOff>189845</xdr:rowOff>
    </xdr:from>
    <xdr:to>
      <xdr:col>55</xdr:col>
      <xdr:colOff>17166</xdr:colOff>
      <xdr:row>23</xdr:row>
      <xdr:rowOff>189845</xdr:rowOff>
    </xdr:to>
    <xdr:cxnSp macro="">
      <xdr:nvCxnSpPr>
        <xdr:cNvPr id="57" name="直線矢印コネクタ 56">
          <a:extLst>
            <a:ext uri="{FF2B5EF4-FFF2-40B4-BE49-F238E27FC236}">
              <a16:creationId xmlns:a16="http://schemas.microsoft.com/office/drawing/2014/main" id="{64230499-52D1-41E9-9A60-A47DC48D481B}"/>
            </a:ext>
          </a:extLst>
        </xdr:cNvPr>
        <xdr:cNvCxnSpPr/>
      </xdr:nvCxnSpPr>
      <xdr:spPr>
        <a:xfrm>
          <a:off x="15165229" y="6142970"/>
          <a:ext cx="568187"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53</xdr:col>
      <xdr:colOff>26341</xdr:colOff>
      <xdr:row>26</xdr:row>
      <xdr:rowOff>46090</xdr:rowOff>
    </xdr:from>
    <xdr:to>
      <xdr:col>55</xdr:col>
      <xdr:colOff>23028</xdr:colOff>
      <xdr:row>26</xdr:row>
      <xdr:rowOff>46090</xdr:rowOff>
    </xdr:to>
    <xdr:cxnSp macro="">
      <xdr:nvCxnSpPr>
        <xdr:cNvPr id="58" name="直線矢印コネクタ 57">
          <a:extLst>
            <a:ext uri="{FF2B5EF4-FFF2-40B4-BE49-F238E27FC236}">
              <a16:creationId xmlns:a16="http://schemas.microsoft.com/office/drawing/2014/main" id="{6526B9D7-305D-410D-B382-8FBA49808142}"/>
            </a:ext>
          </a:extLst>
        </xdr:cNvPr>
        <xdr:cNvCxnSpPr/>
      </xdr:nvCxnSpPr>
      <xdr:spPr>
        <a:xfrm>
          <a:off x="15171091" y="6713590"/>
          <a:ext cx="568187"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53</xdr:col>
      <xdr:colOff>17548</xdr:colOff>
      <xdr:row>28</xdr:row>
      <xdr:rowOff>142219</xdr:rowOff>
    </xdr:from>
    <xdr:to>
      <xdr:col>55</xdr:col>
      <xdr:colOff>14235</xdr:colOff>
      <xdr:row>28</xdr:row>
      <xdr:rowOff>142219</xdr:rowOff>
    </xdr:to>
    <xdr:cxnSp macro="">
      <xdr:nvCxnSpPr>
        <xdr:cNvPr id="59" name="直線矢印コネクタ 58">
          <a:extLst>
            <a:ext uri="{FF2B5EF4-FFF2-40B4-BE49-F238E27FC236}">
              <a16:creationId xmlns:a16="http://schemas.microsoft.com/office/drawing/2014/main" id="{5B86E8E5-31A5-4A33-95CF-391C47E6831F}"/>
            </a:ext>
          </a:extLst>
        </xdr:cNvPr>
        <xdr:cNvCxnSpPr/>
      </xdr:nvCxnSpPr>
      <xdr:spPr>
        <a:xfrm>
          <a:off x="15162298" y="7285969"/>
          <a:ext cx="568187"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53</xdr:col>
      <xdr:colOff>23409</xdr:colOff>
      <xdr:row>31</xdr:row>
      <xdr:rowOff>26457</xdr:rowOff>
    </xdr:from>
    <xdr:to>
      <xdr:col>55</xdr:col>
      <xdr:colOff>20096</xdr:colOff>
      <xdr:row>31</xdr:row>
      <xdr:rowOff>26457</xdr:rowOff>
    </xdr:to>
    <xdr:cxnSp macro="">
      <xdr:nvCxnSpPr>
        <xdr:cNvPr id="60" name="直線矢印コネクタ 59">
          <a:extLst>
            <a:ext uri="{FF2B5EF4-FFF2-40B4-BE49-F238E27FC236}">
              <a16:creationId xmlns:a16="http://schemas.microsoft.com/office/drawing/2014/main" id="{8D91B02E-BFB5-4D5C-A7F7-EF189D5F4E95}"/>
            </a:ext>
          </a:extLst>
        </xdr:cNvPr>
        <xdr:cNvCxnSpPr/>
      </xdr:nvCxnSpPr>
      <xdr:spPr>
        <a:xfrm>
          <a:off x="15168159" y="7884582"/>
          <a:ext cx="568187"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52</xdr:col>
      <xdr:colOff>67235</xdr:colOff>
      <xdr:row>42</xdr:row>
      <xdr:rowOff>198978</xdr:rowOff>
    </xdr:from>
    <xdr:to>
      <xdr:col>54</xdr:col>
      <xdr:colOff>23394</xdr:colOff>
      <xdr:row>42</xdr:row>
      <xdr:rowOff>198978</xdr:rowOff>
    </xdr:to>
    <xdr:cxnSp macro="">
      <xdr:nvCxnSpPr>
        <xdr:cNvPr id="61" name="直線矢印コネクタ 60">
          <a:extLst>
            <a:ext uri="{FF2B5EF4-FFF2-40B4-BE49-F238E27FC236}">
              <a16:creationId xmlns:a16="http://schemas.microsoft.com/office/drawing/2014/main" id="{24197D6A-AF3B-45E5-B346-7198143DEAC7}"/>
            </a:ext>
          </a:extLst>
        </xdr:cNvPr>
        <xdr:cNvCxnSpPr/>
      </xdr:nvCxnSpPr>
      <xdr:spPr>
        <a:xfrm>
          <a:off x="14634882" y="10553213"/>
          <a:ext cx="516453"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46</xdr:col>
      <xdr:colOff>274644</xdr:colOff>
      <xdr:row>39</xdr:row>
      <xdr:rowOff>174347</xdr:rowOff>
    </xdr:from>
    <xdr:to>
      <xdr:col>59</xdr:col>
      <xdr:colOff>48245</xdr:colOff>
      <xdr:row>41</xdr:row>
      <xdr:rowOff>52399</xdr:rowOff>
    </xdr:to>
    <xdr:cxnSp macro="">
      <xdr:nvCxnSpPr>
        <xdr:cNvPr id="62" name="コネクタ: カギ線 61">
          <a:extLst>
            <a:ext uri="{FF2B5EF4-FFF2-40B4-BE49-F238E27FC236}">
              <a16:creationId xmlns:a16="http://schemas.microsoft.com/office/drawing/2014/main" id="{5D2D301D-BD02-457F-944F-C7CDFEC3BE95}"/>
            </a:ext>
          </a:extLst>
        </xdr:cNvPr>
        <xdr:cNvCxnSpPr>
          <a:cxnSpLocks/>
          <a:endCxn id="63" idx="1"/>
        </xdr:cNvCxnSpPr>
      </xdr:nvCxnSpPr>
      <xdr:spPr>
        <a:xfrm rot="10800000" flipV="1">
          <a:off x="13419144" y="9937472"/>
          <a:ext cx="3488351" cy="354302"/>
        </a:xfrm>
        <a:prstGeom prst="bentConnector3">
          <a:avLst>
            <a:gd name="adj1" fmla="val 107365"/>
          </a:avLst>
        </a:prstGeom>
        <a:ln>
          <a:solidFill>
            <a:srgbClr val="00B050"/>
          </a:solidFill>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46</xdr:col>
      <xdr:colOff>274644</xdr:colOff>
      <xdr:row>40</xdr:row>
      <xdr:rowOff>177882</xdr:rowOff>
    </xdr:from>
    <xdr:to>
      <xdr:col>48</xdr:col>
      <xdr:colOff>55359</xdr:colOff>
      <xdr:row>41</xdr:row>
      <xdr:rowOff>186164</xdr:rowOff>
    </xdr:to>
    <xdr:sp macro="" textlink="">
      <xdr:nvSpPr>
        <xdr:cNvPr id="63" name="正方形/長方形 62">
          <a:extLst>
            <a:ext uri="{FF2B5EF4-FFF2-40B4-BE49-F238E27FC236}">
              <a16:creationId xmlns:a16="http://schemas.microsoft.com/office/drawing/2014/main" id="{156BA22E-4782-411C-9195-26D1D90B9D48}"/>
            </a:ext>
          </a:extLst>
        </xdr:cNvPr>
        <xdr:cNvSpPr/>
      </xdr:nvSpPr>
      <xdr:spPr>
        <a:xfrm>
          <a:off x="13419144" y="10179132"/>
          <a:ext cx="352215" cy="24640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46</xdr:col>
      <xdr:colOff>257665</xdr:colOff>
      <xdr:row>38</xdr:row>
      <xdr:rowOff>155298</xdr:rowOff>
    </xdr:from>
    <xdr:to>
      <xdr:col>47</xdr:col>
      <xdr:colOff>176004</xdr:colOff>
      <xdr:row>39</xdr:row>
      <xdr:rowOff>179621</xdr:rowOff>
    </xdr:to>
    <xdr:cxnSp macro="">
      <xdr:nvCxnSpPr>
        <xdr:cNvPr id="64" name="直線コネクタ 63">
          <a:extLst>
            <a:ext uri="{FF2B5EF4-FFF2-40B4-BE49-F238E27FC236}">
              <a16:creationId xmlns:a16="http://schemas.microsoft.com/office/drawing/2014/main" id="{ED667889-FEC0-4EA7-BC4E-B30B8C414384}"/>
            </a:ext>
          </a:extLst>
        </xdr:cNvPr>
        <xdr:cNvCxnSpPr/>
      </xdr:nvCxnSpPr>
      <xdr:spPr>
        <a:xfrm flipH="1">
          <a:off x="13402165" y="9680298"/>
          <a:ext cx="204089" cy="262448"/>
        </a:xfrm>
        <a:prstGeom prst="line">
          <a:avLst/>
        </a:prstGeom>
        <a:ln>
          <a:solidFill>
            <a:schemeClr val="tx1"/>
          </a:solidFill>
          <a:prstDash val="dash"/>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46</xdr:col>
      <xdr:colOff>12952</xdr:colOff>
      <xdr:row>36</xdr:row>
      <xdr:rowOff>76088</xdr:rowOff>
    </xdr:from>
    <xdr:to>
      <xdr:col>51</xdr:col>
      <xdr:colOff>226060</xdr:colOff>
      <xdr:row>39</xdr:row>
      <xdr:rowOff>826</xdr:rowOff>
    </xdr:to>
    <xdr:sp macro="" textlink="">
      <xdr:nvSpPr>
        <xdr:cNvPr id="65" name="正方形/長方形 64">
          <a:extLst>
            <a:ext uri="{FF2B5EF4-FFF2-40B4-BE49-F238E27FC236}">
              <a16:creationId xmlns:a16="http://schemas.microsoft.com/office/drawing/2014/main" id="{62345B8D-7F89-492A-9C3D-0FD57921CA9D}"/>
            </a:ext>
          </a:extLst>
        </xdr:cNvPr>
        <xdr:cNvSpPr/>
      </xdr:nvSpPr>
      <xdr:spPr>
        <a:xfrm>
          <a:off x="13157452" y="9124838"/>
          <a:ext cx="1641858" cy="63911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ディジタル出力</a:t>
          </a:r>
          <a:endParaRPr kumimoji="1" lang="en-US" altLang="ja-JP" sz="1100">
            <a:solidFill>
              <a:schemeClr val="tx1"/>
            </a:solidFill>
          </a:endParaRPr>
        </a:p>
        <a:p>
          <a:pPr algn="ctr"/>
          <a:r>
            <a:rPr kumimoji="1" lang="ja-JP" altLang="en-US" sz="1100">
              <a:solidFill>
                <a:schemeClr val="tx1"/>
              </a:solidFill>
            </a:rPr>
            <a:t>制御信号</a:t>
          </a:r>
          <a:endParaRPr kumimoji="1" lang="en-US" altLang="ja-JP" sz="1100">
            <a:solidFill>
              <a:schemeClr val="tx1"/>
            </a:solidFill>
          </a:endParaRPr>
        </a:p>
      </xdr:txBody>
    </xdr:sp>
    <xdr:clientData/>
  </xdr:twoCellAnchor>
  <xdr:twoCellAnchor>
    <xdr:from>
      <xdr:col>59</xdr:col>
      <xdr:colOff>51386</xdr:colOff>
      <xdr:row>42</xdr:row>
      <xdr:rowOff>234133</xdr:rowOff>
    </xdr:from>
    <xdr:to>
      <xdr:col>64</xdr:col>
      <xdr:colOff>60670</xdr:colOff>
      <xdr:row>42</xdr:row>
      <xdr:rowOff>234133</xdr:rowOff>
    </xdr:to>
    <xdr:cxnSp macro="">
      <xdr:nvCxnSpPr>
        <xdr:cNvPr id="66" name="直線矢印コネクタ 65">
          <a:extLst>
            <a:ext uri="{FF2B5EF4-FFF2-40B4-BE49-F238E27FC236}">
              <a16:creationId xmlns:a16="http://schemas.microsoft.com/office/drawing/2014/main" id="{EF0C672E-FF9A-4166-92AE-4CFDC9C755A3}"/>
            </a:ext>
          </a:extLst>
        </xdr:cNvPr>
        <xdr:cNvCxnSpPr/>
      </xdr:nvCxnSpPr>
      <xdr:spPr>
        <a:xfrm>
          <a:off x="16910636" y="10711633"/>
          <a:ext cx="1438034" cy="0"/>
        </a:xfrm>
        <a:prstGeom prst="straightConnector1">
          <a:avLst/>
        </a:prstGeom>
        <a:ln>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45</xdr:col>
      <xdr:colOff>261010</xdr:colOff>
      <xdr:row>29</xdr:row>
      <xdr:rowOff>87222</xdr:rowOff>
    </xdr:from>
    <xdr:to>
      <xdr:col>47</xdr:col>
      <xdr:colOff>144913</xdr:colOff>
      <xdr:row>29</xdr:row>
      <xdr:rowOff>87222</xdr:rowOff>
    </xdr:to>
    <xdr:cxnSp macro="">
      <xdr:nvCxnSpPr>
        <xdr:cNvPr id="67" name="直線矢印コネクタ 66">
          <a:extLst>
            <a:ext uri="{FF2B5EF4-FFF2-40B4-BE49-F238E27FC236}">
              <a16:creationId xmlns:a16="http://schemas.microsoft.com/office/drawing/2014/main" id="{5CC1E4EF-C82D-48AC-9ED2-3134C5B07DCA}"/>
            </a:ext>
          </a:extLst>
        </xdr:cNvPr>
        <xdr:cNvCxnSpPr/>
      </xdr:nvCxnSpPr>
      <xdr:spPr>
        <a:xfrm>
          <a:off x="13119760" y="7469097"/>
          <a:ext cx="455403"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44</xdr:col>
      <xdr:colOff>57083</xdr:colOff>
      <xdr:row>24</xdr:row>
      <xdr:rowOff>23509</xdr:rowOff>
    </xdr:from>
    <xdr:to>
      <xdr:col>46</xdr:col>
      <xdr:colOff>205684</xdr:colOff>
      <xdr:row>27</xdr:row>
      <xdr:rowOff>198257</xdr:rowOff>
    </xdr:to>
    <xdr:cxnSp macro="">
      <xdr:nvCxnSpPr>
        <xdr:cNvPr id="68" name="コネクタ: カギ線 67">
          <a:extLst>
            <a:ext uri="{FF2B5EF4-FFF2-40B4-BE49-F238E27FC236}">
              <a16:creationId xmlns:a16="http://schemas.microsoft.com/office/drawing/2014/main" id="{ECA97666-611E-44BD-A5D3-760ED3982366}"/>
            </a:ext>
          </a:extLst>
        </xdr:cNvPr>
        <xdr:cNvCxnSpPr>
          <a:stCxn id="196" idx="1"/>
          <a:endCxn id="70" idx="0"/>
        </xdr:cNvCxnSpPr>
      </xdr:nvCxnSpPr>
      <xdr:spPr>
        <a:xfrm rot="10800000" flipV="1">
          <a:off x="12630083" y="6214759"/>
          <a:ext cx="720101" cy="889123"/>
        </a:xfrm>
        <a:prstGeom prst="bentConnector2">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44</xdr:col>
      <xdr:colOff>57082</xdr:colOff>
      <xdr:row>30</xdr:row>
      <xdr:rowOff>198258</xdr:rowOff>
    </xdr:from>
    <xdr:to>
      <xdr:col>46</xdr:col>
      <xdr:colOff>276044</xdr:colOff>
      <xdr:row>42</xdr:row>
      <xdr:rowOff>199238</xdr:rowOff>
    </xdr:to>
    <xdr:cxnSp macro="">
      <xdr:nvCxnSpPr>
        <xdr:cNvPr id="69" name="コネクタ: カギ線 68">
          <a:extLst>
            <a:ext uri="{FF2B5EF4-FFF2-40B4-BE49-F238E27FC236}">
              <a16:creationId xmlns:a16="http://schemas.microsoft.com/office/drawing/2014/main" id="{278A5E83-10D2-4B0E-B02F-BEEE83D454C9}"/>
            </a:ext>
          </a:extLst>
        </xdr:cNvPr>
        <xdr:cNvCxnSpPr>
          <a:stCxn id="53" idx="1"/>
          <a:endCxn id="70" idx="2"/>
        </xdr:cNvCxnSpPr>
      </xdr:nvCxnSpPr>
      <xdr:spPr>
        <a:xfrm rot="10800000">
          <a:off x="12630082" y="7818258"/>
          <a:ext cx="790462" cy="2858480"/>
        </a:xfrm>
        <a:prstGeom prst="bentConnector2">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42</xdr:col>
      <xdr:colOff>50935</xdr:colOff>
      <xdr:row>27</xdr:row>
      <xdr:rowOff>198258</xdr:rowOff>
    </xdr:from>
    <xdr:to>
      <xdr:col>46</xdr:col>
      <xdr:colOff>70890</xdr:colOff>
      <xdr:row>30</xdr:row>
      <xdr:rowOff>198258</xdr:rowOff>
    </xdr:to>
    <xdr:sp macro="" textlink="">
      <xdr:nvSpPr>
        <xdr:cNvPr id="70" name="正方形/長方形 69">
          <a:extLst>
            <a:ext uri="{FF2B5EF4-FFF2-40B4-BE49-F238E27FC236}">
              <a16:creationId xmlns:a16="http://schemas.microsoft.com/office/drawing/2014/main" id="{D184792D-AA63-4385-8058-F6CA86405951}"/>
            </a:ext>
          </a:extLst>
        </xdr:cNvPr>
        <xdr:cNvSpPr/>
      </xdr:nvSpPr>
      <xdr:spPr>
        <a:xfrm>
          <a:off x="12052435" y="7103883"/>
          <a:ext cx="1162955" cy="714375"/>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UDP/IP </a:t>
          </a:r>
          <a:r>
            <a:rPr kumimoji="1" lang="ja-JP" altLang="en-US" sz="1100">
              <a:solidFill>
                <a:schemeClr val="tx1"/>
              </a:solidFill>
            </a:rPr>
            <a:t>通信</a:t>
          </a:r>
          <a:endParaRPr kumimoji="1" lang="en-US" altLang="ja-JP" sz="1100">
            <a:solidFill>
              <a:schemeClr val="tx1"/>
            </a:solidFill>
          </a:endParaRPr>
        </a:p>
        <a:p>
          <a:pPr algn="ctr"/>
          <a:r>
            <a:rPr kumimoji="1" lang="ja-JP" altLang="en-US" sz="1100">
              <a:solidFill>
                <a:schemeClr val="tx1"/>
              </a:solidFill>
            </a:rPr>
            <a:t>コントローラ</a:t>
          </a:r>
        </a:p>
      </xdr:txBody>
    </xdr:sp>
    <xdr:clientData/>
  </xdr:twoCellAnchor>
  <xdr:twoCellAnchor>
    <xdr:from>
      <xdr:col>44</xdr:col>
      <xdr:colOff>61367</xdr:colOff>
      <xdr:row>32</xdr:row>
      <xdr:rowOff>6435</xdr:rowOff>
    </xdr:from>
    <xdr:to>
      <xdr:col>48</xdr:col>
      <xdr:colOff>145434</xdr:colOff>
      <xdr:row>33</xdr:row>
      <xdr:rowOff>121644</xdr:rowOff>
    </xdr:to>
    <xdr:sp macro="" textlink="">
      <xdr:nvSpPr>
        <xdr:cNvPr id="71" name="正方形/長方形 70">
          <a:extLst>
            <a:ext uri="{FF2B5EF4-FFF2-40B4-BE49-F238E27FC236}">
              <a16:creationId xmlns:a16="http://schemas.microsoft.com/office/drawing/2014/main" id="{39DCC33A-C783-4760-8B70-80566464AB8B}"/>
            </a:ext>
          </a:extLst>
        </xdr:cNvPr>
        <xdr:cNvSpPr/>
      </xdr:nvSpPr>
      <xdr:spPr>
        <a:xfrm>
          <a:off x="12634367" y="8102685"/>
          <a:ext cx="1227067" cy="35333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波形データ</a:t>
          </a:r>
        </a:p>
      </xdr:txBody>
    </xdr:sp>
    <xdr:clientData/>
  </xdr:twoCellAnchor>
  <xdr:twoCellAnchor>
    <xdr:from>
      <xdr:col>46</xdr:col>
      <xdr:colOff>103401</xdr:colOff>
      <xdr:row>29</xdr:row>
      <xdr:rowOff>108916</xdr:rowOff>
    </xdr:from>
    <xdr:to>
      <xdr:col>46</xdr:col>
      <xdr:colOff>239574</xdr:colOff>
      <xdr:row>32</xdr:row>
      <xdr:rowOff>6435</xdr:rowOff>
    </xdr:to>
    <xdr:cxnSp macro="">
      <xdr:nvCxnSpPr>
        <xdr:cNvPr id="72" name="直線コネクタ 71">
          <a:extLst>
            <a:ext uri="{FF2B5EF4-FFF2-40B4-BE49-F238E27FC236}">
              <a16:creationId xmlns:a16="http://schemas.microsoft.com/office/drawing/2014/main" id="{02E1C0EE-8986-4532-9F4A-B0542921E38B}"/>
            </a:ext>
          </a:extLst>
        </xdr:cNvPr>
        <xdr:cNvCxnSpPr>
          <a:endCxn id="71" idx="0"/>
        </xdr:cNvCxnSpPr>
      </xdr:nvCxnSpPr>
      <xdr:spPr>
        <a:xfrm flipH="1">
          <a:off x="13247901" y="7490791"/>
          <a:ext cx="136173" cy="611894"/>
        </a:xfrm>
        <a:prstGeom prst="line">
          <a:avLst/>
        </a:prstGeom>
        <a:ln>
          <a:solidFill>
            <a:schemeClr val="tx1"/>
          </a:solidFill>
          <a:prstDash val="dash"/>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32</xdr:col>
      <xdr:colOff>56905</xdr:colOff>
      <xdr:row>26</xdr:row>
      <xdr:rowOff>32858</xdr:rowOff>
    </xdr:from>
    <xdr:to>
      <xdr:col>36</xdr:col>
      <xdr:colOff>231254</xdr:colOff>
      <xdr:row>31</xdr:row>
      <xdr:rowOff>90009</xdr:rowOff>
    </xdr:to>
    <xdr:pic>
      <xdr:nvPicPr>
        <xdr:cNvPr id="73" name="グラフィックス 72" descr="コンピューター 単色塗りつぶし">
          <a:extLst>
            <a:ext uri="{FF2B5EF4-FFF2-40B4-BE49-F238E27FC236}">
              <a16:creationId xmlns:a16="http://schemas.microsoft.com/office/drawing/2014/main" id="{BD907E1A-F64E-465B-87B4-305163A6EB86}"/>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9200905" y="6700358"/>
          <a:ext cx="1317349" cy="1247776"/>
        </a:xfrm>
        <a:prstGeom prst="rect">
          <a:avLst/>
        </a:prstGeom>
      </xdr:spPr>
    </xdr:pic>
    <xdr:clientData/>
  </xdr:twoCellAnchor>
  <xdr:twoCellAnchor>
    <xdr:from>
      <xdr:col>36</xdr:col>
      <xdr:colOff>99190</xdr:colOff>
      <xdr:row>14</xdr:row>
      <xdr:rowOff>186671</xdr:rowOff>
    </xdr:from>
    <xdr:to>
      <xdr:col>41</xdr:col>
      <xdr:colOff>17600</xdr:colOff>
      <xdr:row>16</xdr:row>
      <xdr:rowOff>223216</xdr:rowOff>
    </xdr:to>
    <xdr:sp macro="" textlink="">
      <xdr:nvSpPr>
        <xdr:cNvPr id="74" name="正方形/長方形 73">
          <a:extLst>
            <a:ext uri="{FF2B5EF4-FFF2-40B4-BE49-F238E27FC236}">
              <a16:creationId xmlns:a16="http://schemas.microsoft.com/office/drawing/2014/main" id="{D07CE44E-B387-4518-A8F7-388CCDF06ABB}"/>
            </a:ext>
          </a:extLst>
        </xdr:cNvPr>
        <xdr:cNvSpPr/>
      </xdr:nvSpPr>
      <xdr:spPr>
        <a:xfrm>
          <a:off x="10386190" y="3996671"/>
          <a:ext cx="1347160" cy="51279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10/100/1000 Mb </a:t>
          </a:r>
        </a:p>
        <a:p>
          <a:pPr algn="ctr"/>
          <a:r>
            <a:rPr kumimoji="1" lang="en-US" altLang="ja-JP" sz="1100">
              <a:solidFill>
                <a:schemeClr val="tx1"/>
              </a:solidFill>
            </a:rPr>
            <a:t>Ethernet</a:t>
          </a:r>
          <a:endParaRPr kumimoji="1" lang="ja-JP" altLang="en-US" sz="1100">
            <a:solidFill>
              <a:schemeClr val="tx1"/>
            </a:solidFill>
          </a:endParaRPr>
        </a:p>
      </xdr:txBody>
    </xdr:sp>
    <xdr:clientData/>
  </xdr:twoCellAnchor>
  <xdr:twoCellAnchor editAs="oneCell">
    <xdr:from>
      <xdr:col>31</xdr:col>
      <xdr:colOff>153197</xdr:colOff>
      <xdr:row>21</xdr:row>
      <xdr:rowOff>231275</xdr:rowOff>
    </xdr:from>
    <xdr:to>
      <xdr:col>36</xdr:col>
      <xdr:colOff>224631</xdr:colOff>
      <xdr:row>27</xdr:row>
      <xdr:rowOff>53153</xdr:rowOff>
    </xdr:to>
    <xdr:pic>
      <xdr:nvPicPr>
        <xdr:cNvPr id="75" name="グラフィックス 74" descr="紙 枠線">
          <a:extLst>
            <a:ext uri="{FF2B5EF4-FFF2-40B4-BE49-F238E27FC236}">
              <a16:creationId xmlns:a16="http://schemas.microsoft.com/office/drawing/2014/main" id="{5F886113-46B9-40E6-B7AE-E1B68AC74012}"/>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 uri="{96DAC541-7B7A-43D3-8B79-37D633B846F1}">
              <asvg:svgBlip xmlns:asvg="http://schemas.microsoft.com/office/drawing/2016/SVG/main" r:embed="rId4"/>
            </a:ext>
          </a:extLst>
        </a:blip>
        <a:stretch>
          <a:fillRect/>
        </a:stretch>
      </xdr:blipFill>
      <xdr:spPr>
        <a:xfrm>
          <a:off x="9011447" y="5708150"/>
          <a:ext cx="1500184" cy="1250627"/>
        </a:xfrm>
        <a:prstGeom prst="rect">
          <a:avLst/>
        </a:prstGeom>
      </xdr:spPr>
    </xdr:pic>
    <xdr:clientData/>
  </xdr:twoCellAnchor>
  <xdr:twoCellAnchor>
    <xdr:from>
      <xdr:col>32</xdr:col>
      <xdr:colOff>143200</xdr:colOff>
      <xdr:row>23</xdr:row>
      <xdr:rowOff>205551</xdr:rowOff>
    </xdr:from>
    <xdr:to>
      <xdr:col>35</xdr:col>
      <xdr:colOff>237674</xdr:colOff>
      <xdr:row>26</xdr:row>
      <xdr:rowOff>105430</xdr:rowOff>
    </xdr:to>
    <xdr:sp macro="" textlink="">
      <xdr:nvSpPr>
        <xdr:cNvPr id="76" name="正方形/長方形 75">
          <a:extLst>
            <a:ext uri="{FF2B5EF4-FFF2-40B4-BE49-F238E27FC236}">
              <a16:creationId xmlns:a16="http://schemas.microsoft.com/office/drawing/2014/main" id="{E7793E21-A11A-41A7-986F-058636EA66CF}"/>
            </a:ext>
          </a:extLst>
        </xdr:cNvPr>
        <xdr:cNvSpPr/>
      </xdr:nvSpPr>
      <xdr:spPr>
        <a:xfrm>
          <a:off x="9287200" y="6158676"/>
          <a:ext cx="951724" cy="61425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a:solidFill>
                <a:schemeClr val="tx1"/>
              </a:solidFill>
            </a:rPr>
            <a:t>Python</a:t>
          </a:r>
        </a:p>
        <a:p>
          <a:pPr algn="ctr"/>
          <a:r>
            <a:rPr kumimoji="1" lang="ja-JP" altLang="en-US" sz="1050">
              <a:solidFill>
                <a:schemeClr val="tx1"/>
              </a:solidFill>
            </a:rPr>
            <a:t>プログラム</a:t>
          </a:r>
        </a:p>
      </xdr:txBody>
    </xdr:sp>
    <xdr:clientData/>
  </xdr:twoCellAnchor>
  <xdr:twoCellAnchor>
    <xdr:from>
      <xdr:col>53</xdr:col>
      <xdr:colOff>26341</xdr:colOff>
      <xdr:row>35</xdr:row>
      <xdr:rowOff>208894</xdr:rowOff>
    </xdr:from>
    <xdr:to>
      <xdr:col>55</xdr:col>
      <xdr:colOff>23028</xdr:colOff>
      <xdr:row>35</xdr:row>
      <xdr:rowOff>208894</xdr:rowOff>
    </xdr:to>
    <xdr:cxnSp macro="">
      <xdr:nvCxnSpPr>
        <xdr:cNvPr id="77" name="直線矢印コネクタ 76">
          <a:extLst>
            <a:ext uri="{FF2B5EF4-FFF2-40B4-BE49-F238E27FC236}">
              <a16:creationId xmlns:a16="http://schemas.microsoft.com/office/drawing/2014/main" id="{BDE64A40-62EF-403A-A64D-05E2E1199121}"/>
            </a:ext>
          </a:extLst>
        </xdr:cNvPr>
        <xdr:cNvCxnSpPr/>
      </xdr:nvCxnSpPr>
      <xdr:spPr>
        <a:xfrm>
          <a:off x="15171091" y="9019519"/>
          <a:ext cx="568187"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20</xdr:col>
      <xdr:colOff>76351</xdr:colOff>
      <xdr:row>7</xdr:row>
      <xdr:rowOff>182941</xdr:rowOff>
    </xdr:from>
    <xdr:to>
      <xdr:col>20</xdr:col>
      <xdr:colOff>131340</xdr:colOff>
      <xdr:row>9</xdr:row>
      <xdr:rowOff>156819</xdr:rowOff>
    </xdr:to>
    <xdr:cxnSp macro="">
      <xdr:nvCxnSpPr>
        <xdr:cNvPr id="78" name="直線コネクタ 77">
          <a:extLst>
            <a:ext uri="{FF2B5EF4-FFF2-40B4-BE49-F238E27FC236}">
              <a16:creationId xmlns:a16="http://schemas.microsoft.com/office/drawing/2014/main" id="{9AF9E169-FD44-41D9-B339-63B6579D5320}"/>
            </a:ext>
          </a:extLst>
        </xdr:cNvPr>
        <xdr:cNvCxnSpPr/>
      </xdr:nvCxnSpPr>
      <xdr:spPr>
        <a:xfrm flipH="1">
          <a:off x="5791351" y="4231066"/>
          <a:ext cx="54989" cy="450128"/>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19</xdr:col>
      <xdr:colOff>10587</xdr:colOff>
      <xdr:row>7</xdr:row>
      <xdr:rowOff>188277</xdr:rowOff>
    </xdr:from>
    <xdr:to>
      <xdr:col>19</xdr:col>
      <xdr:colOff>120593</xdr:colOff>
      <xdr:row>9</xdr:row>
      <xdr:rowOff>162546</xdr:rowOff>
    </xdr:to>
    <xdr:cxnSp macro="">
      <xdr:nvCxnSpPr>
        <xdr:cNvPr id="79" name="直線コネクタ 78">
          <a:extLst>
            <a:ext uri="{FF2B5EF4-FFF2-40B4-BE49-F238E27FC236}">
              <a16:creationId xmlns:a16="http://schemas.microsoft.com/office/drawing/2014/main" id="{08613B49-0A3F-4276-823C-AD198BD0C6D3}"/>
            </a:ext>
          </a:extLst>
        </xdr:cNvPr>
        <xdr:cNvCxnSpPr/>
      </xdr:nvCxnSpPr>
      <xdr:spPr>
        <a:xfrm flipH="1">
          <a:off x="5439837" y="4236402"/>
          <a:ext cx="110006" cy="450519"/>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19</xdr:col>
      <xdr:colOff>81769</xdr:colOff>
      <xdr:row>3</xdr:row>
      <xdr:rowOff>97486</xdr:rowOff>
    </xdr:from>
    <xdr:to>
      <xdr:col>21</xdr:col>
      <xdr:colOff>58922</xdr:colOff>
      <xdr:row>4</xdr:row>
      <xdr:rowOff>230619</xdr:rowOff>
    </xdr:to>
    <xdr:sp macro="" textlink="">
      <xdr:nvSpPr>
        <xdr:cNvPr id="80" name="正方形/長方形 79">
          <a:extLst>
            <a:ext uri="{FF2B5EF4-FFF2-40B4-BE49-F238E27FC236}">
              <a16:creationId xmlns:a16="http://schemas.microsoft.com/office/drawing/2014/main" id="{0FB5CD56-FC9B-4490-AED8-AF092A092612}"/>
            </a:ext>
          </a:extLst>
        </xdr:cNvPr>
        <xdr:cNvSpPr/>
      </xdr:nvSpPr>
      <xdr:spPr>
        <a:xfrm>
          <a:off x="5511019" y="3193111"/>
          <a:ext cx="548653" cy="37125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en-US" altLang="ja-JP" sz="1100">
              <a:solidFill>
                <a:schemeClr val="tx1"/>
              </a:solidFill>
            </a:rPr>
            <a:t>GND</a:t>
          </a:r>
          <a:endParaRPr kumimoji="1" lang="ja-JP" altLang="en-US" sz="1100">
            <a:solidFill>
              <a:schemeClr val="tx1"/>
            </a:solidFill>
          </a:endParaRPr>
        </a:p>
      </xdr:txBody>
    </xdr:sp>
    <xdr:clientData/>
  </xdr:twoCellAnchor>
  <xdr:twoCellAnchor>
    <xdr:from>
      <xdr:col>17</xdr:col>
      <xdr:colOff>273976</xdr:colOff>
      <xdr:row>3</xdr:row>
      <xdr:rowOff>99160</xdr:rowOff>
    </xdr:from>
    <xdr:to>
      <xdr:col>19</xdr:col>
      <xdr:colOff>176245</xdr:colOff>
      <xdr:row>4</xdr:row>
      <xdr:rowOff>230800</xdr:rowOff>
    </xdr:to>
    <xdr:sp macro="" textlink="">
      <xdr:nvSpPr>
        <xdr:cNvPr id="81" name="正方形/長方形 80">
          <a:extLst>
            <a:ext uri="{FF2B5EF4-FFF2-40B4-BE49-F238E27FC236}">
              <a16:creationId xmlns:a16="http://schemas.microsoft.com/office/drawing/2014/main" id="{CD231704-364A-4438-904C-FB2C3B013B90}"/>
            </a:ext>
          </a:extLst>
        </xdr:cNvPr>
        <xdr:cNvSpPr/>
      </xdr:nvSpPr>
      <xdr:spPr>
        <a:xfrm>
          <a:off x="5131726" y="3194785"/>
          <a:ext cx="473769" cy="36976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en-US" altLang="ja-JP" sz="1100">
              <a:solidFill>
                <a:schemeClr val="tx1"/>
              </a:solidFill>
            </a:rPr>
            <a:t>3.3V</a:t>
          </a:r>
        </a:p>
      </xdr:txBody>
    </xdr:sp>
    <xdr:clientData/>
  </xdr:twoCellAnchor>
  <xdr:twoCellAnchor>
    <xdr:from>
      <xdr:col>20</xdr:col>
      <xdr:colOff>73067</xdr:colOff>
      <xdr:row>4</xdr:row>
      <xdr:rowOff>230619</xdr:rowOff>
    </xdr:from>
    <xdr:to>
      <xdr:col>20</xdr:col>
      <xdr:colOff>142305</xdr:colOff>
      <xdr:row>6</xdr:row>
      <xdr:rowOff>55739</xdr:rowOff>
    </xdr:to>
    <xdr:cxnSp macro="">
      <xdr:nvCxnSpPr>
        <xdr:cNvPr id="82" name="直線コネクタ 81">
          <a:extLst>
            <a:ext uri="{FF2B5EF4-FFF2-40B4-BE49-F238E27FC236}">
              <a16:creationId xmlns:a16="http://schemas.microsoft.com/office/drawing/2014/main" id="{F9870208-65F3-4077-B748-D71DA73B412F}"/>
            </a:ext>
          </a:extLst>
        </xdr:cNvPr>
        <xdr:cNvCxnSpPr>
          <a:stCxn id="80" idx="2"/>
        </xdr:cNvCxnSpPr>
      </xdr:nvCxnSpPr>
      <xdr:spPr>
        <a:xfrm>
          <a:off x="5788067" y="3564369"/>
          <a:ext cx="69238" cy="301370"/>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19</xdr:col>
      <xdr:colOff>12549</xdr:colOff>
      <xdr:row>4</xdr:row>
      <xdr:rowOff>224390</xdr:rowOff>
    </xdr:from>
    <xdr:to>
      <xdr:col>19</xdr:col>
      <xdr:colOff>129322</xdr:colOff>
      <xdr:row>6</xdr:row>
      <xdr:rowOff>48976</xdr:rowOff>
    </xdr:to>
    <xdr:cxnSp macro="">
      <xdr:nvCxnSpPr>
        <xdr:cNvPr id="83" name="直線コネクタ 82">
          <a:extLst>
            <a:ext uri="{FF2B5EF4-FFF2-40B4-BE49-F238E27FC236}">
              <a16:creationId xmlns:a16="http://schemas.microsoft.com/office/drawing/2014/main" id="{A2C7D52D-6ADB-4D0F-80CE-D638F02EC2F4}"/>
            </a:ext>
          </a:extLst>
        </xdr:cNvPr>
        <xdr:cNvCxnSpPr/>
      </xdr:nvCxnSpPr>
      <xdr:spPr>
        <a:xfrm>
          <a:off x="5441799" y="3558140"/>
          <a:ext cx="116773" cy="300836"/>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20</xdr:col>
      <xdr:colOff>7453</xdr:colOff>
      <xdr:row>2</xdr:row>
      <xdr:rowOff>45988</xdr:rowOff>
    </xdr:from>
    <xdr:to>
      <xdr:col>24</xdr:col>
      <xdr:colOff>52876</xdr:colOff>
      <xdr:row>3</xdr:row>
      <xdr:rowOff>117575</xdr:rowOff>
    </xdr:to>
    <xdr:sp macro="" textlink="">
      <xdr:nvSpPr>
        <xdr:cNvPr id="84" name="正方形/長方形 83">
          <a:extLst>
            <a:ext uri="{FF2B5EF4-FFF2-40B4-BE49-F238E27FC236}">
              <a16:creationId xmlns:a16="http://schemas.microsoft.com/office/drawing/2014/main" id="{CCEE3FA6-BC54-4184-9BF5-E102DC9313F1}"/>
            </a:ext>
          </a:extLst>
        </xdr:cNvPr>
        <xdr:cNvSpPr/>
      </xdr:nvSpPr>
      <xdr:spPr>
        <a:xfrm>
          <a:off x="5722453" y="2903488"/>
          <a:ext cx="1188423" cy="309712"/>
        </a:xfrm>
        <a:prstGeom prst="rect">
          <a:avLst/>
        </a:prstGeom>
        <a:solidFill>
          <a:schemeClr val="accent4">
            <a:lumMod val="20000"/>
            <a:lumOff val="80000"/>
          </a:schemeClr>
        </a:solidFill>
        <a:ln>
          <a:solidFill>
            <a:schemeClr val="dk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a:solidFill>
                <a:schemeClr val="tx1"/>
              </a:solidFill>
            </a:rPr>
            <a:t>PMOD_1</a:t>
          </a:r>
          <a:endParaRPr kumimoji="1" lang="ja-JP" altLang="en-US" sz="1400">
            <a:solidFill>
              <a:schemeClr val="tx1"/>
            </a:solidFill>
          </a:endParaRPr>
        </a:p>
      </xdr:txBody>
    </xdr:sp>
    <xdr:clientData/>
  </xdr:twoCellAnchor>
  <xdr:twoCellAnchor>
    <xdr:from>
      <xdr:col>28</xdr:col>
      <xdr:colOff>83792</xdr:colOff>
      <xdr:row>3</xdr:row>
      <xdr:rowOff>80968</xdr:rowOff>
    </xdr:from>
    <xdr:to>
      <xdr:col>30</xdr:col>
      <xdr:colOff>66388</xdr:colOff>
      <xdr:row>4</xdr:row>
      <xdr:rowOff>223626</xdr:rowOff>
    </xdr:to>
    <xdr:sp macro="" textlink="">
      <xdr:nvSpPr>
        <xdr:cNvPr id="85" name="正方形/長方形 84">
          <a:extLst>
            <a:ext uri="{FF2B5EF4-FFF2-40B4-BE49-F238E27FC236}">
              <a16:creationId xmlns:a16="http://schemas.microsoft.com/office/drawing/2014/main" id="{22AD1D49-6D44-4752-9BFD-7C5DFE1FCCE5}"/>
            </a:ext>
          </a:extLst>
        </xdr:cNvPr>
        <xdr:cNvSpPr/>
      </xdr:nvSpPr>
      <xdr:spPr>
        <a:xfrm>
          <a:off x="8084792" y="3176593"/>
          <a:ext cx="554096" cy="38078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en-US" altLang="ja-JP" sz="1100">
              <a:solidFill>
                <a:schemeClr val="tx1"/>
              </a:solidFill>
            </a:rPr>
            <a:t>GND</a:t>
          </a:r>
          <a:endParaRPr kumimoji="1" lang="ja-JP" altLang="en-US" sz="1100">
            <a:solidFill>
              <a:schemeClr val="tx1"/>
            </a:solidFill>
          </a:endParaRPr>
        </a:p>
      </xdr:txBody>
    </xdr:sp>
    <xdr:clientData/>
  </xdr:twoCellAnchor>
  <xdr:twoCellAnchor>
    <xdr:from>
      <xdr:col>26</xdr:col>
      <xdr:colOff>105209</xdr:colOff>
      <xdr:row>3</xdr:row>
      <xdr:rowOff>92167</xdr:rowOff>
    </xdr:from>
    <xdr:to>
      <xdr:col>29</xdr:col>
      <xdr:colOff>140587</xdr:colOff>
      <xdr:row>4</xdr:row>
      <xdr:rowOff>223807</xdr:rowOff>
    </xdr:to>
    <xdr:sp macro="" textlink="">
      <xdr:nvSpPr>
        <xdr:cNvPr id="86" name="正方形/長方形 85">
          <a:extLst>
            <a:ext uri="{FF2B5EF4-FFF2-40B4-BE49-F238E27FC236}">
              <a16:creationId xmlns:a16="http://schemas.microsoft.com/office/drawing/2014/main" id="{BCB3F5A8-EE3E-4DC2-8656-11BD2FFA917F}"/>
            </a:ext>
          </a:extLst>
        </xdr:cNvPr>
        <xdr:cNvSpPr/>
      </xdr:nvSpPr>
      <xdr:spPr>
        <a:xfrm>
          <a:off x="7534709" y="3187792"/>
          <a:ext cx="892628" cy="36976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en-US" altLang="ja-JP" sz="1100">
              <a:solidFill>
                <a:schemeClr val="tx1"/>
              </a:solidFill>
            </a:rPr>
            <a:t>3.3V</a:t>
          </a:r>
        </a:p>
      </xdr:txBody>
    </xdr:sp>
    <xdr:clientData/>
  </xdr:twoCellAnchor>
  <xdr:twoCellAnchor>
    <xdr:from>
      <xdr:col>33</xdr:col>
      <xdr:colOff>104344</xdr:colOff>
      <xdr:row>3</xdr:row>
      <xdr:rowOff>92167</xdr:rowOff>
    </xdr:from>
    <xdr:to>
      <xdr:col>34</xdr:col>
      <xdr:colOff>175101</xdr:colOff>
      <xdr:row>4</xdr:row>
      <xdr:rowOff>223807</xdr:rowOff>
    </xdr:to>
    <xdr:sp macro="" textlink="">
      <xdr:nvSpPr>
        <xdr:cNvPr id="87" name="正方形/長方形 86">
          <a:extLst>
            <a:ext uri="{FF2B5EF4-FFF2-40B4-BE49-F238E27FC236}">
              <a16:creationId xmlns:a16="http://schemas.microsoft.com/office/drawing/2014/main" id="{2B93C289-E0DC-4692-8C27-EC00006F2867}"/>
            </a:ext>
          </a:extLst>
        </xdr:cNvPr>
        <xdr:cNvSpPr/>
      </xdr:nvSpPr>
      <xdr:spPr>
        <a:xfrm>
          <a:off x="9534094" y="3187792"/>
          <a:ext cx="356507" cy="36976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en-US" altLang="ja-JP" sz="1100">
              <a:solidFill>
                <a:schemeClr val="tx1"/>
              </a:solidFill>
            </a:rPr>
            <a:t>P0</a:t>
          </a:r>
          <a:endParaRPr kumimoji="1" lang="ja-JP" altLang="en-US" sz="1100">
            <a:solidFill>
              <a:schemeClr val="tx1"/>
            </a:solidFill>
          </a:endParaRPr>
        </a:p>
      </xdr:txBody>
    </xdr:sp>
    <xdr:clientData/>
  </xdr:twoCellAnchor>
  <xdr:twoCellAnchor>
    <xdr:from>
      <xdr:col>32</xdr:col>
      <xdr:colOff>85150</xdr:colOff>
      <xdr:row>3</xdr:row>
      <xdr:rowOff>92167</xdr:rowOff>
    </xdr:from>
    <xdr:to>
      <xdr:col>33</xdr:col>
      <xdr:colOff>150466</xdr:colOff>
      <xdr:row>4</xdr:row>
      <xdr:rowOff>223807</xdr:rowOff>
    </xdr:to>
    <xdr:sp macro="" textlink="">
      <xdr:nvSpPr>
        <xdr:cNvPr id="88" name="正方形/長方形 87">
          <a:extLst>
            <a:ext uri="{FF2B5EF4-FFF2-40B4-BE49-F238E27FC236}">
              <a16:creationId xmlns:a16="http://schemas.microsoft.com/office/drawing/2014/main" id="{728B611A-6345-4CF9-B458-8209738AE1FA}"/>
            </a:ext>
          </a:extLst>
        </xdr:cNvPr>
        <xdr:cNvSpPr/>
      </xdr:nvSpPr>
      <xdr:spPr>
        <a:xfrm>
          <a:off x="9229150" y="3187792"/>
          <a:ext cx="351066" cy="36976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en-US" altLang="ja-JP" sz="1100">
              <a:solidFill>
                <a:schemeClr val="tx1"/>
              </a:solidFill>
            </a:rPr>
            <a:t>P1</a:t>
          </a:r>
          <a:endParaRPr kumimoji="1" lang="ja-JP" altLang="en-US" sz="1100">
            <a:solidFill>
              <a:schemeClr val="tx1"/>
            </a:solidFill>
          </a:endParaRPr>
        </a:p>
      </xdr:txBody>
    </xdr:sp>
    <xdr:clientData/>
  </xdr:twoCellAnchor>
  <xdr:twoCellAnchor>
    <xdr:from>
      <xdr:col>31</xdr:col>
      <xdr:colOff>36951</xdr:colOff>
      <xdr:row>3</xdr:row>
      <xdr:rowOff>82141</xdr:rowOff>
    </xdr:from>
    <xdr:to>
      <xdr:col>32</xdr:col>
      <xdr:colOff>107206</xdr:colOff>
      <xdr:row>4</xdr:row>
      <xdr:rowOff>223306</xdr:rowOff>
    </xdr:to>
    <xdr:sp macro="" textlink="">
      <xdr:nvSpPr>
        <xdr:cNvPr id="89" name="正方形/長方形 88">
          <a:extLst>
            <a:ext uri="{FF2B5EF4-FFF2-40B4-BE49-F238E27FC236}">
              <a16:creationId xmlns:a16="http://schemas.microsoft.com/office/drawing/2014/main" id="{4C3248DA-9DF9-4A67-A02D-8BD34423B719}"/>
            </a:ext>
          </a:extLst>
        </xdr:cNvPr>
        <xdr:cNvSpPr/>
      </xdr:nvSpPr>
      <xdr:spPr>
        <a:xfrm>
          <a:off x="8895201" y="3177766"/>
          <a:ext cx="356005" cy="37929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en-US" altLang="ja-JP" sz="1100">
              <a:solidFill>
                <a:schemeClr val="tx1"/>
              </a:solidFill>
            </a:rPr>
            <a:t>P2</a:t>
          </a:r>
          <a:endParaRPr kumimoji="1" lang="ja-JP" altLang="en-US" sz="1100">
            <a:solidFill>
              <a:schemeClr val="tx1"/>
            </a:solidFill>
          </a:endParaRPr>
        </a:p>
      </xdr:txBody>
    </xdr:sp>
    <xdr:clientData/>
  </xdr:twoCellAnchor>
  <xdr:twoCellAnchor>
    <xdr:from>
      <xdr:col>29</xdr:col>
      <xdr:colOff>249296</xdr:colOff>
      <xdr:row>3</xdr:row>
      <xdr:rowOff>92668</xdr:rowOff>
    </xdr:from>
    <xdr:to>
      <xdr:col>31</xdr:col>
      <xdr:colOff>51992</xdr:colOff>
      <xdr:row>4</xdr:row>
      <xdr:rowOff>224308</xdr:rowOff>
    </xdr:to>
    <xdr:sp macro="" textlink="">
      <xdr:nvSpPr>
        <xdr:cNvPr id="90" name="正方形/長方形 89">
          <a:extLst>
            <a:ext uri="{FF2B5EF4-FFF2-40B4-BE49-F238E27FC236}">
              <a16:creationId xmlns:a16="http://schemas.microsoft.com/office/drawing/2014/main" id="{78AFE145-DD88-4AE1-8DF9-6FD19DB9CC1A}"/>
            </a:ext>
          </a:extLst>
        </xdr:cNvPr>
        <xdr:cNvSpPr/>
      </xdr:nvSpPr>
      <xdr:spPr>
        <a:xfrm>
          <a:off x="8536046" y="3188293"/>
          <a:ext cx="374196" cy="36976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en-US" altLang="ja-JP" sz="1100">
              <a:solidFill>
                <a:schemeClr val="tx1"/>
              </a:solidFill>
            </a:rPr>
            <a:t>P3</a:t>
          </a:r>
          <a:endParaRPr kumimoji="1" lang="ja-JP" altLang="en-US" sz="1100">
            <a:solidFill>
              <a:schemeClr val="tx1"/>
            </a:solidFill>
          </a:endParaRPr>
        </a:p>
      </xdr:txBody>
    </xdr:sp>
    <xdr:clientData/>
  </xdr:twoCellAnchor>
  <xdr:twoCellAnchor>
    <xdr:from>
      <xdr:col>33</xdr:col>
      <xdr:colOff>190015</xdr:colOff>
      <xdr:row>4</xdr:row>
      <xdr:rowOff>223807</xdr:rowOff>
    </xdr:from>
    <xdr:to>
      <xdr:col>33</xdr:col>
      <xdr:colOff>270728</xdr:colOff>
      <xdr:row>6</xdr:row>
      <xdr:rowOff>46415</xdr:rowOff>
    </xdr:to>
    <xdr:cxnSp macro="">
      <xdr:nvCxnSpPr>
        <xdr:cNvPr id="91" name="直線コネクタ 90">
          <a:extLst>
            <a:ext uri="{FF2B5EF4-FFF2-40B4-BE49-F238E27FC236}">
              <a16:creationId xmlns:a16="http://schemas.microsoft.com/office/drawing/2014/main" id="{2225492E-3BAF-477D-B760-EAEC40FC8D7A}"/>
            </a:ext>
          </a:extLst>
        </xdr:cNvPr>
        <xdr:cNvCxnSpPr>
          <a:stCxn id="87" idx="2"/>
        </xdr:cNvCxnSpPr>
      </xdr:nvCxnSpPr>
      <xdr:spPr>
        <a:xfrm flipH="1">
          <a:off x="9619765" y="3557557"/>
          <a:ext cx="80713" cy="298858"/>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32</xdr:col>
      <xdr:colOff>179706</xdr:colOff>
      <xdr:row>4</xdr:row>
      <xdr:rowOff>223807</xdr:rowOff>
    </xdr:from>
    <xdr:to>
      <xdr:col>32</xdr:col>
      <xdr:colOff>256297</xdr:colOff>
      <xdr:row>6</xdr:row>
      <xdr:rowOff>52799</xdr:rowOff>
    </xdr:to>
    <xdr:cxnSp macro="">
      <xdr:nvCxnSpPr>
        <xdr:cNvPr id="92" name="直線コネクタ 91">
          <a:extLst>
            <a:ext uri="{FF2B5EF4-FFF2-40B4-BE49-F238E27FC236}">
              <a16:creationId xmlns:a16="http://schemas.microsoft.com/office/drawing/2014/main" id="{FF9A7E1B-7791-4E3F-9208-8B3308D2B74B}"/>
            </a:ext>
          </a:extLst>
        </xdr:cNvPr>
        <xdr:cNvCxnSpPr>
          <a:stCxn id="88" idx="2"/>
        </xdr:cNvCxnSpPr>
      </xdr:nvCxnSpPr>
      <xdr:spPr>
        <a:xfrm flipH="1">
          <a:off x="9323706" y="3557557"/>
          <a:ext cx="76591" cy="305242"/>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31</xdr:col>
      <xdr:colOff>164478</xdr:colOff>
      <xdr:row>4</xdr:row>
      <xdr:rowOff>223306</xdr:rowOff>
    </xdr:from>
    <xdr:to>
      <xdr:col>31</xdr:col>
      <xdr:colOff>203084</xdr:colOff>
      <xdr:row>6</xdr:row>
      <xdr:rowOff>59284</xdr:rowOff>
    </xdr:to>
    <xdr:cxnSp macro="">
      <xdr:nvCxnSpPr>
        <xdr:cNvPr id="93" name="直線コネクタ 92">
          <a:extLst>
            <a:ext uri="{FF2B5EF4-FFF2-40B4-BE49-F238E27FC236}">
              <a16:creationId xmlns:a16="http://schemas.microsoft.com/office/drawing/2014/main" id="{FA542054-AB18-476B-8974-ECA1FF1E7A7A}"/>
            </a:ext>
          </a:extLst>
        </xdr:cNvPr>
        <xdr:cNvCxnSpPr>
          <a:stCxn id="89" idx="2"/>
        </xdr:cNvCxnSpPr>
      </xdr:nvCxnSpPr>
      <xdr:spPr>
        <a:xfrm flipH="1">
          <a:off x="9022728" y="3557056"/>
          <a:ext cx="38606" cy="312228"/>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30</xdr:col>
      <xdr:colOff>158128</xdr:colOff>
      <xdr:row>4</xdr:row>
      <xdr:rowOff>224308</xdr:rowOff>
    </xdr:from>
    <xdr:to>
      <xdr:col>30</xdr:col>
      <xdr:colOff>163508</xdr:colOff>
      <xdr:row>6</xdr:row>
      <xdr:rowOff>49557</xdr:rowOff>
    </xdr:to>
    <xdr:cxnSp macro="">
      <xdr:nvCxnSpPr>
        <xdr:cNvPr id="94" name="直線コネクタ 93">
          <a:extLst>
            <a:ext uri="{FF2B5EF4-FFF2-40B4-BE49-F238E27FC236}">
              <a16:creationId xmlns:a16="http://schemas.microsoft.com/office/drawing/2014/main" id="{2F454A67-F99B-4E96-815C-F0BB816C61F9}"/>
            </a:ext>
          </a:extLst>
        </xdr:cNvPr>
        <xdr:cNvCxnSpPr>
          <a:stCxn id="90" idx="2"/>
        </xdr:cNvCxnSpPr>
      </xdr:nvCxnSpPr>
      <xdr:spPr>
        <a:xfrm>
          <a:off x="8730628" y="3558058"/>
          <a:ext cx="5380" cy="301499"/>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29</xdr:col>
      <xdr:colOff>75090</xdr:colOff>
      <xdr:row>4</xdr:row>
      <xdr:rowOff>223626</xdr:rowOff>
    </xdr:from>
    <xdr:to>
      <xdr:col>29</xdr:col>
      <xdr:colOff>144328</xdr:colOff>
      <xdr:row>6</xdr:row>
      <xdr:rowOff>48746</xdr:rowOff>
    </xdr:to>
    <xdr:cxnSp macro="">
      <xdr:nvCxnSpPr>
        <xdr:cNvPr id="95" name="直線コネクタ 94">
          <a:extLst>
            <a:ext uri="{FF2B5EF4-FFF2-40B4-BE49-F238E27FC236}">
              <a16:creationId xmlns:a16="http://schemas.microsoft.com/office/drawing/2014/main" id="{0E1C0B62-1E81-4FC4-88FC-4CC9A31588E0}"/>
            </a:ext>
          </a:extLst>
        </xdr:cNvPr>
        <xdr:cNvCxnSpPr>
          <a:stCxn id="85" idx="2"/>
        </xdr:cNvCxnSpPr>
      </xdr:nvCxnSpPr>
      <xdr:spPr>
        <a:xfrm>
          <a:off x="8361840" y="3557376"/>
          <a:ext cx="69238" cy="301370"/>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27</xdr:col>
      <xdr:colOff>255464</xdr:colOff>
      <xdr:row>4</xdr:row>
      <xdr:rowOff>223807</xdr:rowOff>
    </xdr:from>
    <xdr:to>
      <xdr:col>28</xdr:col>
      <xdr:colOff>138889</xdr:colOff>
      <xdr:row>6</xdr:row>
      <xdr:rowOff>54420</xdr:rowOff>
    </xdr:to>
    <xdr:cxnSp macro="">
      <xdr:nvCxnSpPr>
        <xdr:cNvPr id="96" name="直線コネクタ 95">
          <a:extLst>
            <a:ext uri="{FF2B5EF4-FFF2-40B4-BE49-F238E27FC236}">
              <a16:creationId xmlns:a16="http://schemas.microsoft.com/office/drawing/2014/main" id="{5D129BE6-F770-43B4-85BB-A747B9D3B4CD}"/>
            </a:ext>
          </a:extLst>
        </xdr:cNvPr>
        <xdr:cNvCxnSpPr/>
      </xdr:nvCxnSpPr>
      <xdr:spPr>
        <a:xfrm>
          <a:off x="7970714" y="3557557"/>
          <a:ext cx="169175" cy="306863"/>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29</xdr:col>
      <xdr:colOff>9476</xdr:colOff>
      <xdr:row>2</xdr:row>
      <xdr:rowOff>38995</xdr:rowOff>
    </xdr:from>
    <xdr:to>
      <xdr:col>33</xdr:col>
      <xdr:colOff>54901</xdr:colOff>
      <xdr:row>3</xdr:row>
      <xdr:rowOff>110582</xdr:rowOff>
    </xdr:to>
    <xdr:sp macro="" textlink="">
      <xdr:nvSpPr>
        <xdr:cNvPr id="97" name="正方形/長方形 96">
          <a:extLst>
            <a:ext uri="{FF2B5EF4-FFF2-40B4-BE49-F238E27FC236}">
              <a16:creationId xmlns:a16="http://schemas.microsoft.com/office/drawing/2014/main" id="{3E6886BD-ACEA-47E9-8E48-704E20D7CF9C}"/>
            </a:ext>
          </a:extLst>
        </xdr:cNvPr>
        <xdr:cNvSpPr/>
      </xdr:nvSpPr>
      <xdr:spPr>
        <a:xfrm>
          <a:off x="8296226" y="2896495"/>
          <a:ext cx="1188425" cy="309712"/>
        </a:xfrm>
        <a:prstGeom prst="rect">
          <a:avLst/>
        </a:prstGeom>
        <a:solidFill>
          <a:schemeClr val="accent4">
            <a:lumMod val="20000"/>
            <a:lumOff val="80000"/>
          </a:schemeClr>
        </a:solidFill>
        <a:ln>
          <a:solidFill>
            <a:schemeClr val="dk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a:solidFill>
                <a:schemeClr val="tx1"/>
              </a:solidFill>
            </a:rPr>
            <a:t>PMOD_0</a:t>
          </a:r>
          <a:endParaRPr kumimoji="1" lang="ja-JP" altLang="en-US" sz="1400">
            <a:solidFill>
              <a:schemeClr val="tx1"/>
            </a:solidFill>
          </a:endParaRPr>
        </a:p>
      </xdr:txBody>
    </xdr:sp>
    <xdr:clientData/>
  </xdr:twoCellAnchor>
  <xdr:twoCellAnchor>
    <xdr:from>
      <xdr:col>33</xdr:col>
      <xdr:colOff>189026</xdr:colOff>
      <xdr:row>7</xdr:row>
      <xdr:rowOff>179158</xdr:rowOff>
    </xdr:from>
    <xdr:to>
      <xdr:col>34</xdr:col>
      <xdr:colOff>5029</xdr:colOff>
      <xdr:row>9</xdr:row>
      <xdr:rowOff>158321</xdr:rowOff>
    </xdr:to>
    <xdr:cxnSp macro="">
      <xdr:nvCxnSpPr>
        <xdr:cNvPr id="98" name="直線コネクタ 97">
          <a:extLst>
            <a:ext uri="{FF2B5EF4-FFF2-40B4-BE49-F238E27FC236}">
              <a16:creationId xmlns:a16="http://schemas.microsoft.com/office/drawing/2014/main" id="{536D7628-2899-461A-A064-8BE9512E20F3}"/>
            </a:ext>
          </a:extLst>
        </xdr:cNvPr>
        <xdr:cNvCxnSpPr/>
      </xdr:nvCxnSpPr>
      <xdr:spPr>
        <a:xfrm>
          <a:off x="9618776" y="4227283"/>
          <a:ext cx="101753" cy="455413"/>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32</xdr:col>
      <xdr:colOff>182813</xdr:colOff>
      <xdr:row>7</xdr:row>
      <xdr:rowOff>184052</xdr:rowOff>
    </xdr:from>
    <xdr:to>
      <xdr:col>32</xdr:col>
      <xdr:colOff>262688</xdr:colOff>
      <xdr:row>9</xdr:row>
      <xdr:rowOff>158321</xdr:rowOff>
    </xdr:to>
    <xdr:cxnSp macro="">
      <xdr:nvCxnSpPr>
        <xdr:cNvPr id="99" name="直線コネクタ 98">
          <a:extLst>
            <a:ext uri="{FF2B5EF4-FFF2-40B4-BE49-F238E27FC236}">
              <a16:creationId xmlns:a16="http://schemas.microsoft.com/office/drawing/2014/main" id="{4C2E260A-DAEC-4E44-A74D-02AB2FC689FB}"/>
            </a:ext>
          </a:extLst>
        </xdr:cNvPr>
        <xdr:cNvCxnSpPr/>
      </xdr:nvCxnSpPr>
      <xdr:spPr>
        <a:xfrm>
          <a:off x="9326813" y="4232177"/>
          <a:ext cx="79875" cy="450519"/>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31</xdr:col>
      <xdr:colOff>163902</xdr:colOff>
      <xdr:row>7</xdr:row>
      <xdr:rowOff>184266</xdr:rowOff>
    </xdr:from>
    <xdr:to>
      <xdr:col>31</xdr:col>
      <xdr:colOff>209528</xdr:colOff>
      <xdr:row>9</xdr:row>
      <xdr:rowOff>157820</xdr:rowOff>
    </xdr:to>
    <xdr:cxnSp macro="">
      <xdr:nvCxnSpPr>
        <xdr:cNvPr id="100" name="直線コネクタ 99">
          <a:extLst>
            <a:ext uri="{FF2B5EF4-FFF2-40B4-BE49-F238E27FC236}">
              <a16:creationId xmlns:a16="http://schemas.microsoft.com/office/drawing/2014/main" id="{2132A7E9-ACC6-4C89-8B25-B859E3080D2E}"/>
            </a:ext>
          </a:extLst>
        </xdr:cNvPr>
        <xdr:cNvCxnSpPr/>
      </xdr:nvCxnSpPr>
      <xdr:spPr>
        <a:xfrm>
          <a:off x="9022152" y="4232391"/>
          <a:ext cx="45626" cy="449804"/>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30</xdr:col>
      <xdr:colOff>160415</xdr:colOff>
      <xdr:row>7</xdr:row>
      <xdr:rowOff>188105</xdr:rowOff>
    </xdr:from>
    <xdr:to>
      <xdr:col>30</xdr:col>
      <xdr:colOff>164518</xdr:colOff>
      <xdr:row>9</xdr:row>
      <xdr:rowOff>158822</xdr:rowOff>
    </xdr:to>
    <xdr:cxnSp macro="">
      <xdr:nvCxnSpPr>
        <xdr:cNvPr id="103" name="直線コネクタ 102">
          <a:extLst>
            <a:ext uri="{FF2B5EF4-FFF2-40B4-BE49-F238E27FC236}">
              <a16:creationId xmlns:a16="http://schemas.microsoft.com/office/drawing/2014/main" id="{795F1DE1-7E06-4C8E-B839-1829583351D7}"/>
            </a:ext>
          </a:extLst>
        </xdr:cNvPr>
        <xdr:cNvCxnSpPr/>
      </xdr:nvCxnSpPr>
      <xdr:spPr>
        <a:xfrm>
          <a:off x="8732915" y="4236230"/>
          <a:ext cx="4103" cy="446967"/>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29</xdr:col>
      <xdr:colOff>81481</xdr:colOff>
      <xdr:row>7</xdr:row>
      <xdr:rowOff>182769</xdr:rowOff>
    </xdr:from>
    <xdr:to>
      <xdr:col>29</xdr:col>
      <xdr:colOff>136470</xdr:colOff>
      <xdr:row>9</xdr:row>
      <xdr:rowOff>156647</xdr:rowOff>
    </xdr:to>
    <xdr:cxnSp macro="">
      <xdr:nvCxnSpPr>
        <xdr:cNvPr id="106" name="直線コネクタ 105">
          <a:extLst>
            <a:ext uri="{FF2B5EF4-FFF2-40B4-BE49-F238E27FC236}">
              <a16:creationId xmlns:a16="http://schemas.microsoft.com/office/drawing/2014/main" id="{2E46A7A7-60EE-441F-BBEE-D325A12462B5}"/>
            </a:ext>
          </a:extLst>
        </xdr:cNvPr>
        <xdr:cNvCxnSpPr/>
      </xdr:nvCxnSpPr>
      <xdr:spPr>
        <a:xfrm flipH="1">
          <a:off x="8368231" y="4230894"/>
          <a:ext cx="54989" cy="450128"/>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27</xdr:col>
      <xdr:colOff>244933</xdr:colOff>
      <xdr:row>7</xdr:row>
      <xdr:rowOff>179998</xdr:rowOff>
    </xdr:from>
    <xdr:to>
      <xdr:col>28</xdr:col>
      <xdr:colOff>128217</xdr:colOff>
      <xdr:row>9</xdr:row>
      <xdr:rowOff>158321</xdr:rowOff>
    </xdr:to>
    <xdr:cxnSp macro="">
      <xdr:nvCxnSpPr>
        <xdr:cNvPr id="107" name="直線コネクタ 106">
          <a:extLst>
            <a:ext uri="{FF2B5EF4-FFF2-40B4-BE49-F238E27FC236}">
              <a16:creationId xmlns:a16="http://schemas.microsoft.com/office/drawing/2014/main" id="{818F5365-8505-421C-8A4A-0A65C70A5118}"/>
            </a:ext>
          </a:extLst>
        </xdr:cNvPr>
        <xdr:cNvCxnSpPr/>
      </xdr:nvCxnSpPr>
      <xdr:spPr>
        <a:xfrm flipH="1">
          <a:off x="7960183" y="4228123"/>
          <a:ext cx="169034" cy="454573"/>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43</xdr:col>
      <xdr:colOff>280527</xdr:colOff>
      <xdr:row>20</xdr:row>
      <xdr:rowOff>97735</xdr:rowOff>
    </xdr:from>
    <xdr:to>
      <xdr:col>44</xdr:col>
      <xdr:colOff>262969</xdr:colOff>
      <xdr:row>21</xdr:row>
      <xdr:rowOff>228309</xdr:rowOff>
    </xdr:to>
    <xdr:cxnSp macro="">
      <xdr:nvCxnSpPr>
        <xdr:cNvPr id="169" name="直線コネクタ 168">
          <a:extLst>
            <a:ext uri="{FF2B5EF4-FFF2-40B4-BE49-F238E27FC236}">
              <a16:creationId xmlns:a16="http://schemas.microsoft.com/office/drawing/2014/main" id="{E86810A8-E3E7-44C5-90F7-315B98A5DC4E}"/>
            </a:ext>
          </a:extLst>
        </xdr:cNvPr>
        <xdr:cNvCxnSpPr/>
      </xdr:nvCxnSpPr>
      <xdr:spPr>
        <a:xfrm flipV="1">
          <a:off x="12567777" y="5336485"/>
          <a:ext cx="268192" cy="368699"/>
        </a:xfrm>
        <a:prstGeom prst="line">
          <a:avLst/>
        </a:prstGeom>
        <a:ln>
          <a:solidFill>
            <a:schemeClr val="tx1"/>
          </a:solidFill>
          <a:prstDash val="dash"/>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42</xdr:col>
      <xdr:colOff>152682</xdr:colOff>
      <xdr:row>19</xdr:row>
      <xdr:rowOff>53082</xdr:rowOff>
    </xdr:from>
    <xdr:to>
      <xdr:col>48</xdr:col>
      <xdr:colOff>71381</xdr:colOff>
      <xdr:row>20</xdr:row>
      <xdr:rowOff>156835</xdr:rowOff>
    </xdr:to>
    <xdr:sp macro="" textlink="">
      <xdr:nvSpPr>
        <xdr:cNvPr id="170" name="正方形/長方形 169">
          <a:extLst>
            <a:ext uri="{FF2B5EF4-FFF2-40B4-BE49-F238E27FC236}">
              <a16:creationId xmlns:a16="http://schemas.microsoft.com/office/drawing/2014/main" id="{D17D128C-E416-441A-857C-A720204107C2}"/>
            </a:ext>
          </a:extLst>
        </xdr:cNvPr>
        <xdr:cNvSpPr/>
      </xdr:nvSpPr>
      <xdr:spPr>
        <a:xfrm>
          <a:off x="12154182" y="5053707"/>
          <a:ext cx="1633199" cy="34187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外部スタートトリガ</a:t>
          </a:r>
        </a:p>
      </xdr:txBody>
    </xdr:sp>
    <xdr:clientData/>
  </xdr:twoCellAnchor>
  <xdr:twoCellAnchor>
    <xdr:from>
      <xdr:col>42</xdr:col>
      <xdr:colOff>224871</xdr:colOff>
      <xdr:row>22</xdr:row>
      <xdr:rowOff>1658</xdr:rowOff>
    </xdr:from>
    <xdr:to>
      <xdr:col>46</xdr:col>
      <xdr:colOff>170473</xdr:colOff>
      <xdr:row>22</xdr:row>
      <xdr:rowOff>1658</xdr:rowOff>
    </xdr:to>
    <xdr:cxnSp macro="">
      <xdr:nvCxnSpPr>
        <xdr:cNvPr id="172" name="直線矢印コネクタ 171">
          <a:extLst>
            <a:ext uri="{FF2B5EF4-FFF2-40B4-BE49-F238E27FC236}">
              <a16:creationId xmlns:a16="http://schemas.microsoft.com/office/drawing/2014/main" id="{A3496803-29B3-4A05-B718-2AA1D9C46791}"/>
            </a:ext>
          </a:extLst>
        </xdr:cNvPr>
        <xdr:cNvCxnSpPr/>
      </xdr:nvCxnSpPr>
      <xdr:spPr>
        <a:xfrm flipH="1">
          <a:off x="12226371" y="5716658"/>
          <a:ext cx="1088602" cy="0"/>
        </a:xfrm>
        <a:prstGeom prst="straightConnector1">
          <a:avLst/>
        </a:prstGeom>
        <a:ln>
          <a:headEnd type="triangle" w="sm" len="med"/>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36</xdr:col>
      <xdr:colOff>265316</xdr:colOff>
      <xdr:row>29</xdr:row>
      <xdr:rowOff>32986</xdr:rowOff>
    </xdr:from>
    <xdr:to>
      <xdr:col>41</xdr:col>
      <xdr:colOff>240803</xdr:colOff>
      <xdr:row>32</xdr:row>
      <xdr:rowOff>159151</xdr:rowOff>
    </xdr:to>
    <xdr:sp macro="" textlink="">
      <xdr:nvSpPr>
        <xdr:cNvPr id="183" name="正方形/長方形 182">
          <a:extLst>
            <a:ext uri="{FF2B5EF4-FFF2-40B4-BE49-F238E27FC236}">
              <a16:creationId xmlns:a16="http://schemas.microsoft.com/office/drawing/2014/main" id="{B62BAA97-3FE7-445D-967B-3C7B68048CD0}"/>
            </a:ext>
          </a:extLst>
        </xdr:cNvPr>
        <xdr:cNvSpPr/>
      </xdr:nvSpPr>
      <xdr:spPr>
        <a:xfrm>
          <a:off x="10552316" y="7414861"/>
          <a:ext cx="1404237" cy="84054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100">
              <a:solidFill>
                <a:schemeClr val="tx1"/>
              </a:solidFill>
            </a:rPr>
            <a:t>波形データ</a:t>
          </a:r>
          <a:endParaRPr kumimoji="1" lang="en-US" altLang="ja-JP" sz="1100">
            <a:solidFill>
              <a:schemeClr val="tx1"/>
            </a:solidFill>
          </a:endParaRPr>
        </a:p>
        <a:p>
          <a:pPr algn="l"/>
          <a:r>
            <a:rPr kumimoji="1" lang="ja-JP" altLang="en-US" sz="1100">
              <a:solidFill>
                <a:schemeClr val="tx1"/>
              </a:solidFill>
            </a:rPr>
            <a:t>制御レジスタ値</a:t>
          </a:r>
          <a:endParaRPr kumimoji="1" lang="en-US" altLang="ja-JP" sz="1100">
            <a:solidFill>
              <a:schemeClr val="tx1"/>
            </a:solidFill>
          </a:endParaRPr>
        </a:p>
      </xdr:txBody>
    </xdr:sp>
    <xdr:clientData/>
  </xdr:twoCellAnchor>
  <xdr:twoCellAnchor>
    <xdr:from>
      <xdr:col>51</xdr:col>
      <xdr:colOff>113770</xdr:colOff>
      <xdr:row>32</xdr:row>
      <xdr:rowOff>185880</xdr:rowOff>
    </xdr:from>
    <xdr:to>
      <xdr:col>54</xdr:col>
      <xdr:colOff>64810</xdr:colOff>
      <xdr:row>32</xdr:row>
      <xdr:rowOff>185880</xdr:rowOff>
    </xdr:to>
    <xdr:cxnSp macro="">
      <xdr:nvCxnSpPr>
        <xdr:cNvPr id="184" name="直線矢印コネクタ 183">
          <a:extLst>
            <a:ext uri="{FF2B5EF4-FFF2-40B4-BE49-F238E27FC236}">
              <a16:creationId xmlns:a16="http://schemas.microsoft.com/office/drawing/2014/main" id="{8C9FF939-49EE-4E8C-893F-2D571FE29D7C}"/>
            </a:ext>
          </a:extLst>
        </xdr:cNvPr>
        <xdr:cNvCxnSpPr/>
      </xdr:nvCxnSpPr>
      <xdr:spPr>
        <a:xfrm>
          <a:off x="14687020" y="8282130"/>
          <a:ext cx="808290"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49</xdr:col>
      <xdr:colOff>225701</xdr:colOff>
      <xdr:row>30</xdr:row>
      <xdr:rowOff>93593</xdr:rowOff>
    </xdr:from>
    <xdr:to>
      <xdr:col>49</xdr:col>
      <xdr:colOff>225701</xdr:colOff>
      <xdr:row>31</xdr:row>
      <xdr:rowOff>161097</xdr:rowOff>
    </xdr:to>
    <xdr:cxnSp macro="">
      <xdr:nvCxnSpPr>
        <xdr:cNvPr id="185" name="直線矢印コネクタ 184">
          <a:extLst>
            <a:ext uri="{FF2B5EF4-FFF2-40B4-BE49-F238E27FC236}">
              <a16:creationId xmlns:a16="http://schemas.microsoft.com/office/drawing/2014/main" id="{434CA947-3CED-4FF4-A786-9F18D55D1D09}"/>
            </a:ext>
          </a:extLst>
        </xdr:cNvPr>
        <xdr:cNvCxnSpPr/>
      </xdr:nvCxnSpPr>
      <xdr:spPr>
        <a:xfrm>
          <a:off x="14227451" y="7713593"/>
          <a:ext cx="0" cy="305629"/>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47</xdr:col>
      <xdr:colOff>152756</xdr:colOff>
      <xdr:row>27</xdr:row>
      <xdr:rowOff>217417</xdr:rowOff>
    </xdr:from>
    <xdr:to>
      <xdr:col>52</xdr:col>
      <xdr:colOff>125875</xdr:colOff>
      <xdr:row>30</xdr:row>
      <xdr:rowOff>144456</xdr:rowOff>
    </xdr:to>
    <xdr:sp macro="" textlink="">
      <xdr:nvSpPr>
        <xdr:cNvPr id="186" name="正方形/長方形 185">
          <a:extLst>
            <a:ext uri="{FF2B5EF4-FFF2-40B4-BE49-F238E27FC236}">
              <a16:creationId xmlns:a16="http://schemas.microsoft.com/office/drawing/2014/main" id="{C02DFA5C-8247-48D5-AD7D-83CF98392C57}"/>
            </a:ext>
          </a:extLst>
        </xdr:cNvPr>
        <xdr:cNvSpPr/>
      </xdr:nvSpPr>
      <xdr:spPr>
        <a:xfrm>
          <a:off x="13583006" y="7123042"/>
          <a:ext cx="1401869" cy="641414"/>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メモリアクセス</a:t>
          </a:r>
          <a:endParaRPr kumimoji="1" lang="en-US" altLang="ja-JP" sz="1100">
            <a:solidFill>
              <a:schemeClr val="tx1"/>
            </a:solidFill>
          </a:endParaRPr>
        </a:p>
        <a:p>
          <a:pPr algn="ctr"/>
          <a:r>
            <a:rPr kumimoji="1" lang="ja-JP" altLang="en-US" sz="1100">
              <a:solidFill>
                <a:schemeClr val="tx1"/>
              </a:solidFill>
            </a:rPr>
            <a:t>コントローラ</a:t>
          </a:r>
        </a:p>
      </xdr:txBody>
    </xdr:sp>
    <xdr:clientData/>
  </xdr:twoCellAnchor>
  <xdr:twoCellAnchor>
    <xdr:from>
      <xdr:col>36</xdr:col>
      <xdr:colOff>201894</xdr:colOff>
      <xdr:row>27</xdr:row>
      <xdr:rowOff>15221</xdr:rowOff>
    </xdr:from>
    <xdr:to>
      <xdr:col>41</xdr:col>
      <xdr:colOff>12685</xdr:colOff>
      <xdr:row>30</xdr:row>
      <xdr:rowOff>33422</xdr:rowOff>
    </xdr:to>
    <xdr:sp macro="" textlink="">
      <xdr:nvSpPr>
        <xdr:cNvPr id="187" name="正方形/長方形 186">
          <a:extLst>
            <a:ext uri="{FF2B5EF4-FFF2-40B4-BE49-F238E27FC236}">
              <a16:creationId xmlns:a16="http://schemas.microsoft.com/office/drawing/2014/main" id="{D90935D5-843B-4963-952E-92DCBE09BF62}"/>
            </a:ext>
          </a:extLst>
        </xdr:cNvPr>
        <xdr:cNvSpPr/>
      </xdr:nvSpPr>
      <xdr:spPr>
        <a:xfrm>
          <a:off x="10488894" y="6920846"/>
          <a:ext cx="1239541" cy="73257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10 Gb </a:t>
          </a:r>
        </a:p>
        <a:p>
          <a:pPr algn="ctr"/>
          <a:r>
            <a:rPr kumimoji="1" lang="en-US" altLang="ja-JP" sz="1100">
              <a:solidFill>
                <a:schemeClr val="tx1"/>
              </a:solidFill>
            </a:rPr>
            <a:t>Ethernet</a:t>
          </a:r>
          <a:endParaRPr kumimoji="1" lang="ja-JP" altLang="en-US" sz="1100">
            <a:solidFill>
              <a:schemeClr val="tx1"/>
            </a:solidFill>
          </a:endParaRPr>
        </a:p>
      </xdr:txBody>
    </xdr:sp>
    <xdr:clientData/>
  </xdr:twoCellAnchor>
  <xdr:twoCellAnchor>
    <xdr:from>
      <xdr:col>36</xdr:col>
      <xdr:colOff>214104</xdr:colOff>
      <xdr:row>29</xdr:row>
      <xdr:rowOff>102591</xdr:rowOff>
    </xdr:from>
    <xdr:to>
      <xdr:col>42</xdr:col>
      <xdr:colOff>26567</xdr:colOff>
      <xdr:row>29</xdr:row>
      <xdr:rowOff>102591</xdr:rowOff>
    </xdr:to>
    <xdr:cxnSp macro="">
      <xdr:nvCxnSpPr>
        <xdr:cNvPr id="188" name="直線矢印コネクタ 187">
          <a:extLst>
            <a:ext uri="{FF2B5EF4-FFF2-40B4-BE49-F238E27FC236}">
              <a16:creationId xmlns:a16="http://schemas.microsoft.com/office/drawing/2014/main" id="{513236E8-FF98-4580-ADA6-BA658B6DA9B4}"/>
            </a:ext>
          </a:extLst>
        </xdr:cNvPr>
        <xdr:cNvCxnSpPr/>
      </xdr:nvCxnSpPr>
      <xdr:spPr>
        <a:xfrm>
          <a:off x="10501104" y="7484466"/>
          <a:ext cx="1526963"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39</xdr:col>
      <xdr:colOff>216069</xdr:colOff>
      <xdr:row>20</xdr:row>
      <xdr:rowOff>218367</xdr:rowOff>
    </xdr:from>
    <xdr:to>
      <xdr:col>42</xdr:col>
      <xdr:colOff>258003</xdr:colOff>
      <xdr:row>23</xdr:row>
      <xdr:rowOff>17395</xdr:rowOff>
    </xdr:to>
    <xdr:sp macro="" textlink="">
      <xdr:nvSpPr>
        <xdr:cNvPr id="189" name="正方形/長方形 188">
          <a:extLst>
            <a:ext uri="{FF2B5EF4-FFF2-40B4-BE49-F238E27FC236}">
              <a16:creationId xmlns:a16="http://schemas.microsoft.com/office/drawing/2014/main" id="{7A1E9BB9-44C1-4F71-83F2-190D4B32F3BB}"/>
            </a:ext>
          </a:extLst>
        </xdr:cNvPr>
        <xdr:cNvSpPr/>
      </xdr:nvSpPr>
      <xdr:spPr>
        <a:xfrm>
          <a:off x="11360319" y="5457117"/>
          <a:ext cx="899184" cy="513403"/>
        </a:xfrm>
        <a:prstGeom prst="rect">
          <a:avLst/>
        </a:prstGeom>
        <a:solidFill>
          <a:schemeClr val="accent6">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PMOD</a:t>
          </a:r>
          <a:r>
            <a:rPr kumimoji="1" lang="en-US" altLang="ja-JP" sz="1100" baseline="0">
              <a:solidFill>
                <a:schemeClr val="tx1"/>
              </a:solidFill>
            </a:rPr>
            <a:t> 1</a:t>
          </a:r>
          <a:endParaRPr kumimoji="1" lang="ja-JP" altLang="en-US" sz="1100">
            <a:solidFill>
              <a:schemeClr val="tx1"/>
            </a:solidFill>
          </a:endParaRPr>
        </a:p>
      </xdr:txBody>
    </xdr:sp>
    <xdr:clientData/>
  </xdr:twoCellAnchor>
  <xdr:twoCellAnchor>
    <xdr:from>
      <xdr:col>64</xdr:col>
      <xdr:colOff>70915</xdr:colOff>
      <xdr:row>41</xdr:row>
      <xdr:rowOff>191863</xdr:rowOff>
    </xdr:from>
    <xdr:to>
      <xdr:col>67</xdr:col>
      <xdr:colOff>112850</xdr:colOff>
      <xdr:row>43</xdr:row>
      <xdr:rowOff>229016</xdr:rowOff>
    </xdr:to>
    <xdr:sp macro="" textlink="">
      <xdr:nvSpPr>
        <xdr:cNvPr id="190" name="正方形/長方形 189">
          <a:extLst>
            <a:ext uri="{FF2B5EF4-FFF2-40B4-BE49-F238E27FC236}">
              <a16:creationId xmlns:a16="http://schemas.microsoft.com/office/drawing/2014/main" id="{134AE8F4-2A3F-42A7-8A1B-F177E07FE68F}"/>
            </a:ext>
          </a:extLst>
        </xdr:cNvPr>
        <xdr:cNvSpPr/>
      </xdr:nvSpPr>
      <xdr:spPr>
        <a:xfrm>
          <a:off x="18358915" y="10431238"/>
          <a:ext cx="899185" cy="513403"/>
        </a:xfrm>
        <a:prstGeom prst="rect">
          <a:avLst/>
        </a:prstGeom>
        <a:solidFill>
          <a:schemeClr val="accent6">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PMOD</a:t>
          </a:r>
          <a:r>
            <a:rPr kumimoji="1" lang="en-US" altLang="ja-JP" sz="1100" baseline="0">
              <a:solidFill>
                <a:schemeClr val="tx1"/>
              </a:solidFill>
            </a:rPr>
            <a:t> 0</a:t>
          </a:r>
          <a:endParaRPr kumimoji="1" lang="ja-JP" altLang="en-US" sz="1100">
            <a:solidFill>
              <a:schemeClr val="tx1"/>
            </a:solidFill>
          </a:endParaRPr>
        </a:p>
      </xdr:txBody>
    </xdr:sp>
    <xdr:clientData/>
  </xdr:twoCellAnchor>
  <xdr:twoCellAnchor>
    <xdr:from>
      <xdr:col>43</xdr:col>
      <xdr:colOff>128934</xdr:colOff>
      <xdr:row>15</xdr:row>
      <xdr:rowOff>112240</xdr:rowOff>
    </xdr:from>
    <xdr:to>
      <xdr:col>46</xdr:col>
      <xdr:colOff>152060</xdr:colOff>
      <xdr:row>17</xdr:row>
      <xdr:rowOff>195315</xdr:rowOff>
    </xdr:to>
    <xdr:sp macro="" textlink="">
      <xdr:nvSpPr>
        <xdr:cNvPr id="191" name="正方形/長方形 190">
          <a:extLst>
            <a:ext uri="{FF2B5EF4-FFF2-40B4-BE49-F238E27FC236}">
              <a16:creationId xmlns:a16="http://schemas.microsoft.com/office/drawing/2014/main" id="{58ED9CE9-3557-4A2B-9BF3-F480C9906E43}"/>
            </a:ext>
          </a:extLst>
        </xdr:cNvPr>
        <xdr:cNvSpPr/>
      </xdr:nvSpPr>
      <xdr:spPr>
        <a:xfrm>
          <a:off x="12416184" y="4160365"/>
          <a:ext cx="880376" cy="559325"/>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CPU</a:t>
          </a:r>
          <a:endParaRPr kumimoji="1" lang="ja-JP" altLang="en-US" sz="1200">
            <a:solidFill>
              <a:schemeClr val="tx1"/>
            </a:solidFill>
          </a:endParaRPr>
        </a:p>
      </xdr:txBody>
    </xdr:sp>
    <xdr:clientData/>
  </xdr:twoCellAnchor>
  <xdr:twoCellAnchor>
    <xdr:from>
      <xdr:col>36</xdr:col>
      <xdr:colOff>73921</xdr:colOff>
      <xdr:row>16</xdr:row>
      <xdr:rowOff>153779</xdr:rowOff>
    </xdr:from>
    <xdr:to>
      <xdr:col>43</xdr:col>
      <xdr:colOff>128933</xdr:colOff>
      <xdr:row>27</xdr:row>
      <xdr:rowOff>40999</xdr:rowOff>
    </xdr:to>
    <xdr:cxnSp macro="">
      <xdr:nvCxnSpPr>
        <xdr:cNvPr id="192" name="コネクタ: カギ線 191">
          <a:extLst>
            <a:ext uri="{FF2B5EF4-FFF2-40B4-BE49-F238E27FC236}">
              <a16:creationId xmlns:a16="http://schemas.microsoft.com/office/drawing/2014/main" id="{C8F38696-2C6A-49F1-B9A0-AF69B7DD678B}"/>
            </a:ext>
          </a:extLst>
        </xdr:cNvPr>
        <xdr:cNvCxnSpPr>
          <a:endCxn id="191" idx="1"/>
        </xdr:cNvCxnSpPr>
      </xdr:nvCxnSpPr>
      <xdr:spPr>
        <a:xfrm rot="5400000" flipH="1" flipV="1">
          <a:off x="10135254" y="4665696"/>
          <a:ext cx="2506595" cy="2055262"/>
        </a:xfrm>
        <a:prstGeom prst="bentConnector2">
          <a:avLst/>
        </a:prstGeom>
        <a:ln>
          <a:solidFill>
            <a:schemeClr val="tx1"/>
          </a:solidFill>
          <a:headEnd type="triangle" w="sm" len="med"/>
          <a:tailEnd type="triangle"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36</xdr:col>
      <xdr:colOff>178141</xdr:colOff>
      <xdr:row>16</xdr:row>
      <xdr:rowOff>160125</xdr:rowOff>
    </xdr:from>
    <xdr:to>
      <xdr:col>41</xdr:col>
      <xdr:colOff>161289</xdr:colOff>
      <xdr:row>19</xdr:row>
      <xdr:rowOff>113058</xdr:rowOff>
    </xdr:to>
    <xdr:sp macro="" textlink="">
      <xdr:nvSpPr>
        <xdr:cNvPr id="193" name="正方形/長方形 192">
          <a:extLst>
            <a:ext uri="{FF2B5EF4-FFF2-40B4-BE49-F238E27FC236}">
              <a16:creationId xmlns:a16="http://schemas.microsoft.com/office/drawing/2014/main" id="{190B22C3-D593-4706-9DBF-C6895529E665}"/>
            </a:ext>
          </a:extLst>
        </xdr:cNvPr>
        <xdr:cNvSpPr/>
      </xdr:nvSpPr>
      <xdr:spPr>
        <a:xfrm>
          <a:off x="10465141" y="4446375"/>
          <a:ext cx="1411898" cy="66730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RF</a:t>
          </a:r>
          <a:r>
            <a:rPr kumimoji="1" lang="en-US" altLang="ja-JP" sz="1100" baseline="0">
              <a:solidFill>
                <a:schemeClr val="tx1"/>
              </a:solidFill>
            </a:rPr>
            <a:t> Data Converter</a:t>
          </a:r>
        </a:p>
        <a:p>
          <a:pPr algn="ctr"/>
          <a:r>
            <a:rPr kumimoji="1" lang="ja-JP" altLang="en-US" sz="1100" baseline="0">
              <a:solidFill>
                <a:schemeClr val="tx1"/>
              </a:solidFill>
            </a:rPr>
            <a:t>制御コマンド</a:t>
          </a:r>
          <a:endParaRPr kumimoji="1" lang="en-US" altLang="ja-JP" sz="1100">
            <a:solidFill>
              <a:schemeClr val="tx1"/>
            </a:solidFill>
          </a:endParaRPr>
        </a:p>
      </xdr:txBody>
    </xdr:sp>
    <xdr:clientData/>
  </xdr:twoCellAnchor>
  <xdr:twoCellAnchor>
    <xdr:from>
      <xdr:col>46</xdr:col>
      <xdr:colOff>148465</xdr:colOff>
      <xdr:row>16</xdr:row>
      <xdr:rowOff>173823</xdr:rowOff>
    </xdr:from>
    <xdr:to>
      <xdr:col>59</xdr:col>
      <xdr:colOff>226321</xdr:colOff>
      <xdr:row>16</xdr:row>
      <xdr:rowOff>173823</xdr:rowOff>
    </xdr:to>
    <xdr:cxnSp macro="">
      <xdr:nvCxnSpPr>
        <xdr:cNvPr id="194" name="直線矢印コネクタ 193">
          <a:extLst>
            <a:ext uri="{FF2B5EF4-FFF2-40B4-BE49-F238E27FC236}">
              <a16:creationId xmlns:a16="http://schemas.microsoft.com/office/drawing/2014/main" id="{D20B39D0-412E-4542-8C9B-AD3F89965D27}"/>
            </a:ext>
          </a:extLst>
        </xdr:cNvPr>
        <xdr:cNvCxnSpPr/>
      </xdr:nvCxnSpPr>
      <xdr:spPr>
        <a:xfrm>
          <a:off x="13292965" y="4460073"/>
          <a:ext cx="3792606"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46</xdr:col>
      <xdr:colOff>205683</xdr:colOff>
      <xdr:row>23</xdr:row>
      <xdr:rowOff>101461</xdr:rowOff>
    </xdr:from>
    <xdr:to>
      <xdr:col>47</xdr:col>
      <xdr:colOff>245577</xdr:colOff>
      <xdr:row>24</xdr:row>
      <xdr:rowOff>191138</xdr:rowOff>
    </xdr:to>
    <xdr:sp macro="" textlink="">
      <xdr:nvSpPr>
        <xdr:cNvPr id="196" name="正方形/長方形 195">
          <a:extLst>
            <a:ext uri="{FF2B5EF4-FFF2-40B4-BE49-F238E27FC236}">
              <a16:creationId xmlns:a16="http://schemas.microsoft.com/office/drawing/2014/main" id="{C836A7A9-39CC-4060-A970-3AA385C406EA}"/>
            </a:ext>
          </a:extLst>
        </xdr:cNvPr>
        <xdr:cNvSpPr/>
      </xdr:nvSpPr>
      <xdr:spPr>
        <a:xfrm>
          <a:off x="13350183" y="6054586"/>
          <a:ext cx="325644" cy="32780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ja-JP" altLang="en-US" sz="1100">
            <a:solidFill>
              <a:schemeClr val="tx1"/>
            </a:solidFill>
          </a:endParaRPr>
        </a:p>
      </xdr:txBody>
    </xdr:sp>
    <xdr:clientData/>
  </xdr:twoCellAnchor>
  <xdr:twoCellAnchor>
    <xdr:from>
      <xdr:col>24</xdr:col>
      <xdr:colOff>100151</xdr:colOff>
      <xdr:row>3</xdr:row>
      <xdr:rowOff>77408</xdr:rowOff>
    </xdr:from>
    <xdr:to>
      <xdr:col>25</xdr:col>
      <xdr:colOff>170908</xdr:colOff>
      <xdr:row>4</xdr:row>
      <xdr:rowOff>208630</xdr:rowOff>
    </xdr:to>
    <xdr:sp macro="" textlink="">
      <xdr:nvSpPr>
        <xdr:cNvPr id="197" name="正方形/長方形 196">
          <a:extLst>
            <a:ext uri="{FF2B5EF4-FFF2-40B4-BE49-F238E27FC236}">
              <a16:creationId xmlns:a16="http://schemas.microsoft.com/office/drawing/2014/main" id="{16817FC6-947C-4707-9CA8-9A36EF5EDD10}"/>
            </a:ext>
          </a:extLst>
        </xdr:cNvPr>
        <xdr:cNvSpPr/>
      </xdr:nvSpPr>
      <xdr:spPr>
        <a:xfrm>
          <a:off x="6958151" y="3173033"/>
          <a:ext cx="356507" cy="36934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en-US" altLang="ja-JP" sz="1100">
              <a:solidFill>
                <a:schemeClr val="tx1"/>
              </a:solidFill>
            </a:rPr>
            <a:t>P0</a:t>
          </a:r>
          <a:endParaRPr kumimoji="1" lang="ja-JP" altLang="en-US" sz="1100">
            <a:solidFill>
              <a:schemeClr val="tx1"/>
            </a:solidFill>
          </a:endParaRPr>
        </a:p>
      </xdr:txBody>
    </xdr:sp>
    <xdr:clientData/>
  </xdr:twoCellAnchor>
  <xdr:twoCellAnchor>
    <xdr:from>
      <xdr:col>23</xdr:col>
      <xdr:colOff>85722</xdr:colOff>
      <xdr:row>3</xdr:row>
      <xdr:rowOff>77408</xdr:rowOff>
    </xdr:from>
    <xdr:to>
      <xdr:col>24</xdr:col>
      <xdr:colOff>146273</xdr:colOff>
      <xdr:row>4</xdr:row>
      <xdr:rowOff>208630</xdr:rowOff>
    </xdr:to>
    <xdr:sp macro="" textlink="">
      <xdr:nvSpPr>
        <xdr:cNvPr id="198" name="正方形/長方形 197">
          <a:extLst>
            <a:ext uri="{FF2B5EF4-FFF2-40B4-BE49-F238E27FC236}">
              <a16:creationId xmlns:a16="http://schemas.microsoft.com/office/drawing/2014/main" id="{EEA5EB5F-9F26-4F62-A14E-5D00B5439C41}"/>
            </a:ext>
          </a:extLst>
        </xdr:cNvPr>
        <xdr:cNvSpPr/>
      </xdr:nvSpPr>
      <xdr:spPr>
        <a:xfrm>
          <a:off x="6657972" y="3173033"/>
          <a:ext cx="346301" cy="36934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en-US" altLang="ja-JP" sz="1100">
              <a:solidFill>
                <a:schemeClr val="tx1"/>
              </a:solidFill>
            </a:rPr>
            <a:t>P1</a:t>
          </a:r>
          <a:endParaRPr kumimoji="1" lang="ja-JP" altLang="en-US" sz="1100">
            <a:solidFill>
              <a:schemeClr val="tx1"/>
            </a:solidFill>
          </a:endParaRPr>
        </a:p>
      </xdr:txBody>
    </xdr:sp>
    <xdr:clientData/>
  </xdr:twoCellAnchor>
  <xdr:twoCellAnchor>
    <xdr:from>
      <xdr:col>22</xdr:col>
      <xdr:colOff>32759</xdr:colOff>
      <xdr:row>3</xdr:row>
      <xdr:rowOff>76907</xdr:rowOff>
    </xdr:from>
    <xdr:to>
      <xdr:col>23</xdr:col>
      <xdr:colOff>107778</xdr:colOff>
      <xdr:row>4</xdr:row>
      <xdr:rowOff>208129</xdr:rowOff>
    </xdr:to>
    <xdr:sp macro="" textlink="">
      <xdr:nvSpPr>
        <xdr:cNvPr id="199" name="正方形/長方形 198">
          <a:extLst>
            <a:ext uri="{FF2B5EF4-FFF2-40B4-BE49-F238E27FC236}">
              <a16:creationId xmlns:a16="http://schemas.microsoft.com/office/drawing/2014/main" id="{A2481659-2B55-4B2D-9F75-E9D2B57888D9}"/>
            </a:ext>
          </a:extLst>
        </xdr:cNvPr>
        <xdr:cNvSpPr/>
      </xdr:nvSpPr>
      <xdr:spPr>
        <a:xfrm>
          <a:off x="6319259" y="3172532"/>
          <a:ext cx="360769" cy="36934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en-US" altLang="ja-JP" sz="1100">
              <a:solidFill>
                <a:schemeClr val="tx1"/>
              </a:solidFill>
            </a:rPr>
            <a:t>P2</a:t>
          </a:r>
          <a:endParaRPr kumimoji="1" lang="ja-JP" altLang="en-US" sz="1100">
            <a:solidFill>
              <a:schemeClr val="tx1"/>
            </a:solidFill>
          </a:endParaRPr>
        </a:p>
      </xdr:txBody>
    </xdr:sp>
    <xdr:clientData/>
  </xdr:twoCellAnchor>
  <xdr:twoCellAnchor>
    <xdr:from>
      <xdr:col>20</xdr:col>
      <xdr:colOff>249867</xdr:colOff>
      <xdr:row>3</xdr:row>
      <xdr:rowOff>77909</xdr:rowOff>
    </xdr:from>
    <xdr:to>
      <xdr:col>22</xdr:col>
      <xdr:colOff>47800</xdr:colOff>
      <xdr:row>4</xdr:row>
      <xdr:rowOff>209131</xdr:rowOff>
    </xdr:to>
    <xdr:sp macro="" textlink="">
      <xdr:nvSpPr>
        <xdr:cNvPr id="200" name="正方形/長方形 199">
          <a:extLst>
            <a:ext uri="{FF2B5EF4-FFF2-40B4-BE49-F238E27FC236}">
              <a16:creationId xmlns:a16="http://schemas.microsoft.com/office/drawing/2014/main" id="{5227C98A-959C-45B8-9E95-FFA84D85604A}"/>
            </a:ext>
          </a:extLst>
        </xdr:cNvPr>
        <xdr:cNvSpPr/>
      </xdr:nvSpPr>
      <xdr:spPr>
        <a:xfrm>
          <a:off x="5964867" y="3173534"/>
          <a:ext cx="369433" cy="36934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en-US" altLang="ja-JP" sz="1100">
              <a:solidFill>
                <a:schemeClr val="tx1"/>
              </a:solidFill>
            </a:rPr>
            <a:t>P3</a:t>
          </a:r>
          <a:endParaRPr kumimoji="1" lang="ja-JP" altLang="en-US" sz="1100">
            <a:solidFill>
              <a:schemeClr val="tx1"/>
            </a:solidFill>
          </a:endParaRPr>
        </a:p>
      </xdr:txBody>
    </xdr:sp>
    <xdr:clientData/>
  </xdr:twoCellAnchor>
  <xdr:twoCellAnchor>
    <xdr:from>
      <xdr:col>24</xdr:col>
      <xdr:colOff>185822</xdr:colOff>
      <xdr:row>4</xdr:row>
      <xdr:rowOff>208630</xdr:rowOff>
    </xdr:from>
    <xdr:to>
      <xdr:col>24</xdr:col>
      <xdr:colOff>266535</xdr:colOff>
      <xdr:row>6</xdr:row>
      <xdr:rowOff>41181</xdr:rowOff>
    </xdr:to>
    <xdr:cxnSp macro="">
      <xdr:nvCxnSpPr>
        <xdr:cNvPr id="201" name="直線コネクタ 200">
          <a:extLst>
            <a:ext uri="{FF2B5EF4-FFF2-40B4-BE49-F238E27FC236}">
              <a16:creationId xmlns:a16="http://schemas.microsoft.com/office/drawing/2014/main" id="{4CB7EA47-2BCB-4EF5-8E93-E4DE958ED0EC}"/>
            </a:ext>
          </a:extLst>
        </xdr:cNvPr>
        <xdr:cNvCxnSpPr>
          <a:stCxn id="197" idx="2"/>
        </xdr:cNvCxnSpPr>
      </xdr:nvCxnSpPr>
      <xdr:spPr>
        <a:xfrm flipH="1">
          <a:off x="7043822" y="3542380"/>
          <a:ext cx="80713" cy="308801"/>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23</xdr:col>
      <xdr:colOff>170072</xdr:colOff>
      <xdr:row>4</xdr:row>
      <xdr:rowOff>208630</xdr:rowOff>
    </xdr:from>
    <xdr:to>
      <xdr:col>23</xdr:col>
      <xdr:colOff>241900</xdr:colOff>
      <xdr:row>6</xdr:row>
      <xdr:rowOff>47565</xdr:rowOff>
    </xdr:to>
    <xdr:cxnSp macro="">
      <xdr:nvCxnSpPr>
        <xdr:cNvPr id="202" name="直線コネクタ 201">
          <a:extLst>
            <a:ext uri="{FF2B5EF4-FFF2-40B4-BE49-F238E27FC236}">
              <a16:creationId xmlns:a16="http://schemas.microsoft.com/office/drawing/2014/main" id="{ED742376-121D-4861-BD94-4EC4412C2432}"/>
            </a:ext>
          </a:extLst>
        </xdr:cNvPr>
        <xdr:cNvCxnSpPr>
          <a:stCxn id="198" idx="2"/>
        </xdr:cNvCxnSpPr>
      </xdr:nvCxnSpPr>
      <xdr:spPr>
        <a:xfrm flipH="1">
          <a:off x="6742322" y="3542380"/>
          <a:ext cx="71828" cy="315185"/>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22</xdr:col>
      <xdr:colOff>160286</xdr:colOff>
      <xdr:row>4</xdr:row>
      <xdr:rowOff>208129</xdr:rowOff>
    </xdr:from>
    <xdr:to>
      <xdr:col>22</xdr:col>
      <xdr:colOff>198892</xdr:colOff>
      <xdr:row>6</xdr:row>
      <xdr:rowOff>54050</xdr:rowOff>
    </xdr:to>
    <xdr:cxnSp macro="">
      <xdr:nvCxnSpPr>
        <xdr:cNvPr id="203" name="直線コネクタ 202">
          <a:extLst>
            <a:ext uri="{FF2B5EF4-FFF2-40B4-BE49-F238E27FC236}">
              <a16:creationId xmlns:a16="http://schemas.microsoft.com/office/drawing/2014/main" id="{6E981E3C-7D41-4D98-8ACB-EFC3A1B480D7}"/>
            </a:ext>
          </a:extLst>
        </xdr:cNvPr>
        <xdr:cNvCxnSpPr>
          <a:stCxn id="199" idx="2"/>
        </xdr:cNvCxnSpPr>
      </xdr:nvCxnSpPr>
      <xdr:spPr>
        <a:xfrm flipH="1">
          <a:off x="6446786" y="3541879"/>
          <a:ext cx="38606" cy="322171"/>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21</xdr:col>
      <xdr:colOff>143732</xdr:colOff>
      <xdr:row>4</xdr:row>
      <xdr:rowOff>209131</xdr:rowOff>
    </xdr:from>
    <xdr:to>
      <xdr:col>21</xdr:col>
      <xdr:colOff>149112</xdr:colOff>
      <xdr:row>6</xdr:row>
      <xdr:rowOff>44323</xdr:rowOff>
    </xdr:to>
    <xdr:cxnSp macro="">
      <xdr:nvCxnSpPr>
        <xdr:cNvPr id="204" name="直線コネクタ 203">
          <a:extLst>
            <a:ext uri="{FF2B5EF4-FFF2-40B4-BE49-F238E27FC236}">
              <a16:creationId xmlns:a16="http://schemas.microsoft.com/office/drawing/2014/main" id="{735B803A-88E8-49BC-A456-55834BD23451}"/>
            </a:ext>
          </a:extLst>
        </xdr:cNvPr>
        <xdr:cNvCxnSpPr>
          <a:stCxn id="200" idx="2"/>
        </xdr:cNvCxnSpPr>
      </xdr:nvCxnSpPr>
      <xdr:spPr>
        <a:xfrm>
          <a:off x="6144482" y="3542881"/>
          <a:ext cx="5380" cy="311442"/>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24</xdr:col>
      <xdr:colOff>184833</xdr:colOff>
      <xdr:row>7</xdr:row>
      <xdr:rowOff>173925</xdr:rowOff>
    </xdr:from>
    <xdr:to>
      <xdr:col>25</xdr:col>
      <xdr:colOff>836</xdr:colOff>
      <xdr:row>9</xdr:row>
      <xdr:rowOff>153088</xdr:rowOff>
    </xdr:to>
    <xdr:cxnSp macro="">
      <xdr:nvCxnSpPr>
        <xdr:cNvPr id="205" name="直線コネクタ 204">
          <a:extLst>
            <a:ext uri="{FF2B5EF4-FFF2-40B4-BE49-F238E27FC236}">
              <a16:creationId xmlns:a16="http://schemas.microsoft.com/office/drawing/2014/main" id="{DB2A4CB8-B69D-43D2-8FFB-2DD042A5FCDC}"/>
            </a:ext>
          </a:extLst>
        </xdr:cNvPr>
        <xdr:cNvCxnSpPr/>
      </xdr:nvCxnSpPr>
      <xdr:spPr>
        <a:xfrm>
          <a:off x="7042833" y="4222050"/>
          <a:ext cx="101753" cy="455413"/>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23</xdr:col>
      <xdr:colOff>173179</xdr:colOff>
      <xdr:row>7</xdr:row>
      <xdr:rowOff>178819</xdr:rowOff>
    </xdr:from>
    <xdr:to>
      <xdr:col>23</xdr:col>
      <xdr:colOff>248291</xdr:colOff>
      <xdr:row>9</xdr:row>
      <xdr:rowOff>153088</xdr:rowOff>
    </xdr:to>
    <xdr:cxnSp macro="">
      <xdr:nvCxnSpPr>
        <xdr:cNvPr id="206" name="直線コネクタ 205">
          <a:extLst>
            <a:ext uri="{FF2B5EF4-FFF2-40B4-BE49-F238E27FC236}">
              <a16:creationId xmlns:a16="http://schemas.microsoft.com/office/drawing/2014/main" id="{1EF3527A-FE99-4748-8DAB-FCF43070BAAE}"/>
            </a:ext>
          </a:extLst>
        </xdr:cNvPr>
        <xdr:cNvCxnSpPr/>
      </xdr:nvCxnSpPr>
      <xdr:spPr>
        <a:xfrm>
          <a:off x="6745429" y="4226944"/>
          <a:ext cx="75112" cy="450519"/>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22</xdr:col>
      <xdr:colOff>159710</xdr:colOff>
      <xdr:row>7</xdr:row>
      <xdr:rowOff>179033</xdr:rowOff>
    </xdr:from>
    <xdr:to>
      <xdr:col>22</xdr:col>
      <xdr:colOff>205336</xdr:colOff>
      <xdr:row>9</xdr:row>
      <xdr:rowOff>152587</xdr:rowOff>
    </xdr:to>
    <xdr:cxnSp macro="">
      <xdr:nvCxnSpPr>
        <xdr:cNvPr id="207" name="直線コネクタ 206">
          <a:extLst>
            <a:ext uri="{FF2B5EF4-FFF2-40B4-BE49-F238E27FC236}">
              <a16:creationId xmlns:a16="http://schemas.microsoft.com/office/drawing/2014/main" id="{C39B510F-2721-42D2-BB01-1B7D0272559D}"/>
            </a:ext>
          </a:extLst>
        </xdr:cNvPr>
        <xdr:cNvCxnSpPr/>
      </xdr:nvCxnSpPr>
      <xdr:spPr>
        <a:xfrm>
          <a:off x="6446210" y="4227158"/>
          <a:ext cx="45626" cy="449804"/>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21</xdr:col>
      <xdr:colOff>146019</xdr:colOff>
      <xdr:row>7</xdr:row>
      <xdr:rowOff>182872</xdr:rowOff>
    </xdr:from>
    <xdr:to>
      <xdr:col>21</xdr:col>
      <xdr:colOff>150122</xdr:colOff>
      <xdr:row>9</xdr:row>
      <xdr:rowOff>153589</xdr:rowOff>
    </xdr:to>
    <xdr:cxnSp macro="">
      <xdr:nvCxnSpPr>
        <xdr:cNvPr id="208" name="直線コネクタ 207">
          <a:extLst>
            <a:ext uri="{FF2B5EF4-FFF2-40B4-BE49-F238E27FC236}">
              <a16:creationId xmlns:a16="http://schemas.microsoft.com/office/drawing/2014/main" id="{AB0E9E6B-5BF9-4B9F-8869-1D0FA53FD59D}"/>
            </a:ext>
          </a:extLst>
        </xdr:cNvPr>
        <xdr:cNvCxnSpPr/>
      </xdr:nvCxnSpPr>
      <xdr:spPr>
        <a:xfrm>
          <a:off x="6146769" y="4230997"/>
          <a:ext cx="4103" cy="446967"/>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19</xdr:col>
      <xdr:colOff>137489</xdr:colOff>
      <xdr:row>9</xdr:row>
      <xdr:rowOff>126696</xdr:rowOff>
    </xdr:from>
    <xdr:to>
      <xdr:col>21</xdr:col>
      <xdr:colOff>108879</xdr:colOff>
      <xdr:row>10</xdr:row>
      <xdr:rowOff>233898</xdr:rowOff>
    </xdr:to>
    <xdr:sp macro="" textlink="">
      <xdr:nvSpPr>
        <xdr:cNvPr id="222" name="正方形/長方形 221">
          <a:extLst>
            <a:ext uri="{FF2B5EF4-FFF2-40B4-BE49-F238E27FC236}">
              <a16:creationId xmlns:a16="http://schemas.microsoft.com/office/drawing/2014/main" id="{6DCE57CB-5C71-4093-B331-C860496E85F2}"/>
            </a:ext>
          </a:extLst>
        </xdr:cNvPr>
        <xdr:cNvSpPr/>
      </xdr:nvSpPr>
      <xdr:spPr>
        <a:xfrm>
          <a:off x="5566739" y="4651071"/>
          <a:ext cx="542890" cy="34532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GND</a:t>
          </a:r>
          <a:endParaRPr kumimoji="1" lang="ja-JP" altLang="en-US" sz="1100">
            <a:solidFill>
              <a:schemeClr val="tx1"/>
            </a:solidFill>
          </a:endParaRPr>
        </a:p>
      </xdr:txBody>
    </xdr:sp>
    <xdr:clientData/>
  </xdr:twoCellAnchor>
  <xdr:twoCellAnchor>
    <xdr:from>
      <xdr:col>18</xdr:col>
      <xdr:colOff>27214</xdr:colOff>
      <xdr:row>9</xdr:row>
      <xdr:rowOff>128370</xdr:rowOff>
    </xdr:from>
    <xdr:to>
      <xdr:col>19</xdr:col>
      <xdr:colOff>246619</xdr:colOff>
      <xdr:row>10</xdr:row>
      <xdr:rowOff>230263</xdr:rowOff>
    </xdr:to>
    <xdr:sp macro="" textlink="">
      <xdr:nvSpPr>
        <xdr:cNvPr id="223" name="正方形/長方形 222">
          <a:extLst>
            <a:ext uri="{FF2B5EF4-FFF2-40B4-BE49-F238E27FC236}">
              <a16:creationId xmlns:a16="http://schemas.microsoft.com/office/drawing/2014/main" id="{C609540D-7087-445F-855C-D02F107039BD}"/>
            </a:ext>
          </a:extLst>
        </xdr:cNvPr>
        <xdr:cNvSpPr/>
      </xdr:nvSpPr>
      <xdr:spPr>
        <a:xfrm>
          <a:off x="5170714" y="4652745"/>
          <a:ext cx="505155" cy="34001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3.3V</a:t>
          </a:r>
        </a:p>
      </xdr:txBody>
    </xdr:sp>
    <xdr:clientData/>
  </xdr:twoCellAnchor>
  <xdr:twoCellAnchor>
    <xdr:from>
      <xdr:col>28</xdr:col>
      <xdr:colOff>113965</xdr:colOff>
      <xdr:row>9</xdr:row>
      <xdr:rowOff>126524</xdr:rowOff>
    </xdr:from>
    <xdr:to>
      <xdr:col>30</xdr:col>
      <xdr:colOff>85355</xdr:colOff>
      <xdr:row>10</xdr:row>
      <xdr:rowOff>230924</xdr:rowOff>
    </xdr:to>
    <xdr:sp macro="" textlink="">
      <xdr:nvSpPr>
        <xdr:cNvPr id="224" name="正方形/長方形 223">
          <a:extLst>
            <a:ext uri="{FF2B5EF4-FFF2-40B4-BE49-F238E27FC236}">
              <a16:creationId xmlns:a16="http://schemas.microsoft.com/office/drawing/2014/main" id="{FB0BF7B9-30E1-4288-9C42-D5A6FCB37B07}"/>
            </a:ext>
          </a:extLst>
        </xdr:cNvPr>
        <xdr:cNvSpPr/>
      </xdr:nvSpPr>
      <xdr:spPr>
        <a:xfrm>
          <a:off x="8114965" y="4650899"/>
          <a:ext cx="542890" cy="34252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GND</a:t>
          </a:r>
          <a:endParaRPr kumimoji="1" lang="ja-JP" altLang="en-US" sz="1100">
            <a:solidFill>
              <a:schemeClr val="tx1"/>
            </a:solidFill>
          </a:endParaRPr>
        </a:p>
      </xdr:txBody>
    </xdr:sp>
    <xdr:clientData/>
  </xdr:twoCellAnchor>
  <xdr:twoCellAnchor>
    <xdr:from>
      <xdr:col>26</xdr:col>
      <xdr:colOff>80437</xdr:colOff>
      <xdr:row>9</xdr:row>
      <xdr:rowOff>128198</xdr:rowOff>
    </xdr:from>
    <xdr:to>
      <xdr:col>29</xdr:col>
      <xdr:colOff>104449</xdr:colOff>
      <xdr:row>10</xdr:row>
      <xdr:rowOff>230091</xdr:rowOff>
    </xdr:to>
    <xdr:sp macro="" textlink="">
      <xdr:nvSpPr>
        <xdr:cNvPr id="225" name="正方形/長方形 224">
          <a:extLst>
            <a:ext uri="{FF2B5EF4-FFF2-40B4-BE49-F238E27FC236}">
              <a16:creationId xmlns:a16="http://schemas.microsoft.com/office/drawing/2014/main" id="{717CC17F-E7C4-466C-B24E-11A00D23CF62}"/>
            </a:ext>
          </a:extLst>
        </xdr:cNvPr>
        <xdr:cNvSpPr/>
      </xdr:nvSpPr>
      <xdr:spPr>
        <a:xfrm>
          <a:off x="7509937" y="4652573"/>
          <a:ext cx="881262" cy="34001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3.3V</a:t>
          </a:r>
        </a:p>
      </xdr:txBody>
    </xdr:sp>
    <xdr:clientData/>
  </xdr:twoCellAnchor>
  <xdr:twoCellAnchor>
    <xdr:from>
      <xdr:col>33</xdr:col>
      <xdr:colOff>144601</xdr:colOff>
      <xdr:row>9</xdr:row>
      <xdr:rowOff>128198</xdr:rowOff>
    </xdr:from>
    <xdr:to>
      <xdr:col>34</xdr:col>
      <xdr:colOff>209755</xdr:colOff>
      <xdr:row>10</xdr:row>
      <xdr:rowOff>230091</xdr:rowOff>
    </xdr:to>
    <xdr:sp macro="" textlink="">
      <xdr:nvSpPr>
        <xdr:cNvPr id="226" name="正方形/長方形 225">
          <a:extLst>
            <a:ext uri="{FF2B5EF4-FFF2-40B4-BE49-F238E27FC236}">
              <a16:creationId xmlns:a16="http://schemas.microsoft.com/office/drawing/2014/main" id="{815E5C54-2281-4449-B775-75B43E48A66F}"/>
            </a:ext>
          </a:extLst>
        </xdr:cNvPr>
        <xdr:cNvSpPr/>
      </xdr:nvSpPr>
      <xdr:spPr>
        <a:xfrm>
          <a:off x="9574351" y="4652573"/>
          <a:ext cx="350904" cy="34001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P4</a:t>
          </a:r>
          <a:endParaRPr kumimoji="1" lang="ja-JP" altLang="en-US" sz="1100">
            <a:solidFill>
              <a:schemeClr val="tx1"/>
            </a:solidFill>
          </a:endParaRPr>
        </a:p>
      </xdr:txBody>
    </xdr:sp>
    <xdr:clientData/>
  </xdr:twoCellAnchor>
  <xdr:twoCellAnchor>
    <xdr:from>
      <xdr:col>32</xdr:col>
      <xdr:colOff>125568</xdr:colOff>
      <xdr:row>9</xdr:row>
      <xdr:rowOff>128198</xdr:rowOff>
    </xdr:from>
    <xdr:to>
      <xdr:col>33</xdr:col>
      <xdr:colOff>190723</xdr:colOff>
      <xdr:row>10</xdr:row>
      <xdr:rowOff>230091</xdr:rowOff>
    </xdr:to>
    <xdr:sp macro="" textlink="">
      <xdr:nvSpPr>
        <xdr:cNvPr id="227" name="正方形/長方形 226">
          <a:extLst>
            <a:ext uri="{FF2B5EF4-FFF2-40B4-BE49-F238E27FC236}">
              <a16:creationId xmlns:a16="http://schemas.microsoft.com/office/drawing/2014/main" id="{1BC249C3-3B05-47E3-932E-BA9C4818FB38}"/>
            </a:ext>
          </a:extLst>
        </xdr:cNvPr>
        <xdr:cNvSpPr/>
      </xdr:nvSpPr>
      <xdr:spPr>
        <a:xfrm>
          <a:off x="9269568" y="4652573"/>
          <a:ext cx="350905" cy="34001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P5</a:t>
          </a:r>
          <a:endParaRPr kumimoji="1" lang="ja-JP" altLang="en-US" sz="1100">
            <a:solidFill>
              <a:schemeClr val="tx1"/>
            </a:solidFill>
          </a:endParaRPr>
        </a:p>
      </xdr:txBody>
    </xdr:sp>
    <xdr:clientData/>
  </xdr:twoCellAnchor>
  <xdr:twoCellAnchor>
    <xdr:from>
      <xdr:col>31</xdr:col>
      <xdr:colOff>82972</xdr:colOff>
      <xdr:row>9</xdr:row>
      <xdr:rowOff>127697</xdr:rowOff>
    </xdr:from>
    <xdr:to>
      <xdr:col>32</xdr:col>
      <xdr:colOff>147624</xdr:colOff>
      <xdr:row>10</xdr:row>
      <xdr:rowOff>229590</xdr:rowOff>
    </xdr:to>
    <xdr:sp macro="" textlink="">
      <xdr:nvSpPr>
        <xdr:cNvPr id="228" name="正方形/長方形 227">
          <a:extLst>
            <a:ext uri="{FF2B5EF4-FFF2-40B4-BE49-F238E27FC236}">
              <a16:creationId xmlns:a16="http://schemas.microsoft.com/office/drawing/2014/main" id="{D8B88964-B9F2-4AF2-A0C6-36E791C3F0BC}"/>
            </a:ext>
          </a:extLst>
        </xdr:cNvPr>
        <xdr:cNvSpPr/>
      </xdr:nvSpPr>
      <xdr:spPr>
        <a:xfrm>
          <a:off x="8767531" y="2716256"/>
          <a:ext cx="344799" cy="33721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P6</a:t>
          </a:r>
          <a:endParaRPr kumimoji="1" lang="ja-JP" altLang="en-US" sz="1100">
            <a:solidFill>
              <a:schemeClr val="tx1"/>
            </a:solidFill>
          </a:endParaRPr>
        </a:p>
      </xdr:txBody>
    </xdr:sp>
    <xdr:clientData/>
  </xdr:twoCellAnchor>
  <xdr:twoCellAnchor>
    <xdr:from>
      <xdr:col>30</xdr:col>
      <xdr:colOff>28937</xdr:colOff>
      <xdr:row>9</xdr:row>
      <xdr:rowOff>128699</xdr:rowOff>
    </xdr:from>
    <xdr:to>
      <xdr:col>31</xdr:col>
      <xdr:colOff>98013</xdr:colOff>
      <xdr:row>10</xdr:row>
      <xdr:rowOff>230592</xdr:rowOff>
    </xdr:to>
    <xdr:sp macro="" textlink="">
      <xdr:nvSpPr>
        <xdr:cNvPr id="229" name="正方形/長方形 228">
          <a:extLst>
            <a:ext uri="{FF2B5EF4-FFF2-40B4-BE49-F238E27FC236}">
              <a16:creationId xmlns:a16="http://schemas.microsoft.com/office/drawing/2014/main" id="{51EA3BBA-9DC0-4078-ABBD-FB640A7FFF73}"/>
            </a:ext>
          </a:extLst>
        </xdr:cNvPr>
        <xdr:cNvSpPr/>
      </xdr:nvSpPr>
      <xdr:spPr>
        <a:xfrm>
          <a:off x="8601437" y="4653074"/>
          <a:ext cx="354826" cy="34001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P7</a:t>
          </a:r>
          <a:endParaRPr kumimoji="1" lang="ja-JP" altLang="en-US" sz="1100">
            <a:solidFill>
              <a:schemeClr val="tx1"/>
            </a:solidFill>
          </a:endParaRPr>
        </a:p>
      </xdr:txBody>
    </xdr:sp>
    <xdr:clientData/>
  </xdr:twoCellAnchor>
  <xdr:twoCellAnchor>
    <xdr:from>
      <xdr:col>24</xdr:col>
      <xdr:colOff>141850</xdr:colOff>
      <xdr:row>9</xdr:row>
      <xdr:rowOff>122965</xdr:rowOff>
    </xdr:from>
    <xdr:to>
      <xdr:col>25</xdr:col>
      <xdr:colOff>207004</xdr:colOff>
      <xdr:row>10</xdr:row>
      <xdr:rowOff>231322</xdr:rowOff>
    </xdr:to>
    <xdr:sp macro="" textlink="">
      <xdr:nvSpPr>
        <xdr:cNvPr id="230" name="正方形/長方形 229">
          <a:extLst>
            <a:ext uri="{FF2B5EF4-FFF2-40B4-BE49-F238E27FC236}">
              <a16:creationId xmlns:a16="http://schemas.microsoft.com/office/drawing/2014/main" id="{EA612829-BE1F-419F-A607-811A70E28CCD}"/>
            </a:ext>
          </a:extLst>
        </xdr:cNvPr>
        <xdr:cNvSpPr/>
      </xdr:nvSpPr>
      <xdr:spPr>
        <a:xfrm>
          <a:off x="6999850" y="4647340"/>
          <a:ext cx="350904" cy="34648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P4</a:t>
          </a:r>
          <a:endParaRPr kumimoji="1" lang="ja-JP" altLang="en-US" sz="1100">
            <a:solidFill>
              <a:schemeClr val="tx1"/>
            </a:solidFill>
          </a:endParaRPr>
        </a:p>
      </xdr:txBody>
    </xdr:sp>
    <xdr:clientData/>
  </xdr:twoCellAnchor>
  <xdr:twoCellAnchor>
    <xdr:from>
      <xdr:col>23</xdr:col>
      <xdr:colOff>122817</xdr:colOff>
      <xdr:row>9</xdr:row>
      <xdr:rowOff>122965</xdr:rowOff>
    </xdr:from>
    <xdr:to>
      <xdr:col>24</xdr:col>
      <xdr:colOff>187972</xdr:colOff>
      <xdr:row>10</xdr:row>
      <xdr:rowOff>231322</xdr:rowOff>
    </xdr:to>
    <xdr:sp macro="" textlink="">
      <xdr:nvSpPr>
        <xdr:cNvPr id="231" name="正方形/長方形 230">
          <a:extLst>
            <a:ext uri="{FF2B5EF4-FFF2-40B4-BE49-F238E27FC236}">
              <a16:creationId xmlns:a16="http://schemas.microsoft.com/office/drawing/2014/main" id="{0116A160-DC1E-4198-B5F2-CAF2CD13E73D}"/>
            </a:ext>
          </a:extLst>
        </xdr:cNvPr>
        <xdr:cNvSpPr/>
      </xdr:nvSpPr>
      <xdr:spPr>
        <a:xfrm>
          <a:off x="6695067" y="4647340"/>
          <a:ext cx="350905" cy="34648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P5</a:t>
          </a:r>
          <a:endParaRPr kumimoji="1" lang="ja-JP" altLang="en-US" sz="1100">
            <a:solidFill>
              <a:schemeClr val="tx1"/>
            </a:solidFill>
          </a:endParaRPr>
        </a:p>
      </xdr:txBody>
    </xdr:sp>
    <xdr:clientData/>
  </xdr:twoCellAnchor>
  <xdr:twoCellAnchor>
    <xdr:from>
      <xdr:col>22</xdr:col>
      <xdr:colOff>80220</xdr:colOff>
      <xdr:row>9</xdr:row>
      <xdr:rowOff>122464</xdr:rowOff>
    </xdr:from>
    <xdr:to>
      <xdr:col>23</xdr:col>
      <xdr:colOff>144873</xdr:colOff>
      <xdr:row>10</xdr:row>
      <xdr:rowOff>230821</xdr:rowOff>
    </xdr:to>
    <xdr:sp macro="" textlink="">
      <xdr:nvSpPr>
        <xdr:cNvPr id="232" name="正方形/長方形 231">
          <a:extLst>
            <a:ext uri="{FF2B5EF4-FFF2-40B4-BE49-F238E27FC236}">
              <a16:creationId xmlns:a16="http://schemas.microsoft.com/office/drawing/2014/main" id="{26B81A33-7366-4A92-90C5-FE392D23531A}"/>
            </a:ext>
          </a:extLst>
        </xdr:cNvPr>
        <xdr:cNvSpPr/>
      </xdr:nvSpPr>
      <xdr:spPr>
        <a:xfrm>
          <a:off x="6366720" y="4646839"/>
          <a:ext cx="350403" cy="34648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P6</a:t>
          </a:r>
          <a:endParaRPr kumimoji="1" lang="ja-JP" altLang="en-US" sz="1100">
            <a:solidFill>
              <a:schemeClr val="tx1"/>
            </a:solidFill>
          </a:endParaRPr>
        </a:p>
      </xdr:txBody>
    </xdr:sp>
    <xdr:clientData/>
  </xdr:twoCellAnchor>
  <xdr:twoCellAnchor>
    <xdr:from>
      <xdr:col>21</xdr:col>
      <xdr:colOff>26186</xdr:colOff>
      <xdr:row>9</xdr:row>
      <xdr:rowOff>123466</xdr:rowOff>
    </xdr:from>
    <xdr:to>
      <xdr:col>22</xdr:col>
      <xdr:colOff>95261</xdr:colOff>
      <xdr:row>10</xdr:row>
      <xdr:rowOff>231823</xdr:rowOff>
    </xdr:to>
    <xdr:sp macro="" textlink="">
      <xdr:nvSpPr>
        <xdr:cNvPr id="233" name="正方形/長方形 232">
          <a:extLst>
            <a:ext uri="{FF2B5EF4-FFF2-40B4-BE49-F238E27FC236}">
              <a16:creationId xmlns:a16="http://schemas.microsoft.com/office/drawing/2014/main" id="{F683FAE2-C3AE-4E30-A5B2-5FAF7C365F17}"/>
            </a:ext>
          </a:extLst>
        </xdr:cNvPr>
        <xdr:cNvSpPr/>
      </xdr:nvSpPr>
      <xdr:spPr>
        <a:xfrm>
          <a:off x="6026936" y="4647841"/>
          <a:ext cx="354825" cy="34648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P7</a:t>
          </a:r>
          <a:endParaRPr kumimoji="1" lang="ja-JP" altLang="en-US" sz="1100">
            <a:solidFill>
              <a:schemeClr val="tx1"/>
            </a:solidFill>
          </a:endParaRPr>
        </a:p>
      </xdr:txBody>
    </xdr:sp>
    <xdr:clientData/>
  </xdr:twoCellAnchor>
  <xdr:twoCellAnchor>
    <xdr:from>
      <xdr:col>47</xdr:col>
      <xdr:colOff>269945</xdr:colOff>
      <xdr:row>31</xdr:row>
      <xdr:rowOff>161933</xdr:rowOff>
    </xdr:from>
    <xdr:to>
      <xdr:col>51</xdr:col>
      <xdr:colOff>195263</xdr:colOff>
      <xdr:row>33</xdr:row>
      <xdr:rowOff>235483</xdr:rowOff>
    </xdr:to>
    <xdr:sp macro="" textlink="">
      <xdr:nvSpPr>
        <xdr:cNvPr id="27" name="正方形/長方形 26">
          <a:extLst>
            <a:ext uri="{FF2B5EF4-FFF2-40B4-BE49-F238E27FC236}">
              <a16:creationId xmlns:a16="http://schemas.microsoft.com/office/drawing/2014/main" id="{3D5A50D6-8792-4C77-809E-FEEF9178E7F5}"/>
            </a:ext>
          </a:extLst>
        </xdr:cNvPr>
        <xdr:cNvSpPr/>
      </xdr:nvSpPr>
      <xdr:spPr>
        <a:xfrm>
          <a:off x="13700195" y="8020058"/>
          <a:ext cx="1068318" cy="549800"/>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200">
              <a:solidFill>
                <a:schemeClr val="tx1"/>
              </a:solidFill>
            </a:rPr>
            <a:t>波形データ</a:t>
          </a:r>
          <a:endParaRPr kumimoji="1" lang="en-US" altLang="ja-JP" sz="1200">
            <a:solidFill>
              <a:schemeClr val="tx1"/>
            </a:solidFill>
          </a:endParaRPr>
        </a:p>
        <a:p>
          <a:pPr algn="ctr"/>
          <a:r>
            <a:rPr kumimoji="1" lang="en-US" altLang="ja-JP" sz="1200">
              <a:solidFill>
                <a:schemeClr val="tx1"/>
              </a:solidFill>
            </a:rPr>
            <a:t>RAM</a:t>
          </a:r>
          <a:endParaRPr kumimoji="1" lang="ja-JP" altLang="en-US" sz="1200">
            <a:solidFill>
              <a:schemeClr val="tx1"/>
            </a:solidFill>
          </a:endParaRPr>
        </a:p>
      </xdr:txBody>
    </xdr:sp>
    <xdr:clientData/>
  </xdr:twoCellAnchor>
  <xdr:twoCellAnchor>
    <xdr:from>
      <xdr:col>5</xdr:col>
      <xdr:colOff>106664</xdr:colOff>
      <xdr:row>38</xdr:row>
      <xdr:rowOff>71243</xdr:rowOff>
    </xdr:from>
    <xdr:to>
      <xdr:col>10</xdr:col>
      <xdr:colOff>233111</xdr:colOff>
      <xdr:row>42</xdr:row>
      <xdr:rowOff>218116</xdr:rowOff>
    </xdr:to>
    <xdr:sp macro="" textlink="">
      <xdr:nvSpPr>
        <xdr:cNvPr id="138" name="正方形/長方形 137">
          <a:extLst>
            <a:ext uri="{FF2B5EF4-FFF2-40B4-BE49-F238E27FC236}">
              <a16:creationId xmlns:a16="http://schemas.microsoft.com/office/drawing/2014/main" id="{ED02C529-CFD0-41FE-BE7F-E7D08D6244A8}"/>
            </a:ext>
          </a:extLst>
        </xdr:cNvPr>
        <xdr:cNvSpPr/>
      </xdr:nvSpPr>
      <xdr:spPr>
        <a:xfrm>
          <a:off x="1487789" y="9596243"/>
          <a:ext cx="1507572" cy="1099373"/>
        </a:xfrm>
        <a:prstGeom prst="rect">
          <a:avLst/>
        </a:prstGeom>
        <a:solidFill>
          <a:schemeClr val="accent1">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capture ctrl</a:t>
          </a:r>
        </a:p>
        <a:p>
          <a:pPr algn="ctr"/>
          <a:endParaRPr kumimoji="1" lang="en-US" altLang="ja-JP" sz="1100">
            <a:solidFill>
              <a:schemeClr val="tx1"/>
            </a:solidFill>
          </a:endParaRPr>
        </a:p>
        <a:p>
          <a:pPr algn="ctr"/>
          <a:r>
            <a:rPr kumimoji="1" lang="en-US" altLang="ja-JP" sz="1100">
              <a:solidFill>
                <a:schemeClr val="tx1"/>
              </a:solidFill>
            </a:rPr>
            <a:t>(UDP</a:t>
          </a:r>
          <a:r>
            <a:rPr kumimoji="1" lang="ja-JP" altLang="en-US" sz="1100">
              <a:solidFill>
                <a:schemeClr val="tx1"/>
              </a:solidFill>
            </a:rPr>
            <a:t>ポート </a:t>
          </a:r>
          <a:r>
            <a:rPr kumimoji="1" lang="en-US" altLang="ja-JP" sz="1100">
              <a:solidFill>
                <a:schemeClr val="tx1"/>
              </a:solidFill>
            </a:rPr>
            <a:t>: 16385)</a:t>
          </a:r>
        </a:p>
      </xdr:txBody>
    </xdr:sp>
    <xdr:clientData/>
  </xdr:twoCellAnchor>
  <xdr:twoCellAnchor>
    <xdr:from>
      <xdr:col>13</xdr:col>
      <xdr:colOff>223055</xdr:colOff>
      <xdr:row>39</xdr:row>
      <xdr:rowOff>123166</xdr:rowOff>
    </xdr:from>
    <xdr:to>
      <xdr:col>14</xdr:col>
      <xdr:colOff>213790</xdr:colOff>
      <xdr:row>41</xdr:row>
      <xdr:rowOff>186556</xdr:rowOff>
    </xdr:to>
    <xdr:sp macro="" textlink="">
      <xdr:nvSpPr>
        <xdr:cNvPr id="139" name="正方形/長方形 138">
          <a:extLst>
            <a:ext uri="{FF2B5EF4-FFF2-40B4-BE49-F238E27FC236}">
              <a16:creationId xmlns:a16="http://schemas.microsoft.com/office/drawing/2014/main" id="{B635443A-22A3-4F41-86BC-20810B6FC476}"/>
            </a:ext>
          </a:extLst>
        </xdr:cNvPr>
        <xdr:cNvSpPr/>
      </xdr:nvSpPr>
      <xdr:spPr>
        <a:xfrm rot="5400000">
          <a:off x="3677640" y="10022631"/>
          <a:ext cx="539640" cy="26696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chemeClr val="tx1"/>
              </a:solidFill>
            </a:rPr>
            <a:t>・・・</a:t>
          </a:r>
        </a:p>
      </xdr:txBody>
    </xdr:sp>
    <xdr:clientData/>
  </xdr:twoCellAnchor>
  <xdr:twoCellAnchor>
    <xdr:from>
      <xdr:col>10</xdr:col>
      <xdr:colOff>236626</xdr:colOff>
      <xdr:row>38</xdr:row>
      <xdr:rowOff>233596</xdr:rowOff>
    </xdr:from>
    <xdr:to>
      <xdr:col>12</xdr:col>
      <xdr:colOff>120356</xdr:colOff>
      <xdr:row>38</xdr:row>
      <xdr:rowOff>233596</xdr:rowOff>
    </xdr:to>
    <xdr:cxnSp macro="">
      <xdr:nvCxnSpPr>
        <xdr:cNvPr id="144" name="直線矢印コネクタ 143">
          <a:extLst>
            <a:ext uri="{FF2B5EF4-FFF2-40B4-BE49-F238E27FC236}">
              <a16:creationId xmlns:a16="http://schemas.microsoft.com/office/drawing/2014/main" id="{4A20269A-9D34-4D08-AFA6-C396F353B0AB}"/>
            </a:ext>
          </a:extLst>
        </xdr:cNvPr>
        <xdr:cNvCxnSpPr/>
      </xdr:nvCxnSpPr>
      <xdr:spPr>
        <a:xfrm>
          <a:off x="2998876" y="9758596"/>
          <a:ext cx="436180"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230058</xdr:colOff>
      <xdr:row>42</xdr:row>
      <xdr:rowOff>61869</xdr:rowOff>
    </xdr:from>
    <xdr:to>
      <xdr:col>12</xdr:col>
      <xdr:colOff>113787</xdr:colOff>
      <xdr:row>42</xdr:row>
      <xdr:rowOff>61869</xdr:rowOff>
    </xdr:to>
    <xdr:cxnSp macro="">
      <xdr:nvCxnSpPr>
        <xdr:cNvPr id="145" name="直線矢印コネクタ 144">
          <a:extLst>
            <a:ext uri="{FF2B5EF4-FFF2-40B4-BE49-F238E27FC236}">
              <a16:creationId xmlns:a16="http://schemas.microsoft.com/office/drawing/2014/main" id="{CEBABACA-B0AB-43AC-9A24-2AB1E76F9835}"/>
            </a:ext>
          </a:extLst>
        </xdr:cNvPr>
        <xdr:cNvCxnSpPr/>
      </xdr:nvCxnSpPr>
      <xdr:spPr>
        <a:xfrm>
          <a:off x="2992308" y="10539369"/>
          <a:ext cx="436179"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95250</xdr:colOff>
      <xdr:row>39</xdr:row>
      <xdr:rowOff>89257</xdr:rowOff>
    </xdr:from>
    <xdr:to>
      <xdr:col>25</xdr:col>
      <xdr:colOff>256442</xdr:colOff>
      <xdr:row>39</xdr:row>
      <xdr:rowOff>89257</xdr:rowOff>
    </xdr:to>
    <xdr:cxnSp macro="">
      <xdr:nvCxnSpPr>
        <xdr:cNvPr id="146" name="直線矢印コネクタ 145">
          <a:extLst>
            <a:ext uri="{FF2B5EF4-FFF2-40B4-BE49-F238E27FC236}">
              <a16:creationId xmlns:a16="http://schemas.microsoft.com/office/drawing/2014/main" id="{6591E629-C0F4-481B-A1A7-7C2C4A6F61E6}"/>
            </a:ext>
          </a:extLst>
        </xdr:cNvPr>
        <xdr:cNvCxnSpPr/>
      </xdr:nvCxnSpPr>
      <xdr:spPr>
        <a:xfrm>
          <a:off x="4550019" y="10002584"/>
          <a:ext cx="2667000" cy="0"/>
        </a:xfrm>
        <a:prstGeom prst="straightConnector1">
          <a:avLst/>
        </a:prstGeom>
        <a:ln>
          <a:solidFill>
            <a:srgbClr val="FF0000"/>
          </a:solidFill>
          <a:headEnd type="triangle"/>
          <a:tailEnd type="non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115957</xdr:colOff>
      <xdr:row>42</xdr:row>
      <xdr:rowOff>194319</xdr:rowOff>
    </xdr:from>
    <xdr:to>
      <xdr:col>25</xdr:col>
      <xdr:colOff>249115</xdr:colOff>
      <xdr:row>42</xdr:row>
      <xdr:rowOff>194319</xdr:rowOff>
    </xdr:to>
    <xdr:cxnSp macro="">
      <xdr:nvCxnSpPr>
        <xdr:cNvPr id="147" name="直線矢印コネクタ 146">
          <a:extLst>
            <a:ext uri="{FF2B5EF4-FFF2-40B4-BE49-F238E27FC236}">
              <a16:creationId xmlns:a16="http://schemas.microsoft.com/office/drawing/2014/main" id="{68E1912A-3950-4A8E-B40A-E1C7333DD01E}"/>
            </a:ext>
          </a:extLst>
        </xdr:cNvPr>
        <xdr:cNvCxnSpPr/>
      </xdr:nvCxnSpPr>
      <xdr:spPr>
        <a:xfrm>
          <a:off x="4570726" y="10833011"/>
          <a:ext cx="2638966" cy="0"/>
        </a:xfrm>
        <a:prstGeom prst="straightConnector1">
          <a:avLst/>
        </a:prstGeom>
        <a:ln>
          <a:solidFill>
            <a:srgbClr val="FF0000"/>
          </a:solidFill>
          <a:headEnd type="triangle"/>
          <a:tailEnd type="non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21</xdr:col>
      <xdr:colOff>20750</xdr:colOff>
      <xdr:row>38</xdr:row>
      <xdr:rowOff>87833</xdr:rowOff>
    </xdr:from>
    <xdr:to>
      <xdr:col>25</xdr:col>
      <xdr:colOff>83883</xdr:colOff>
      <xdr:row>39</xdr:row>
      <xdr:rowOff>89296</xdr:rowOff>
    </xdr:to>
    <xdr:sp macro="" textlink="">
      <xdr:nvSpPr>
        <xdr:cNvPr id="148" name="正方形/長方形 147">
          <a:extLst>
            <a:ext uri="{FF2B5EF4-FFF2-40B4-BE49-F238E27FC236}">
              <a16:creationId xmlns:a16="http://schemas.microsoft.com/office/drawing/2014/main" id="{505BABA5-446B-494D-A51D-DF2684F20189}"/>
            </a:ext>
          </a:extLst>
        </xdr:cNvPr>
        <xdr:cNvSpPr/>
      </xdr:nvSpPr>
      <xdr:spPr>
        <a:xfrm>
          <a:off x="5821475" y="9612833"/>
          <a:ext cx="1168033" cy="23958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chemeClr val="tx1"/>
              </a:solidFill>
            </a:rPr>
            <a:t>入力波形データ </a:t>
          </a:r>
          <a:r>
            <a:rPr kumimoji="1" lang="en-US" altLang="ja-JP" sz="900">
              <a:solidFill>
                <a:schemeClr val="tx1"/>
              </a:solidFill>
            </a:rPr>
            <a:t>0</a:t>
          </a:r>
        </a:p>
      </xdr:txBody>
    </xdr:sp>
    <xdr:clientData/>
  </xdr:twoCellAnchor>
  <xdr:twoCellAnchor>
    <xdr:from>
      <xdr:col>21</xdr:col>
      <xdr:colOff>20513</xdr:colOff>
      <xdr:row>41</xdr:row>
      <xdr:rowOff>186167</xdr:rowOff>
    </xdr:from>
    <xdr:to>
      <xdr:col>25</xdr:col>
      <xdr:colOff>83646</xdr:colOff>
      <xdr:row>42</xdr:row>
      <xdr:rowOff>194433</xdr:rowOff>
    </xdr:to>
    <xdr:sp macro="" textlink="">
      <xdr:nvSpPr>
        <xdr:cNvPr id="149" name="正方形/長方形 148">
          <a:extLst>
            <a:ext uri="{FF2B5EF4-FFF2-40B4-BE49-F238E27FC236}">
              <a16:creationId xmlns:a16="http://schemas.microsoft.com/office/drawing/2014/main" id="{7E2604C5-E5A9-4FF7-8B16-1EA0E7F60B7F}"/>
            </a:ext>
          </a:extLst>
        </xdr:cNvPr>
        <xdr:cNvSpPr/>
      </xdr:nvSpPr>
      <xdr:spPr>
        <a:xfrm>
          <a:off x="5821238" y="10425542"/>
          <a:ext cx="1168033" cy="24639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chemeClr val="tx1"/>
              </a:solidFill>
            </a:rPr>
            <a:t>入力波形データ </a:t>
          </a:r>
          <a:r>
            <a:rPr kumimoji="1" lang="en-US" altLang="ja-JP" sz="900">
              <a:solidFill>
                <a:schemeClr val="tx1"/>
              </a:solidFill>
            </a:rPr>
            <a:t>7</a:t>
          </a:r>
        </a:p>
      </xdr:txBody>
    </xdr:sp>
    <xdr:clientData/>
  </xdr:twoCellAnchor>
  <xdr:twoCellAnchor>
    <xdr:from>
      <xdr:col>25</xdr:col>
      <xdr:colOff>242462</xdr:colOff>
      <xdr:row>38</xdr:row>
      <xdr:rowOff>186570</xdr:rowOff>
    </xdr:from>
    <xdr:to>
      <xdr:col>28</xdr:col>
      <xdr:colOff>238949</xdr:colOff>
      <xdr:row>40</xdr:row>
      <xdr:rowOff>38115</xdr:rowOff>
    </xdr:to>
    <xdr:sp macro="" textlink="">
      <xdr:nvSpPr>
        <xdr:cNvPr id="150" name="正方形/長方形 149">
          <a:extLst>
            <a:ext uri="{FF2B5EF4-FFF2-40B4-BE49-F238E27FC236}">
              <a16:creationId xmlns:a16="http://schemas.microsoft.com/office/drawing/2014/main" id="{477EE6B5-CDA4-4340-8EDF-8D432C709C52}"/>
            </a:ext>
          </a:extLst>
        </xdr:cNvPr>
        <xdr:cNvSpPr/>
      </xdr:nvSpPr>
      <xdr:spPr>
        <a:xfrm>
          <a:off x="7148087" y="9711570"/>
          <a:ext cx="825162" cy="327795"/>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a:solidFill>
                <a:schemeClr val="tx1"/>
              </a:solidFill>
            </a:rPr>
            <a:t>AXI4</a:t>
          </a:r>
          <a:r>
            <a:rPr kumimoji="1" lang="en-US" altLang="ja-JP" sz="900" baseline="0">
              <a:solidFill>
                <a:schemeClr val="tx1"/>
              </a:solidFill>
            </a:rPr>
            <a:t>-Stream</a:t>
          </a:r>
          <a:endParaRPr kumimoji="1" lang="en-US" altLang="ja-JP" sz="900">
            <a:solidFill>
              <a:schemeClr val="tx1"/>
            </a:solidFill>
          </a:endParaRPr>
        </a:p>
      </xdr:txBody>
    </xdr:sp>
    <xdr:clientData/>
  </xdr:twoCellAnchor>
  <xdr:twoCellAnchor>
    <xdr:from>
      <xdr:col>25</xdr:col>
      <xdr:colOff>233741</xdr:colOff>
      <xdr:row>42</xdr:row>
      <xdr:rowOff>35284</xdr:rowOff>
    </xdr:from>
    <xdr:to>
      <xdr:col>28</xdr:col>
      <xdr:colOff>238949</xdr:colOff>
      <xdr:row>43</xdr:row>
      <xdr:rowOff>97086</xdr:rowOff>
    </xdr:to>
    <xdr:sp macro="" textlink="">
      <xdr:nvSpPr>
        <xdr:cNvPr id="151" name="正方形/長方形 150">
          <a:extLst>
            <a:ext uri="{FF2B5EF4-FFF2-40B4-BE49-F238E27FC236}">
              <a16:creationId xmlns:a16="http://schemas.microsoft.com/office/drawing/2014/main" id="{0ECFE19B-F525-408F-8BDD-664576BC0776}"/>
            </a:ext>
          </a:extLst>
        </xdr:cNvPr>
        <xdr:cNvSpPr/>
      </xdr:nvSpPr>
      <xdr:spPr>
        <a:xfrm>
          <a:off x="7139366" y="10512784"/>
          <a:ext cx="833883" cy="299927"/>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baseline="0">
              <a:solidFill>
                <a:schemeClr val="tx1"/>
              </a:solidFill>
            </a:rPr>
            <a:t>AXI4-Stream</a:t>
          </a:r>
          <a:endParaRPr kumimoji="1" lang="en-US" altLang="ja-JP" sz="900">
            <a:solidFill>
              <a:schemeClr val="tx1"/>
            </a:solidFill>
          </a:endParaRPr>
        </a:p>
      </xdr:txBody>
    </xdr:sp>
    <xdr:clientData/>
  </xdr:twoCellAnchor>
  <xdr:twoCellAnchor>
    <xdr:from>
      <xdr:col>6</xdr:col>
      <xdr:colOff>148299</xdr:colOff>
      <xdr:row>35</xdr:row>
      <xdr:rowOff>236471</xdr:rowOff>
    </xdr:from>
    <xdr:to>
      <xdr:col>11</xdr:col>
      <xdr:colOff>53518</xdr:colOff>
      <xdr:row>37</xdr:row>
      <xdr:rowOff>19531</xdr:rowOff>
    </xdr:to>
    <xdr:sp macro="" textlink="">
      <xdr:nvSpPr>
        <xdr:cNvPr id="155" name="正方形/長方形 154">
          <a:extLst>
            <a:ext uri="{FF2B5EF4-FFF2-40B4-BE49-F238E27FC236}">
              <a16:creationId xmlns:a16="http://schemas.microsoft.com/office/drawing/2014/main" id="{A1A4B69C-7DDC-4D59-A79B-D5378BC15BE9}"/>
            </a:ext>
          </a:extLst>
        </xdr:cNvPr>
        <xdr:cNvSpPr/>
      </xdr:nvSpPr>
      <xdr:spPr>
        <a:xfrm>
          <a:off x="1805649" y="9047096"/>
          <a:ext cx="1286344" cy="25931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chemeClr val="tx1"/>
              </a:solidFill>
            </a:rPr>
            <a:t>キャプチャ開始信号</a:t>
          </a:r>
          <a:endParaRPr kumimoji="1" lang="en-US" altLang="ja-JP" sz="900">
            <a:solidFill>
              <a:schemeClr val="tx1"/>
            </a:solidFill>
          </a:endParaRPr>
        </a:p>
      </xdr:txBody>
    </xdr:sp>
    <xdr:clientData/>
  </xdr:twoCellAnchor>
  <xdr:twoCellAnchor>
    <xdr:from>
      <xdr:col>8</xdr:col>
      <xdr:colOff>30677</xdr:colOff>
      <xdr:row>37</xdr:row>
      <xdr:rowOff>15077</xdr:rowOff>
    </xdr:from>
    <xdr:to>
      <xdr:col>11</xdr:col>
      <xdr:colOff>175847</xdr:colOff>
      <xdr:row>38</xdr:row>
      <xdr:rowOff>71243</xdr:rowOff>
    </xdr:to>
    <xdr:cxnSp macro="">
      <xdr:nvCxnSpPr>
        <xdr:cNvPr id="156" name="コネクタ: カギ線 155">
          <a:extLst>
            <a:ext uri="{FF2B5EF4-FFF2-40B4-BE49-F238E27FC236}">
              <a16:creationId xmlns:a16="http://schemas.microsoft.com/office/drawing/2014/main" id="{B16C6913-AC08-42E1-AEA1-0B8FF97E11D1}"/>
            </a:ext>
          </a:extLst>
        </xdr:cNvPr>
        <xdr:cNvCxnSpPr>
          <a:endCxn id="138" idx="0"/>
        </xdr:cNvCxnSpPr>
      </xdr:nvCxnSpPr>
      <xdr:spPr>
        <a:xfrm rot="10800000" flipV="1">
          <a:off x="2240477" y="9301952"/>
          <a:ext cx="973845" cy="294291"/>
        </a:xfrm>
        <a:prstGeom prst="bentConnector2">
          <a:avLst/>
        </a:prstGeom>
        <a:ln>
          <a:solidFill>
            <a:srgbClr val="00B05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21</xdr:col>
      <xdr:colOff>99391</xdr:colOff>
      <xdr:row>35</xdr:row>
      <xdr:rowOff>25262</xdr:rowOff>
    </xdr:from>
    <xdr:to>
      <xdr:col>25</xdr:col>
      <xdr:colOff>140804</xdr:colOff>
      <xdr:row>37</xdr:row>
      <xdr:rowOff>139148</xdr:rowOff>
    </xdr:to>
    <xdr:sp macro="" textlink="">
      <xdr:nvSpPr>
        <xdr:cNvPr id="163" name="正方形/長方形 162">
          <a:extLst>
            <a:ext uri="{FF2B5EF4-FFF2-40B4-BE49-F238E27FC236}">
              <a16:creationId xmlns:a16="http://schemas.microsoft.com/office/drawing/2014/main" id="{EDFFF2E9-94B6-40CC-8EC0-3538F1538D4A}"/>
            </a:ext>
          </a:extLst>
        </xdr:cNvPr>
        <xdr:cNvSpPr/>
      </xdr:nvSpPr>
      <xdr:spPr>
        <a:xfrm>
          <a:off x="5900116" y="8835887"/>
          <a:ext cx="1146313" cy="590136"/>
        </a:xfrm>
        <a:prstGeom prst="rect">
          <a:avLst/>
        </a:prstGeom>
        <a:solidFill>
          <a:schemeClr val="accent1">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chemeClr val="tx1"/>
              </a:solidFill>
            </a:rPr>
            <a:t>キャプチャデータ</a:t>
          </a:r>
          <a:endParaRPr kumimoji="1" lang="en-US" altLang="ja-JP" sz="900">
            <a:solidFill>
              <a:schemeClr val="tx1"/>
            </a:solidFill>
          </a:endParaRPr>
        </a:p>
        <a:p>
          <a:pPr algn="ctr"/>
          <a:r>
            <a:rPr kumimoji="1" lang="en-US" altLang="ja-JP" sz="1100">
              <a:solidFill>
                <a:schemeClr val="tx1"/>
              </a:solidFill>
            </a:rPr>
            <a:t>RAMs</a:t>
          </a:r>
        </a:p>
      </xdr:txBody>
    </xdr:sp>
    <xdr:clientData/>
  </xdr:twoCellAnchor>
  <xdr:twoCellAnchor>
    <xdr:from>
      <xdr:col>20</xdr:col>
      <xdr:colOff>33130</xdr:colOff>
      <xdr:row>36</xdr:row>
      <xdr:rowOff>82130</xdr:rowOff>
    </xdr:from>
    <xdr:to>
      <xdr:col>21</xdr:col>
      <xdr:colOff>82826</xdr:colOff>
      <xdr:row>36</xdr:row>
      <xdr:rowOff>82130</xdr:rowOff>
    </xdr:to>
    <xdr:cxnSp macro="">
      <xdr:nvCxnSpPr>
        <xdr:cNvPr id="175" name="直線矢印コネクタ 174">
          <a:extLst>
            <a:ext uri="{FF2B5EF4-FFF2-40B4-BE49-F238E27FC236}">
              <a16:creationId xmlns:a16="http://schemas.microsoft.com/office/drawing/2014/main" id="{B24F9BE4-60E7-4F55-9678-CBFD0D97B011}"/>
            </a:ext>
          </a:extLst>
        </xdr:cNvPr>
        <xdr:cNvCxnSpPr/>
      </xdr:nvCxnSpPr>
      <xdr:spPr>
        <a:xfrm>
          <a:off x="5557630" y="9130880"/>
          <a:ext cx="325921"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91616</xdr:colOff>
      <xdr:row>37</xdr:row>
      <xdr:rowOff>94440</xdr:rowOff>
    </xdr:from>
    <xdr:to>
      <xdr:col>20</xdr:col>
      <xdr:colOff>40366</xdr:colOff>
      <xdr:row>38</xdr:row>
      <xdr:rowOff>101010</xdr:rowOff>
    </xdr:to>
    <xdr:sp macro="" textlink="">
      <xdr:nvSpPr>
        <xdr:cNvPr id="177" name="正方形/長方形 176">
          <a:extLst>
            <a:ext uri="{FF2B5EF4-FFF2-40B4-BE49-F238E27FC236}">
              <a16:creationId xmlns:a16="http://schemas.microsoft.com/office/drawing/2014/main" id="{21BF681D-74DC-44FE-9CFB-AC6A86223327}"/>
            </a:ext>
          </a:extLst>
        </xdr:cNvPr>
        <xdr:cNvSpPr/>
      </xdr:nvSpPr>
      <xdr:spPr>
        <a:xfrm>
          <a:off x="4511216" y="9381315"/>
          <a:ext cx="1053650" cy="24469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baseline="0">
              <a:solidFill>
                <a:schemeClr val="tx1"/>
              </a:solidFill>
            </a:rPr>
            <a:t>サンプルデータ</a:t>
          </a:r>
          <a:endParaRPr kumimoji="1" lang="en-US" altLang="ja-JP" sz="900">
            <a:solidFill>
              <a:schemeClr val="tx1"/>
            </a:solidFill>
          </a:endParaRPr>
        </a:p>
      </xdr:txBody>
    </xdr:sp>
    <xdr:clientData/>
  </xdr:twoCellAnchor>
  <xdr:twoCellAnchor>
    <xdr:from>
      <xdr:col>16</xdr:col>
      <xdr:colOff>79768</xdr:colOff>
      <xdr:row>38</xdr:row>
      <xdr:rowOff>94738</xdr:rowOff>
    </xdr:from>
    <xdr:to>
      <xdr:col>20</xdr:col>
      <xdr:colOff>16565</xdr:colOff>
      <xdr:row>38</xdr:row>
      <xdr:rowOff>94738</xdr:rowOff>
    </xdr:to>
    <xdr:cxnSp macro="">
      <xdr:nvCxnSpPr>
        <xdr:cNvPr id="178" name="直線矢印コネクタ 177">
          <a:extLst>
            <a:ext uri="{FF2B5EF4-FFF2-40B4-BE49-F238E27FC236}">
              <a16:creationId xmlns:a16="http://schemas.microsoft.com/office/drawing/2014/main" id="{AAEF2541-A520-4140-8CC6-E38E21D5F48B}"/>
            </a:ext>
          </a:extLst>
        </xdr:cNvPr>
        <xdr:cNvCxnSpPr/>
      </xdr:nvCxnSpPr>
      <xdr:spPr>
        <a:xfrm flipH="1">
          <a:off x="4499368" y="9619738"/>
          <a:ext cx="1041697" cy="0"/>
        </a:xfrm>
        <a:prstGeom prst="straightConnector1">
          <a:avLst/>
        </a:prstGeom>
        <a:ln>
          <a:solidFill>
            <a:schemeClr val="tx1"/>
          </a:solidFill>
          <a:headEnd type="triangle"/>
          <a:tailEnd type="non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111495</xdr:colOff>
      <xdr:row>40</xdr:row>
      <xdr:rowOff>211639</xdr:rowOff>
    </xdr:from>
    <xdr:to>
      <xdr:col>20</xdr:col>
      <xdr:colOff>60245</xdr:colOff>
      <xdr:row>41</xdr:row>
      <xdr:rowOff>218209</xdr:rowOff>
    </xdr:to>
    <xdr:sp macro="" textlink="">
      <xdr:nvSpPr>
        <xdr:cNvPr id="209" name="正方形/長方形 208">
          <a:extLst>
            <a:ext uri="{FF2B5EF4-FFF2-40B4-BE49-F238E27FC236}">
              <a16:creationId xmlns:a16="http://schemas.microsoft.com/office/drawing/2014/main" id="{AE960279-70B3-429C-83A4-9CD6AD776E10}"/>
            </a:ext>
          </a:extLst>
        </xdr:cNvPr>
        <xdr:cNvSpPr/>
      </xdr:nvSpPr>
      <xdr:spPr>
        <a:xfrm>
          <a:off x="4531095" y="10212889"/>
          <a:ext cx="1053650" cy="24469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baseline="0">
              <a:solidFill>
                <a:schemeClr val="tx1"/>
              </a:solidFill>
            </a:rPr>
            <a:t>サンプルデータ</a:t>
          </a:r>
          <a:endParaRPr kumimoji="1" lang="en-US" altLang="ja-JP" sz="900">
            <a:solidFill>
              <a:schemeClr val="tx1"/>
            </a:solidFill>
          </a:endParaRPr>
        </a:p>
      </xdr:txBody>
    </xdr:sp>
    <xdr:clientData/>
  </xdr:twoCellAnchor>
  <xdr:twoCellAnchor>
    <xdr:from>
      <xdr:col>16</xdr:col>
      <xdr:colOff>91364</xdr:colOff>
      <xdr:row>41</xdr:row>
      <xdr:rowOff>211937</xdr:rowOff>
    </xdr:from>
    <xdr:to>
      <xdr:col>20</xdr:col>
      <xdr:colOff>28161</xdr:colOff>
      <xdr:row>41</xdr:row>
      <xdr:rowOff>211937</xdr:rowOff>
    </xdr:to>
    <xdr:cxnSp macro="">
      <xdr:nvCxnSpPr>
        <xdr:cNvPr id="210" name="直線矢印コネクタ 209">
          <a:extLst>
            <a:ext uri="{FF2B5EF4-FFF2-40B4-BE49-F238E27FC236}">
              <a16:creationId xmlns:a16="http://schemas.microsoft.com/office/drawing/2014/main" id="{79125F78-5157-4A29-8DC4-4C55CE2848B5}"/>
            </a:ext>
          </a:extLst>
        </xdr:cNvPr>
        <xdr:cNvCxnSpPr/>
      </xdr:nvCxnSpPr>
      <xdr:spPr>
        <a:xfrm flipH="1">
          <a:off x="4510964" y="10451312"/>
          <a:ext cx="1041697" cy="0"/>
        </a:xfrm>
        <a:prstGeom prst="straightConnector1">
          <a:avLst/>
        </a:prstGeom>
        <a:ln>
          <a:solidFill>
            <a:schemeClr val="tx1"/>
          </a:solidFill>
          <a:headEnd type="triangle"/>
          <a:tailEnd type="non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138510</xdr:colOff>
      <xdr:row>37</xdr:row>
      <xdr:rowOff>237945</xdr:rowOff>
    </xdr:from>
    <xdr:to>
      <xdr:col>16</xdr:col>
      <xdr:colOff>89805</xdr:colOff>
      <xdr:row>39</xdr:row>
      <xdr:rowOff>196940</xdr:rowOff>
    </xdr:to>
    <xdr:sp macro="" textlink="">
      <xdr:nvSpPr>
        <xdr:cNvPr id="142" name="正方形/長方形 141">
          <a:extLst>
            <a:ext uri="{FF2B5EF4-FFF2-40B4-BE49-F238E27FC236}">
              <a16:creationId xmlns:a16="http://schemas.microsoft.com/office/drawing/2014/main" id="{4C8D6EFB-937E-4572-AD95-D5EE7B4FB766}"/>
            </a:ext>
          </a:extLst>
        </xdr:cNvPr>
        <xdr:cNvSpPr/>
      </xdr:nvSpPr>
      <xdr:spPr>
        <a:xfrm>
          <a:off x="3453210" y="9524820"/>
          <a:ext cx="1056195" cy="435245"/>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baseline="0">
              <a:solidFill>
                <a:schemeClr val="tx1"/>
              </a:solidFill>
            </a:rPr>
            <a:t>capture unit 0</a:t>
          </a:r>
          <a:endParaRPr kumimoji="1" lang="en-US" altLang="ja-JP" sz="1100">
            <a:solidFill>
              <a:schemeClr val="tx1"/>
            </a:solidFill>
          </a:endParaRPr>
        </a:p>
      </xdr:txBody>
    </xdr:sp>
    <xdr:clientData/>
  </xdr:twoCellAnchor>
  <xdr:twoCellAnchor>
    <xdr:from>
      <xdr:col>12</xdr:col>
      <xdr:colOff>133768</xdr:colOff>
      <xdr:row>41</xdr:row>
      <xdr:rowOff>91216</xdr:rowOff>
    </xdr:from>
    <xdr:to>
      <xdr:col>16</xdr:col>
      <xdr:colOff>104461</xdr:colOff>
      <xdr:row>43</xdr:row>
      <xdr:rowOff>77096</xdr:rowOff>
    </xdr:to>
    <xdr:sp macro="" textlink="">
      <xdr:nvSpPr>
        <xdr:cNvPr id="143" name="正方形/長方形 142">
          <a:extLst>
            <a:ext uri="{FF2B5EF4-FFF2-40B4-BE49-F238E27FC236}">
              <a16:creationId xmlns:a16="http://schemas.microsoft.com/office/drawing/2014/main" id="{296F1D11-7278-43CA-B472-8C1061EE27F0}"/>
            </a:ext>
          </a:extLst>
        </xdr:cNvPr>
        <xdr:cNvSpPr/>
      </xdr:nvSpPr>
      <xdr:spPr>
        <a:xfrm>
          <a:off x="3448468" y="10330591"/>
          <a:ext cx="1075593" cy="462130"/>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capture unit 7</a:t>
          </a:r>
        </a:p>
      </xdr:txBody>
    </xdr:sp>
    <xdr:clientData/>
  </xdr:twoCellAnchor>
  <xdr:twoCellAnchor>
    <xdr:from>
      <xdr:col>3</xdr:col>
      <xdr:colOff>157982</xdr:colOff>
      <xdr:row>40</xdr:row>
      <xdr:rowOff>148944</xdr:rowOff>
    </xdr:from>
    <xdr:to>
      <xdr:col>5</xdr:col>
      <xdr:colOff>99137</xdr:colOff>
      <xdr:row>40</xdr:row>
      <xdr:rowOff>148944</xdr:rowOff>
    </xdr:to>
    <xdr:cxnSp macro="">
      <xdr:nvCxnSpPr>
        <xdr:cNvPr id="236" name="直線矢印コネクタ 235">
          <a:extLst>
            <a:ext uri="{FF2B5EF4-FFF2-40B4-BE49-F238E27FC236}">
              <a16:creationId xmlns:a16="http://schemas.microsoft.com/office/drawing/2014/main" id="{1A472D30-93E2-43BA-9570-68181071FB6A}"/>
            </a:ext>
          </a:extLst>
        </xdr:cNvPr>
        <xdr:cNvCxnSpPr/>
      </xdr:nvCxnSpPr>
      <xdr:spPr>
        <a:xfrm>
          <a:off x="986657" y="10150194"/>
          <a:ext cx="493605"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130885</xdr:colOff>
      <xdr:row>46</xdr:row>
      <xdr:rowOff>191003</xdr:rowOff>
    </xdr:from>
    <xdr:to>
      <xdr:col>25</xdr:col>
      <xdr:colOff>217715</xdr:colOff>
      <xdr:row>66</xdr:row>
      <xdr:rowOff>47625</xdr:rowOff>
    </xdr:to>
    <xdr:sp macro="" textlink="">
      <xdr:nvSpPr>
        <xdr:cNvPr id="238" name="正方形/長方形 237">
          <a:extLst>
            <a:ext uri="{FF2B5EF4-FFF2-40B4-BE49-F238E27FC236}">
              <a16:creationId xmlns:a16="http://schemas.microsoft.com/office/drawing/2014/main" id="{705401A2-217C-42D2-828F-9342F40E38C4}"/>
            </a:ext>
          </a:extLst>
        </xdr:cNvPr>
        <xdr:cNvSpPr/>
      </xdr:nvSpPr>
      <xdr:spPr>
        <a:xfrm>
          <a:off x="1512010" y="11621003"/>
          <a:ext cx="5611330" cy="4619122"/>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400">
              <a:solidFill>
                <a:schemeClr val="tx1"/>
              </a:solidFill>
            </a:rPr>
            <a:t>e7awg_hw</a:t>
          </a:r>
          <a:endParaRPr kumimoji="1" lang="ja-JP" altLang="en-US" sz="1400">
            <a:solidFill>
              <a:schemeClr val="tx1"/>
            </a:solidFill>
          </a:endParaRPr>
        </a:p>
      </xdr:txBody>
    </xdr:sp>
    <xdr:clientData/>
  </xdr:twoCellAnchor>
  <xdr:twoCellAnchor>
    <xdr:from>
      <xdr:col>14</xdr:col>
      <xdr:colOff>27531</xdr:colOff>
      <xdr:row>53</xdr:row>
      <xdr:rowOff>175332</xdr:rowOff>
    </xdr:from>
    <xdr:to>
      <xdr:col>15</xdr:col>
      <xdr:colOff>18266</xdr:colOff>
      <xdr:row>55</xdr:row>
      <xdr:rowOff>238722</xdr:rowOff>
    </xdr:to>
    <xdr:sp macro="" textlink="">
      <xdr:nvSpPr>
        <xdr:cNvPr id="239" name="正方形/長方形 238">
          <a:extLst>
            <a:ext uri="{FF2B5EF4-FFF2-40B4-BE49-F238E27FC236}">
              <a16:creationId xmlns:a16="http://schemas.microsoft.com/office/drawing/2014/main" id="{1B8BE782-B074-4A1C-B3E5-B22277B54A63}"/>
            </a:ext>
          </a:extLst>
        </xdr:cNvPr>
        <xdr:cNvSpPr/>
      </xdr:nvSpPr>
      <xdr:spPr>
        <a:xfrm rot="5400000">
          <a:off x="3692346" y="13791588"/>
          <a:ext cx="553248" cy="26287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chemeClr val="tx1"/>
              </a:solidFill>
            </a:rPr>
            <a:t>・・・</a:t>
          </a:r>
        </a:p>
      </xdr:txBody>
    </xdr:sp>
    <xdr:clientData/>
  </xdr:twoCellAnchor>
  <xdr:twoCellAnchor>
    <xdr:from>
      <xdr:col>5</xdr:col>
      <xdr:colOff>131754</xdr:colOff>
      <xdr:row>52</xdr:row>
      <xdr:rowOff>63480</xdr:rowOff>
    </xdr:from>
    <xdr:to>
      <xdr:col>10</xdr:col>
      <xdr:colOff>258201</xdr:colOff>
      <xdr:row>56</xdr:row>
      <xdr:rowOff>218027</xdr:rowOff>
    </xdr:to>
    <xdr:sp macro="" textlink="">
      <xdr:nvSpPr>
        <xdr:cNvPr id="240" name="正方形/長方形 239">
          <a:extLst>
            <a:ext uri="{FF2B5EF4-FFF2-40B4-BE49-F238E27FC236}">
              <a16:creationId xmlns:a16="http://schemas.microsoft.com/office/drawing/2014/main" id="{8ECBF216-59D7-4554-A296-5651613842D0}"/>
            </a:ext>
          </a:extLst>
        </xdr:cNvPr>
        <xdr:cNvSpPr/>
      </xdr:nvSpPr>
      <xdr:spPr>
        <a:xfrm>
          <a:off x="1492468" y="13289623"/>
          <a:ext cx="1487162" cy="1134261"/>
        </a:xfrm>
        <a:prstGeom prst="rect">
          <a:avLst/>
        </a:prstGeom>
        <a:solidFill>
          <a:schemeClr val="accent1">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awg ctrl</a:t>
          </a:r>
        </a:p>
        <a:p>
          <a:pPr algn="ctr"/>
          <a:endParaRPr kumimoji="1" lang="en-US" altLang="ja-JP" sz="1100">
            <a:solidFill>
              <a:schemeClr val="tx1"/>
            </a:solidFill>
          </a:endParaRPr>
        </a:p>
        <a:p>
          <a:pPr algn="ctr"/>
          <a:r>
            <a:rPr kumimoji="1" lang="en-US" altLang="ja-JP" sz="1100">
              <a:solidFill>
                <a:schemeClr val="tx1"/>
              </a:solidFill>
            </a:rPr>
            <a:t>(UDP</a:t>
          </a:r>
          <a:r>
            <a:rPr kumimoji="1" lang="ja-JP" altLang="en-US" sz="1100">
              <a:solidFill>
                <a:schemeClr val="tx1"/>
              </a:solidFill>
            </a:rPr>
            <a:t>ポート </a:t>
          </a:r>
          <a:r>
            <a:rPr kumimoji="1" lang="en-US" altLang="ja-JP" sz="1100">
              <a:solidFill>
                <a:schemeClr val="tx1"/>
              </a:solidFill>
            </a:rPr>
            <a:t>: 16385)</a:t>
          </a:r>
        </a:p>
      </xdr:txBody>
    </xdr:sp>
    <xdr:clientData/>
  </xdr:twoCellAnchor>
  <xdr:twoCellAnchor>
    <xdr:from>
      <xdr:col>16</xdr:col>
      <xdr:colOff>102265</xdr:colOff>
      <xdr:row>51</xdr:row>
      <xdr:rowOff>170933</xdr:rowOff>
    </xdr:from>
    <xdr:to>
      <xdr:col>20</xdr:col>
      <xdr:colOff>51015</xdr:colOff>
      <xdr:row>52</xdr:row>
      <xdr:rowOff>177502</xdr:rowOff>
    </xdr:to>
    <xdr:sp macro="" textlink="">
      <xdr:nvSpPr>
        <xdr:cNvPr id="241" name="正方形/長方形 240">
          <a:extLst>
            <a:ext uri="{FF2B5EF4-FFF2-40B4-BE49-F238E27FC236}">
              <a16:creationId xmlns:a16="http://schemas.microsoft.com/office/drawing/2014/main" id="{FAAF1DC6-4C0A-4AF7-BA29-93E316090F2F}"/>
            </a:ext>
          </a:extLst>
        </xdr:cNvPr>
        <xdr:cNvSpPr/>
      </xdr:nvSpPr>
      <xdr:spPr>
        <a:xfrm>
          <a:off x="4456551" y="13152147"/>
          <a:ext cx="1037321" cy="25149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baseline="0">
              <a:solidFill>
                <a:schemeClr val="tx1"/>
              </a:solidFill>
            </a:rPr>
            <a:t>サンプルデータ</a:t>
          </a:r>
          <a:endParaRPr kumimoji="1" lang="en-US" altLang="ja-JP" sz="900">
            <a:solidFill>
              <a:schemeClr val="tx1"/>
            </a:solidFill>
          </a:endParaRPr>
        </a:p>
      </xdr:txBody>
    </xdr:sp>
    <xdr:clientData/>
  </xdr:twoCellAnchor>
  <xdr:twoCellAnchor>
    <xdr:from>
      <xdr:col>16</xdr:col>
      <xdr:colOff>33408</xdr:colOff>
      <xdr:row>53</xdr:row>
      <xdr:rowOff>118122</xdr:rowOff>
    </xdr:from>
    <xdr:to>
      <xdr:col>25</xdr:col>
      <xdr:colOff>209433</xdr:colOff>
      <xdr:row>53</xdr:row>
      <xdr:rowOff>118122</xdr:rowOff>
    </xdr:to>
    <xdr:cxnSp macro="">
      <xdr:nvCxnSpPr>
        <xdr:cNvPr id="242" name="直線矢印コネクタ 241">
          <a:extLst>
            <a:ext uri="{FF2B5EF4-FFF2-40B4-BE49-F238E27FC236}">
              <a16:creationId xmlns:a16="http://schemas.microsoft.com/office/drawing/2014/main" id="{53C4E41B-7C71-4ACC-8BAC-57734AFE80B0}"/>
            </a:ext>
          </a:extLst>
        </xdr:cNvPr>
        <xdr:cNvCxnSpPr/>
      </xdr:nvCxnSpPr>
      <xdr:spPr>
        <a:xfrm>
          <a:off x="4387694" y="13589193"/>
          <a:ext cx="2625310" cy="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27931</xdr:colOff>
      <xdr:row>56</xdr:row>
      <xdr:rowOff>225253</xdr:rowOff>
    </xdr:from>
    <xdr:to>
      <xdr:col>25</xdr:col>
      <xdr:colOff>201150</xdr:colOff>
      <xdr:row>56</xdr:row>
      <xdr:rowOff>225253</xdr:rowOff>
    </xdr:to>
    <xdr:cxnSp macro="">
      <xdr:nvCxnSpPr>
        <xdr:cNvPr id="243" name="直線矢印コネクタ 242">
          <a:extLst>
            <a:ext uri="{FF2B5EF4-FFF2-40B4-BE49-F238E27FC236}">
              <a16:creationId xmlns:a16="http://schemas.microsoft.com/office/drawing/2014/main" id="{2F614696-AA4F-43B8-9D39-A74D8B6C0303}"/>
            </a:ext>
          </a:extLst>
        </xdr:cNvPr>
        <xdr:cNvCxnSpPr/>
      </xdr:nvCxnSpPr>
      <xdr:spPr>
        <a:xfrm>
          <a:off x="4382217" y="14431110"/>
          <a:ext cx="2622504" cy="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21</xdr:col>
      <xdr:colOff>27198</xdr:colOff>
      <xdr:row>52</xdr:row>
      <xdr:rowOff>116697</xdr:rowOff>
    </xdr:from>
    <xdr:to>
      <xdr:col>25</xdr:col>
      <xdr:colOff>89148</xdr:colOff>
      <xdr:row>53</xdr:row>
      <xdr:rowOff>118161</xdr:rowOff>
    </xdr:to>
    <xdr:sp macro="" textlink="">
      <xdr:nvSpPr>
        <xdr:cNvPr id="245" name="正方形/長方形 244">
          <a:extLst>
            <a:ext uri="{FF2B5EF4-FFF2-40B4-BE49-F238E27FC236}">
              <a16:creationId xmlns:a16="http://schemas.microsoft.com/office/drawing/2014/main" id="{0642479D-3732-49E9-A763-013E22AEB268}"/>
            </a:ext>
          </a:extLst>
        </xdr:cNvPr>
        <xdr:cNvSpPr/>
      </xdr:nvSpPr>
      <xdr:spPr>
        <a:xfrm>
          <a:off x="5742198" y="13342840"/>
          <a:ext cx="1150521" cy="24639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chemeClr val="tx1"/>
              </a:solidFill>
            </a:rPr>
            <a:t>出力波形データ </a:t>
          </a:r>
          <a:r>
            <a:rPr kumimoji="1" lang="en-US" altLang="ja-JP" sz="900">
              <a:solidFill>
                <a:schemeClr val="tx1"/>
              </a:solidFill>
            </a:rPr>
            <a:t>0</a:t>
          </a:r>
        </a:p>
      </xdr:txBody>
    </xdr:sp>
    <xdr:clientData/>
  </xdr:twoCellAnchor>
  <xdr:twoCellAnchor>
    <xdr:from>
      <xdr:col>13</xdr:col>
      <xdr:colOff>53939</xdr:colOff>
      <xdr:row>52</xdr:row>
      <xdr:rowOff>33668</xdr:rowOff>
    </xdr:from>
    <xdr:to>
      <xdr:col>16</xdr:col>
      <xdr:colOff>28128</xdr:colOff>
      <xdr:row>53</xdr:row>
      <xdr:rowOff>234452</xdr:rowOff>
    </xdr:to>
    <xdr:sp macro="" textlink="">
      <xdr:nvSpPr>
        <xdr:cNvPr id="247" name="正方形/長方形 246">
          <a:extLst>
            <a:ext uri="{FF2B5EF4-FFF2-40B4-BE49-F238E27FC236}">
              <a16:creationId xmlns:a16="http://schemas.microsoft.com/office/drawing/2014/main" id="{1128A95D-1120-4B46-96D1-20F677BB70D7}"/>
            </a:ext>
          </a:extLst>
        </xdr:cNvPr>
        <xdr:cNvSpPr/>
      </xdr:nvSpPr>
      <xdr:spPr>
        <a:xfrm>
          <a:off x="3591796" y="13259811"/>
          <a:ext cx="790618" cy="445712"/>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AWG</a:t>
          </a:r>
          <a:r>
            <a:rPr kumimoji="1" lang="en-US" altLang="ja-JP" sz="1100" baseline="0">
              <a:solidFill>
                <a:schemeClr val="tx1"/>
              </a:solidFill>
            </a:rPr>
            <a:t> 0</a:t>
          </a:r>
          <a:endParaRPr kumimoji="1" lang="en-US" altLang="ja-JP" sz="1100">
            <a:solidFill>
              <a:schemeClr val="tx1"/>
            </a:solidFill>
          </a:endParaRPr>
        </a:p>
      </xdr:txBody>
    </xdr:sp>
    <xdr:clientData/>
  </xdr:twoCellAnchor>
  <xdr:twoCellAnchor>
    <xdr:from>
      <xdr:col>13</xdr:col>
      <xdr:colOff>53938</xdr:colOff>
      <xdr:row>55</xdr:row>
      <xdr:rowOff>126657</xdr:rowOff>
    </xdr:from>
    <xdr:to>
      <xdr:col>16</xdr:col>
      <xdr:colOff>28128</xdr:colOff>
      <xdr:row>57</xdr:row>
      <xdr:rowOff>112536</xdr:rowOff>
    </xdr:to>
    <xdr:sp macro="" textlink="">
      <xdr:nvSpPr>
        <xdr:cNvPr id="249" name="正方形/長方形 248">
          <a:extLst>
            <a:ext uri="{FF2B5EF4-FFF2-40B4-BE49-F238E27FC236}">
              <a16:creationId xmlns:a16="http://schemas.microsoft.com/office/drawing/2014/main" id="{A97E0CAA-7D3D-46CA-AFA3-6DBED0C15EE1}"/>
            </a:ext>
          </a:extLst>
        </xdr:cNvPr>
        <xdr:cNvSpPr/>
      </xdr:nvSpPr>
      <xdr:spPr>
        <a:xfrm>
          <a:off x="3591795" y="14087586"/>
          <a:ext cx="790619" cy="475736"/>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AWG</a:t>
          </a:r>
          <a:r>
            <a:rPr kumimoji="1" lang="en-US" altLang="ja-JP" sz="1100" baseline="0">
              <a:solidFill>
                <a:schemeClr val="tx1"/>
              </a:solidFill>
            </a:rPr>
            <a:t> 7</a:t>
          </a:r>
          <a:endParaRPr kumimoji="1" lang="en-US" altLang="ja-JP" sz="1100">
            <a:solidFill>
              <a:schemeClr val="tx1"/>
            </a:solidFill>
          </a:endParaRPr>
        </a:p>
      </xdr:txBody>
    </xdr:sp>
    <xdr:clientData/>
  </xdr:twoCellAnchor>
  <xdr:twoCellAnchor>
    <xdr:from>
      <xdr:col>10</xdr:col>
      <xdr:colOff>255244</xdr:colOff>
      <xdr:row>52</xdr:row>
      <xdr:rowOff>112358</xdr:rowOff>
    </xdr:from>
    <xdr:to>
      <xdr:col>13</xdr:col>
      <xdr:colOff>43184</xdr:colOff>
      <xdr:row>52</xdr:row>
      <xdr:rowOff>112358</xdr:rowOff>
    </xdr:to>
    <xdr:cxnSp macro="">
      <xdr:nvCxnSpPr>
        <xdr:cNvPr id="251" name="直線矢印コネクタ 250">
          <a:extLst>
            <a:ext uri="{FF2B5EF4-FFF2-40B4-BE49-F238E27FC236}">
              <a16:creationId xmlns:a16="http://schemas.microsoft.com/office/drawing/2014/main" id="{6DEC91B0-BF97-42A9-BE71-0689B0EEF685}"/>
            </a:ext>
          </a:extLst>
        </xdr:cNvPr>
        <xdr:cNvCxnSpPr/>
      </xdr:nvCxnSpPr>
      <xdr:spPr>
        <a:xfrm>
          <a:off x="2976673" y="13338501"/>
          <a:ext cx="604368"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259882</xdr:colOff>
      <xdr:row>55</xdr:row>
      <xdr:rowOff>236379</xdr:rowOff>
    </xdr:from>
    <xdr:to>
      <xdr:col>13</xdr:col>
      <xdr:colOff>54390</xdr:colOff>
      <xdr:row>55</xdr:row>
      <xdr:rowOff>236379</xdr:rowOff>
    </xdr:to>
    <xdr:cxnSp macro="">
      <xdr:nvCxnSpPr>
        <xdr:cNvPr id="252" name="直線矢印コネクタ 251">
          <a:extLst>
            <a:ext uri="{FF2B5EF4-FFF2-40B4-BE49-F238E27FC236}">
              <a16:creationId xmlns:a16="http://schemas.microsoft.com/office/drawing/2014/main" id="{AECF7566-8F0F-46E5-95CF-FEEB22B22E45}"/>
            </a:ext>
          </a:extLst>
        </xdr:cNvPr>
        <xdr:cNvCxnSpPr/>
      </xdr:nvCxnSpPr>
      <xdr:spPr>
        <a:xfrm>
          <a:off x="2981311" y="14197308"/>
          <a:ext cx="610936"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131754</xdr:colOff>
      <xdr:row>48</xdr:row>
      <xdr:rowOff>106326</xdr:rowOff>
    </xdr:from>
    <xdr:to>
      <xdr:col>11</xdr:col>
      <xdr:colOff>5336</xdr:colOff>
      <xdr:row>51</xdr:row>
      <xdr:rowOff>99958</xdr:rowOff>
    </xdr:to>
    <xdr:sp macro="" textlink="">
      <xdr:nvSpPr>
        <xdr:cNvPr id="253" name="正方形/長方形 252">
          <a:extLst>
            <a:ext uri="{FF2B5EF4-FFF2-40B4-BE49-F238E27FC236}">
              <a16:creationId xmlns:a16="http://schemas.microsoft.com/office/drawing/2014/main" id="{80DF98E1-274F-4F9B-96A1-C5F2D3F79CA4}"/>
            </a:ext>
          </a:extLst>
        </xdr:cNvPr>
        <xdr:cNvSpPr/>
      </xdr:nvSpPr>
      <xdr:spPr>
        <a:xfrm>
          <a:off x="1492468" y="12352755"/>
          <a:ext cx="1506439" cy="728417"/>
        </a:xfrm>
        <a:prstGeom prst="rect">
          <a:avLst/>
        </a:prstGeom>
        <a:solidFill>
          <a:schemeClr val="accent1">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upl axi rw</a:t>
          </a:r>
        </a:p>
        <a:p>
          <a:pPr algn="ctr"/>
          <a:endParaRPr kumimoji="1" lang="en-US" altLang="ja-JP" sz="1100">
            <a:solidFill>
              <a:schemeClr val="tx1"/>
            </a:solidFill>
          </a:endParaRPr>
        </a:p>
        <a:p>
          <a:pPr algn="ctr"/>
          <a:r>
            <a:rPr kumimoji="1" lang="en-US" altLang="ja-JP" sz="1100">
              <a:solidFill>
                <a:schemeClr val="tx1"/>
              </a:solidFill>
            </a:rPr>
            <a:t>(UDP</a:t>
          </a:r>
          <a:r>
            <a:rPr kumimoji="1" lang="ja-JP" altLang="en-US" sz="1100">
              <a:solidFill>
                <a:schemeClr val="tx1"/>
              </a:solidFill>
            </a:rPr>
            <a:t>ポート </a:t>
          </a:r>
          <a:r>
            <a:rPr kumimoji="1" lang="en-US" altLang="ja-JP" sz="1100">
              <a:solidFill>
                <a:schemeClr val="tx1"/>
              </a:solidFill>
            </a:rPr>
            <a:t>: 16384)</a:t>
          </a:r>
        </a:p>
      </xdr:txBody>
    </xdr:sp>
    <xdr:clientData/>
  </xdr:twoCellAnchor>
  <xdr:twoCellAnchor>
    <xdr:from>
      <xdr:col>10</xdr:col>
      <xdr:colOff>267043</xdr:colOff>
      <xdr:row>50</xdr:row>
      <xdr:rowOff>2026</xdr:rowOff>
    </xdr:from>
    <xdr:to>
      <xdr:col>20</xdr:col>
      <xdr:colOff>49195</xdr:colOff>
      <xdr:row>50</xdr:row>
      <xdr:rowOff>2026</xdr:rowOff>
    </xdr:to>
    <xdr:cxnSp macro="">
      <xdr:nvCxnSpPr>
        <xdr:cNvPr id="254" name="直線矢印コネクタ 253">
          <a:extLst>
            <a:ext uri="{FF2B5EF4-FFF2-40B4-BE49-F238E27FC236}">
              <a16:creationId xmlns:a16="http://schemas.microsoft.com/office/drawing/2014/main" id="{104BC917-0B0B-41C8-9DC0-9153C9034E56}"/>
            </a:ext>
          </a:extLst>
        </xdr:cNvPr>
        <xdr:cNvCxnSpPr/>
      </xdr:nvCxnSpPr>
      <xdr:spPr>
        <a:xfrm>
          <a:off x="2988472" y="12738312"/>
          <a:ext cx="2503580"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175672</xdr:colOff>
      <xdr:row>62</xdr:row>
      <xdr:rowOff>230408</xdr:rowOff>
    </xdr:from>
    <xdr:to>
      <xdr:col>5</xdr:col>
      <xdr:colOff>116827</xdr:colOff>
      <xdr:row>62</xdr:row>
      <xdr:rowOff>230408</xdr:rowOff>
    </xdr:to>
    <xdr:cxnSp macro="">
      <xdr:nvCxnSpPr>
        <xdr:cNvPr id="255" name="直線矢印コネクタ 254">
          <a:extLst>
            <a:ext uri="{FF2B5EF4-FFF2-40B4-BE49-F238E27FC236}">
              <a16:creationId xmlns:a16="http://schemas.microsoft.com/office/drawing/2014/main" id="{4DB2A0B6-8141-4A24-9CB9-0A85891E74BF}"/>
            </a:ext>
          </a:extLst>
        </xdr:cNvPr>
        <xdr:cNvCxnSpPr/>
      </xdr:nvCxnSpPr>
      <xdr:spPr>
        <a:xfrm>
          <a:off x="992101" y="15905837"/>
          <a:ext cx="485440"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181533</xdr:colOff>
      <xdr:row>49</xdr:row>
      <xdr:rowOff>228943</xdr:rowOff>
    </xdr:from>
    <xdr:to>
      <xdr:col>5</xdr:col>
      <xdr:colOff>130206</xdr:colOff>
      <xdr:row>49</xdr:row>
      <xdr:rowOff>228943</xdr:rowOff>
    </xdr:to>
    <xdr:cxnSp macro="">
      <xdr:nvCxnSpPr>
        <xdr:cNvPr id="256" name="直線矢印コネクタ 255">
          <a:extLst>
            <a:ext uri="{FF2B5EF4-FFF2-40B4-BE49-F238E27FC236}">
              <a16:creationId xmlns:a16="http://schemas.microsoft.com/office/drawing/2014/main" id="{7E913D08-DF80-404E-B8E9-EB27B6818B7F}"/>
            </a:ext>
          </a:extLst>
        </xdr:cNvPr>
        <xdr:cNvCxnSpPr/>
      </xdr:nvCxnSpPr>
      <xdr:spPr>
        <a:xfrm>
          <a:off x="997962" y="12720300"/>
          <a:ext cx="492958"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191624</xdr:colOff>
      <xdr:row>54</xdr:row>
      <xdr:rowOff>116216</xdr:rowOff>
    </xdr:from>
    <xdr:to>
      <xdr:col>5</xdr:col>
      <xdr:colOff>125619</xdr:colOff>
      <xdr:row>54</xdr:row>
      <xdr:rowOff>116216</xdr:rowOff>
    </xdr:to>
    <xdr:cxnSp macro="">
      <xdr:nvCxnSpPr>
        <xdr:cNvPr id="257" name="直線矢印コネクタ 256">
          <a:extLst>
            <a:ext uri="{FF2B5EF4-FFF2-40B4-BE49-F238E27FC236}">
              <a16:creationId xmlns:a16="http://schemas.microsoft.com/office/drawing/2014/main" id="{40A3A123-72D5-4083-AEA1-F87DB5BB9F68}"/>
            </a:ext>
          </a:extLst>
        </xdr:cNvPr>
        <xdr:cNvCxnSpPr/>
      </xdr:nvCxnSpPr>
      <xdr:spPr>
        <a:xfrm>
          <a:off x="1008053" y="13832216"/>
          <a:ext cx="478280"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174853</xdr:colOff>
      <xdr:row>55</xdr:row>
      <xdr:rowOff>133348</xdr:rowOff>
    </xdr:from>
    <xdr:to>
      <xdr:col>3</xdr:col>
      <xdr:colOff>157873</xdr:colOff>
      <xdr:row>57</xdr:row>
      <xdr:rowOff>6850</xdr:rowOff>
    </xdr:to>
    <xdr:sp macro="" textlink="">
      <xdr:nvSpPr>
        <xdr:cNvPr id="258" name="矢印: 左右 257">
          <a:extLst>
            <a:ext uri="{FF2B5EF4-FFF2-40B4-BE49-F238E27FC236}">
              <a16:creationId xmlns:a16="http://schemas.microsoft.com/office/drawing/2014/main" id="{CD06057B-8BDC-40F5-8516-8EE68B697D46}"/>
            </a:ext>
          </a:extLst>
        </xdr:cNvPr>
        <xdr:cNvSpPr/>
      </xdr:nvSpPr>
      <xdr:spPr>
        <a:xfrm>
          <a:off x="174853" y="13706473"/>
          <a:ext cx="811695" cy="349752"/>
        </a:xfrm>
        <a:prstGeom prst="leftRightArrow">
          <a:avLst>
            <a:gd name="adj1" fmla="val 54651"/>
            <a:gd name="adj2" fmla="val 47764"/>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ja-JP"/>
            <a:t>10GbE</a:t>
          </a:r>
          <a:endParaRPr kumimoji="1" lang="ja-JP" altLang="en-US" sz="1100">
            <a:solidFill>
              <a:schemeClr val="bg1"/>
            </a:solidFill>
          </a:endParaRPr>
        </a:p>
      </xdr:txBody>
    </xdr:sp>
    <xdr:clientData/>
  </xdr:twoCellAnchor>
  <xdr:twoCellAnchor>
    <xdr:from>
      <xdr:col>3</xdr:col>
      <xdr:colOff>181421</xdr:colOff>
      <xdr:row>49</xdr:row>
      <xdr:rowOff>194107</xdr:rowOff>
    </xdr:from>
    <xdr:to>
      <xdr:col>3</xdr:col>
      <xdr:colOff>181421</xdr:colOff>
      <xdr:row>63</xdr:row>
      <xdr:rowOff>57150</xdr:rowOff>
    </xdr:to>
    <xdr:cxnSp macro="">
      <xdr:nvCxnSpPr>
        <xdr:cNvPr id="259" name="直線コネクタ 258">
          <a:extLst>
            <a:ext uri="{FF2B5EF4-FFF2-40B4-BE49-F238E27FC236}">
              <a16:creationId xmlns:a16="http://schemas.microsoft.com/office/drawing/2014/main" id="{4F5F9802-FE99-4E9B-A8E0-E4A04F4C5A3C}"/>
            </a:ext>
          </a:extLst>
        </xdr:cNvPr>
        <xdr:cNvCxnSpPr/>
      </xdr:nvCxnSpPr>
      <xdr:spPr>
        <a:xfrm>
          <a:off x="1010096" y="12338482"/>
          <a:ext cx="0" cy="3196793"/>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21</xdr:col>
      <xdr:colOff>26961</xdr:colOff>
      <xdr:row>55</xdr:row>
      <xdr:rowOff>217102</xdr:rowOff>
    </xdr:from>
    <xdr:to>
      <xdr:col>25</xdr:col>
      <xdr:colOff>88911</xdr:colOff>
      <xdr:row>56</xdr:row>
      <xdr:rowOff>225367</xdr:rowOff>
    </xdr:to>
    <xdr:sp macro="" textlink="">
      <xdr:nvSpPr>
        <xdr:cNvPr id="260" name="正方形/長方形 259">
          <a:extLst>
            <a:ext uri="{FF2B5EF4-FFF2-40B4-BE49-F238E27FC236}">
              <a16:creationId xmlns:a16="http://schemas.microsoft.com/office/drawing/2014/main" id="{97174375-40F6-4960-826D-CA196D18E798}"/>
            </a:ext>
          </a:extLst>
        </xdr:cNvPr>
        <xdr:cNvSpPr/>
      </xdr:nvSpPr>
      <xdr:spPr>
        <a:xfrm>
          <a:off x="5741961" y="14178031"/>
          <a:ext cx="1150521" cy="25319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chemeClr val="tx1"/>
              </a:solidFill>
            </a:rPr>
            <a:t>出力波形データ </a:t>
          </a:r>
          <a:r>
            <a:rPr kumimoji="1" lang="en-US" altLang="ja-JP" sz="900">
              <a:solidFill>
                <a:schemeClr val="tx1"/>
              </a:solidFill>
            </a:rPr>
            <a:t>7</a:t>
          </a:r>
        </a:p>
      </xdr:txBody>
    </xdr:sp>
    <xdr:clientData/>
  </xdr:twoCellAnchor>
  <xdr:twoCellAnchor>
    <xdr:from>
      <xdr:col>25</xdr:col>
      <xdr:colOff>205616</xdr:colOff>
      <xdr:row>52</xdr:row>
      <xdr:rowOff>217505</xdr:rowOff>
    </xdr:from>
    <xdr:to>
      <xdr:col>28</xdr:col>
      <xdr:colOff>202103</xdr:colOff>
      <xdr:row>54</xdr:row>
      <xdr:rowOff>66979</xdr:rowOff>
    </xdr:to>
    <xdr:sp macro="" textlink="">
      <xdr:nvSpPr>
        <xdr:cNvPr id="261" name="正方形/長方形 260">
          <a:extLst>
            <a:ext uri="{FF2B5EF4-FFF2-40B4-BE49-F238E27FC236}">
              <a16:creationId xmlns:a16="http://schemas.microsoft.com/office/drawing/2014/main" id="{7C98ECDC-70E7-4AEA-BF4A-97A55134CDCC}"/>
            </a:ext>
          </a:extLst>
        </xdr:cNvPr>
        <xdr:cNvSpPr/>
      </xdr:nvSpPr>
      <xdr:spPr>
        <a:xfrm>
          <a:off x="7009187" y="13443648"/>
          <a:ext cx="812916" cy="339331"/>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a:solidFill>
                <a:schemeClr val="tx1"/>
              </a:solidFill>
            </a:rPr>
            <a:t>AXI4</a:t>
          </a:r>
          <a:r>
            <a:rPr kumimoji="1" lang="en-US" altLang="ja-JP" sz="900" baseline="0">
              <a:solidFill>
                <a:schemeClr val="tx1"/>
              </a:solidFill>
            </a:rPr>
            <a:t>-Stream</a:t>
          </a:r>
          <a:endParaRPr kumimoji="1" lang="en-US" altLang="ja-JP" sz="900">
            <a:solidFill>
              <a:schemeClr val="tx1"/>
            </a:solidFill>
          </a:endParaRPr>
        </a:p>
      </xdr:txBody>
    </xdr:sp>
    <xdr:clientData/>
  </xdr:twoCellAnchor>
  <xdr:twoCellAnchor>
    <xdr:from>
      <xdr:col>25</xdr:col>
      <xdr:colOff>196895</xdr:colOff>
      <xdr:row>56</xdr:row>
      <xdr:rowOff>64148</xdr:rowOff>
    </xdr:from>
    <xdr:to>
      <xdr:col>28</xdr:col>
      <xdr:colOff>202103</xdr:colOff>
      <xdr:row>57</xdr:row>
      <xdr:rowOff>125950</xdr:rowOff>
    </xdr:to>
    <xdr:sp macro="" textlink="">
      <xdr:nvSpPr>
        <xdr:cNvPr id="262" name="正方形/長方形 261">
          <a:extLst>
            <a:ext uri="{FF2B5EF4-FFF2-40B4-BE49-F238E27FC236}">
              <a16:creationId xmlns:a16="http://schemas.microsoft.com/office/drawing/2014/main" id="{0909EF8C-AADA-49C7-956A-78D3A04E2608}"/>
            </a:ext>
          </a:extLst>
        </xdr:cNvPr>
        <xdr:cNvSpPr/>
      </xdr:nvSpPr>
      <xdr:spPr>
        <a:xfrm>
          <a:off x="7000466" y="14270005"/>
          <a:ext cx="821637" cy="306731"/>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baseline="0">
              <a:solidFill>
                <a:schemeClr val="tx1"/>
              </a:solidFill>
            </a:rPr>
            <a:t>AXI4-Stream</a:t>
          </a:r>
          <a:endParaRPr kumimoji="1" lang="en-US" altLang="ja-JP" sz="900">
            <a:solidFill>
              <a:schemeClr val="tx1"/>
            </a:solidFill>
          </a:endParaRPr>
        </a:p>
      </xdr:txBody>
    </xdr:sp>
    <xdr:clientData/>
  </xdr:twoCellAnchor>
  <xdr:twoCellAnchor>
    <xdr:from>
      <xdr:col>21</xdr:col>
      <xdr:colOff>209770</xdr:colOff>
      <xdr:row>48</xdr:row>
      <xdr:rowOff>208432</xdr:rowOff>
    </xdr:from>
    <xdr:to>
      <xdr:col>25</xdr:col>
      <xdr:colOff>28507</xdr:colOff>
      <xdr:row>51</xdr:row>
      <xdr:rowOff>56586</xdr:rowOff>
    </xdr:to>
    <xdr:sp macro="" textlink="">
      <xdr:nvSpPr>
        <xdr:cNvPr id="263" name="正方形/長方形 262">
          <a:extLst>
            <a:ext uri="{FF2B5EF4-FFF2-40B4-BE49-F238E27FC236}">
              <a16:creationId xmlns:a16="http://schemas.microsoft.com/office/drawing/2014/main" id="{3D0D83A6-3904-4988-B823-C249EDE7F9B5}"/>
            </a:ext>
          </a:extLst>
        </xdr:cNvPr>
        <xdr:cNvSpPr/>
      </xdr:nvSpPr>
      <xdr:spPr>
        <a:xfrm>
          <a:off x="5924770" y="12454861"/>
          <a:ext cx="907308" cy="582939"/>
        </a:xfrm>
        <a:prstGeom prst="rect">
          <a:avLst/>
        </a:prstGeom>
        <a:solidFill>
          <a:schemeClr val="accent1">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波形データ</a:t>
          </a:r>
          <a:endParaRPr kumimoji="1" lang="en-US" altLang="ja-JP" sz="1100">
            <a:solidFill>
              <a:schemeClr val="tx1"/>
            </a:solidFill>
          </a:endParaRPr>
        </a:p>
        <a:p>
          <a:pPr algn="ctr"/>
          <a:r>
            <a:rPr kumimoji="1" lang="en-US" altLang="ja-JP" sz="1100">
              <a:solidFill>
                <a:schemeClr val="tx1"/>
              </a:solidFill>
            </a:rPr>
            <a:t>RAM(s)</a:t>
          </a:r>
        </a:p>
      </xdr:txBody>
    </xdr:sp>
    <xdr:clientData/>
  </xdr:twoCellAnchor>
  <xdr:twoCellAnchor>
    <xdr:from>
      <xdr:col>20</xdr:col>
      <xdr:colOff>58848</xdr:colOff>
      <xdr:row>49</xdr:row>
      <xdr:rowOff>198006</xdr:rowOff>
    </xdr:from>
    <xdr:to>
      <xdr:col>20</xdr:col>
      <xdr:colOff>58848</xdr:colOff>
      <xdr:row>56</xdr:row>
      <xdr:rowOff>76200</xdr:rowOff>
    </xdr:to>
    <xdr:cxnSp macro="">
      <xdr:nvCxnSpPr>
        <xdr:cNvPr id="264" name="直線コネクタ 263">
          <a:extLst>
            <a:ext uri="{FF2B5EF4-FFF2-40B4-BE49-F238E27FC236}">
              <a16:creationId xmlns:a16="http://schemas.microsoft.com/office/drawing/2014/main" id="{13D8DD49-B7E9-400D-898D-81788283F7BF}"/>
            </a:ext>
          </a:extLst>
        </xdr:cNvPr>
        <xdr:cNvCxnSpPr/>
      </xdr:nvCxnSpPr>
      <xdr:spPr>
        <a:xfrm>
          <a:off x="5583348" y="12342381"/>
          <a:ext cx="0" cy="1545069"/>
        </a:xfrm>
        <a:prstGeom prst="line">
          <a:avLst/>
        </a:prstGeom>
        <a:ln w="15875">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32440</xdr:colOff>
      <xdr:row>52</xdr:row>
      <xdr:rowOff>140171</xdr:rowOff>
    </xdr:from>
    <xdr:to>
      <xdr:col>20</xdr:col>
      <xdr:colOff>56464</xdr:colOff>
      <xdr:row>52</xdr:row>
      <xdr:rowOff>140171</xdr:rowOff>
    </xdr:to>
    <xdr:cxnSp macro="">
      <xdr:nvCxnSpPr>
        <xdr:cNvPr id="265" name="直線矢印コネクタ 264">
          <a:extLst>
            <a:ext uri="{FF2B5EF4-FFF2-40B4-BE49-F238E27FC236}">
              <a16:creationId xmlns:a16="http://schemas.microsoft.com/office/drawing/2014/main" id="{65E7E0F2-CC95-4572-B2C7-FFA47210AF68}"/>
            </a:ext>
          </a:extLst>
        </xdr:cNvPr>
        <xdr:cNvCxnSpPr/>
      </xdr:nvCxnSpPr>
      <xdr:spPr>
        <a:xfrm flipH="1">
          <a:off x="4386726" y="13366314"/>
          <a:ext cx="1112595" cy="0"/>
        </a:xfrm>
        <a:prstGeom prst="straightConnector1">
          <a:avLst/>
        </a:prstGeom>
        <a:ln>
          <a:solidFill>
            <a:schemeClr val="tx1"/>
          </a:solidFill>
          <a:headEnd type="non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29928</xdr:colOff>
      <xdr:row>56</xdr:row>
      <xdr:rowOff>34664</xdr:rowOff>
    </xdr:from>
    <xdr:to>
      <xdr:col>20</xdr:col>
      <xdr:colOff>65172</xdr:colOff>
      <xdr:row>56</xdr:row>
      <xdr:rowOff>34664</xdr:rowOff>
    </xdr:to>
    <xdr:cxnSp macro="">
      <xdr:nvCxnSpPr>
        <xdr:cNvPr id="266" name="直線矢印コネクタ 265">
          <a:extLst>
            <a:ext uri="{FF2B5EF4-FFF2-40B4-BE49-F238E27FC236}">
              <a16:creationId xmlns:a16="http://schemas.microsoft.com/office/drawing/2014/main" id="{70280D05-C49A-41C1-8F06-F180187457B1}"/>
            </a:ext>
          </a:extLst>
        </xdr:cNvPr>
        <xdr:cNvCxnSpPr/>
      </xdr:nvCxnSpPr>
      <xdr:spPr>
        <a:xfrm flipH="1" flipV="1">
          <a:off x="4384214" y="14240521"/>
          <a:ext cx="1123815" cy="0"/>
        </a:xfrm>
        <a:prstGeom prst="straightConnector1">
          <a:avLst/>
        </a:prstGeom>
        <a:ln>
          <a:solidFill>
            <a:schemeClr val="tx1"/>
          </a:solidFill>
          <a:headEnd type="non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53437</xdr:colOff>
      <xdr:row>50</xdr:row>
      <xdr:rowOff>1936</xdr:rowOff>
    </xdr:from>
    <xdr:to>
      <xdr:col>21</xdr:col>
      <xdr:colOff>195734</xdr:colOff>
      <xdr:row>50</xdr:row>
      <xdr:rowOff>1936</xdr:rowOff>
    </xdr:to>
    <xdr:cxnSp macro="">
      <xdr:nvCxnSpPr>
        <xdr:cNvPr id="267" name="直線矢印コネクタ 266">
          <a:extLst>
            <a:ext uri="{FF2B5EF4-FFF2-40B4-BE49-F238E27FC236}">
              <a16:creationId xmlns:a16="http://schemas.microsoft.com/office/drawing/2014/main" id="{A8DAEF16-6FC4-4C20-A04A-B308BA7AB4F4}"/>
            </a:ext>
          </a:extLst>
        </xdr:cNvPr>
        <xdr:cNvCxnSpPr/>
      </xdr:nvCxnSpPr>
      <xdr:spPr>
        <a:xfrm>
          <a:off x="5496294" y="12738222"/>
          <a:ext cx="414440"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135602</xdr:colOff>
      <xdr:row>60</xdr:row>
      <xdr:rowOff>158099</xdr:rowOff>
    </xdr:from>
    <xdr:to>
      <xdr:col>10</xdr:col>
      <xdr:colOff>262049</xdr:colOff>
      <xdr:row>65</xdr:row>
      <xdr:rowOff>71719</xdr:rowOff>
    </xdr:to>
    <xdr:sp macro="" textlink="">
      <xdr:nvSpPr>
        <xdr:cNvPr id="268" name="正方形/長方形 267">
          <a:extLst>
            <a:ext uri="{FF2B5EF4-FFF2-40B4-BE49-F238E27FC236}">
              <a16:creationId xmlns:a16="http://schemas.microsoft.com/office/drawing/2014/main" id="{F0C2CFA7-EDB4-4C91-A94B-BEAE2963E9B1}"/>
            </a:ext>
          </a:extLst>
        </xdr:cNvPr>
        <xdr:cNvSpPr/>
      </xdr:nvSpPr>
      <xdr:spPr>
        <a:xfrm>
          <a:off x="1496316" y="15343670"/>
          <a:ext cx="1487162" cy="1138263"/>
        </a:xfrm>
        <a:prstGeom prst="rect">
          <a:avLst/>
        </a:prstGeom>
        <a:solidFill>
          <a:schemeClr val="accent1">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digital out ctrl</a:t>
          </a:r>
        </a:p>
        <a:p>
          <a:pPr algn="ctr"/>
          <a:endParaRPr kumimoji="1" lang="en-US" altLang="ja-JP" sz="1100">
            <a:solidFill>
              <a:schemeClr val="tx1"/>
            </a:solidFill>
          </a:endParaRPr>
        </a:p>
        <a:p>
          <a:pPr algn="ctr"/>
          <a:r>
            <a:rPr kumimoji="1" lang="en-US" altLang="ja-JP" sz="1100">
              <a:solidFill>
                <a:schemeClr val="tx1"/>
              </a:solidFill>
            </a:rPr>
            <a:t>(UDP</a:t>
          </a:r>
          <a:r>
            <a:rPr kumimoji="1" lang="ja-JP" altLang="en-US" sz="1100">
              <a:solidFill>
                <a:schemeClr val="tx1"/>
              </a:solidFill>
            </a:rPr>
            <a:t>ポート </a:t>
          </a:r>
          <a:r>
            <a:rPr kumimoji="1" lang="en-US" altLang="ja-JP" sz="1100">
              <a:solidFill>
                <a:schemeClr val="tx1"/>
              </a:solidFill>
            </a:rPr>
            <a:t>: 16385)</a:t>
          </a:r>
        </a:p>
      </xdr:txBody>
    </xdr:sp>
    <xdr:clientData/>
  </xdr:twoCellAnchor>
  <xdr:twoCellAnchor>
    <xdr:from>
      <xdr:col>13</xdr:col>
      <xdr:colOff>255409</xdr:colOff>
      <xdr:row>61</xdr:row>
      <xdr:rowOff>214558</xdr:rowOff>
    </xdr:from>
    <xdr:to>
      <xdr:col>14</xdr:col>
      <xdr:colOff>246144</xdr:colOff>
      <xdr:row>64</xdr:row>
      <xdr:rowOff>39824</xdr:rowOff>
    </xdr:to>
    <xdr:sp macro="" textlink="">
      <xdr:nvSpPr>
        <xdr:cNvPr id="269" name="正方形/長方形 268">
          <a:extLst>
            <a:ext uri="{FF2B5EF4-FFF2-40B4-BE49-F238E27FC236}">
              <a16:creationId xmlns:a16="http://schemas.microsoft.com/office/drawing/2014/main" id="{B3F3B167-33E7-4AFA-8676-32D552754BA3}"/>
            </a:ext>
          </a:extLst>
        </xdr:cNvPr>
        <xdr:cNvSpPr/>
      </xdr:nvSpPr>
      <xdr:spPr>
        <a:xfrm rot="5400000">
          <a:off x="3644679" y="15793645"/>
          <a:ext cx="560052" cy="26287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chemeClr val="tx1"/>
              </a:solidFill>
            </a:rPr>
            <a:t>・・・</a:t>
          </a:r>
        </a:p>
      </xdr:txBody>
    </xdr:sp>
    <xdr:clientData/>
  </xdr:twoCellAnchor>
  <xdr:twoCellAnchor>
    <xdr:from>
      <xdr:col>10</xdr:col>
      <xdr:colOff>270212</xdr:colOff>
      <xdr:row>61</xdr:row>
      <xdr:rowOff>90436</xdr:rowOff>
    </xdr:from>
    <xdr:to>
      <xdr:col>12</xdr:col>
      <xdr:colOff>153942</xdr:colOff>
      <xdr:row>61</xdr:row>
      <xdr:rowOff>90436</xdr:rowOff>
    </xdr:to>
    <xdr:cxnSp macro="">
      <xdr:nvCxnSpPr>
        <xdr:cNvPr id="270" name="直線矢印コネクタ 269">
          <a:extLst>
            <a:ext uri="{FF2B5EF4-FFF2-40B4-BE49-F238E27FC236}">
              <a16:creationId xmlns:a16="http://schemas.microsoft.com/office/drawing/2014/main" id="{B2C93EA6-04E0-4465-95DF-33273BCC60C1}"/>
            </a:ext>
          </a:extLst>
        </xdr:cNvPr>
        <xdr:cNvCxnSpPr/>
      </xdr:nvCxnSpPr>
      <xdr:spPr>
        <a:xfrm>
          <a:off x="2991641" y="15520936"/>
          <a:ext cx="428015"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263644</xdr:colOff>
      <xdr:row>64</xdr:row>
      <xdr:rowOff>158427</xdr:rowOff>
    </xdr:from>
    <xdr:to>
      <xdr:col>12</xdr:col>
      <xdr:colOff>147373</xdr:colOff>
      <xdr:row>64</xdr:row>
      <xdr:rowOff>158427</xdr:rowOff>
    </xdr:to>
    <xdr:cxnSp macro="">
      <xdr:nvCxnSpPr>
        <xdr:cNvPr id="271" name="直線矢印コネクタ 270">
          <a:extLst>
            <a:ext uri="{FF2B5EF4-FFF2-40B4-BE49-F238E27FC236}">
              <a16:creationId xmlns:a16="http://schemas.microsoft.com/office/drawing/2014/main" id="{89CF81B0-3DC9-4BA5-8D93-BCC2357CEA97}"/>
            </a:ext>
          </a:extLst>
        </xdr:cNvPr>
        <xdr:cNvCxnSpPr/>
      </xdr:nvCxnSpPr>
      <xdr:spPr>
        <a:xfrm>
          <a:off x="2985073" y="16323713"/>
          <a:ext cx="428014"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206765</xdr:colOff>
      <xdr:row>53</xdr:row>
      <xdr:rowOff>91551</xdr:rowOff>
    </xdr:from>
    <xdr:to>
      <xdr:col>11</xdr:col>
      <xdr:colOff>206765</xdr:colOff>
      <xdr:row>59</xdr:row>
      <xdr:rowOff>142875</xdr:rowOff>
    </xdr:to>
    <xdr:cxnSp macro="">
      <xdr:nvCxnSpPr>
        <xdr:cNvPr id="272" name="直線コネクタ 271">
          <a:extLst>
            <a:ext uri="{FF2B5EF4-FFF2-40B4-BE49-F238E27FC236}">
              <a16:creationId xmlns:a16="http://schemas.microsoft.com/office/drawing/2014/main" id="{8ADD0F14-C1F4-4EA5-8059-621D6F755D46}"/>
            </a:ext>
          </a:extLst>
        </xdr:cNvPr>
        <xdr:cNvCxnSpPr/>
      </xdr:nvCxnSpPr>
      <xdr:spPr>
        <a:xfrm>
          <a:off x="3245240" y="13188426"/>
          <a:ext cx="0" cy="1480074"/>
        </a:xfrm>
        <a:prstGeom prst="line">
          <a:avLst/>
        </a:prstGeom>
        <a:ln w="15875">
          <a:solidFill>
            <a:srgbClr val="00B05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197200</xdr:colOff>
      <xdr:row>53</xdr:row>
      <xdr:rowOff>124484</xdr:rowOff>
    </xdr:from>
    <xdr:to>
      <xdr:col>13</xdr:col>
      <xdr:colOff>58986</xdr:colOff>
      <xdr:row>53</xdr:row>
      <xdr:rowOff>124484</xdr:rowOff>
    </xdr:to>
    <xdr:cxnSp macro="">
      <xdr:nvCxnSpPr>
        <xdr:cNvPr id="273" name="直線矢印コネクタ 272">
          <a:extLst>
            <a:ext uri="{FF2B5EF4-FFF2-40B4-BE49-F238E27FC236}">
              <a16:creationId xmlns:a16="http://schemas.microsoft.com/office/drawing/2014/main" id="{34742C9F-061B-4A95-9560-99876D1AC137}"/>
            </a:ext>
          </a:extLst>
        </xdr:cNvPr>
        <xdr:cNvCxnSpPr/>
      </xdr:nvCxnSpPr>
      <xdr:spPr>
        <a:xfrm flipH="1">
          <a:off x="3190771" y="13595555"/>
          <a:ext cx="406072" cy="0"/>
        </a:xfrm>
        <a:prstGeom prst="straightConnector1">
          <a:avLst/>
        </a:prstGeom>
        <a:ln>
          <a:solidFill>
            <a:srgbClr val="00B050"/>
          </a:solidFill>
          <a:headEnd type="non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195303</xdr:colOff>
      <xdr:row>57</xdr:row>
      <xdr:rowOff>37077</xdr:rowOff>
    </xdr:from>
    <xdr:to>
      <xdr:col>13</xdr:col>
      <xdr:colOff>43298</xdr:colOff>
      <xdr:row>57</xdr:row>
      <xdr:rowOff>37077</xdr:rowOff>
    </xdr:to>
    <xdr:cxnSp macro="">
      <xdr:nvCxnSpPr>
        <xdr:cNvPr id="274" name="直線矢印コネクタ 273">
          <a:extLst>
            <a:ext uri="{FF2B5EF4-FFF2-40B4-BE49-F238E27FC236}">
              <a16:creationId xmlns:a16="http://schemas.microsoft.com/office/drawing/2014/main" id="{3C640D3E-AC74-44AC-83E5-8FA65D8201EE}"/>
            </a:ext>
          </a:extLst>
        </xdr:cNvPr>
        <xdr:cNvCxnSpPr/>
      </xdr:nvCxnSpPr>
      <xdr:spPr>
        <a:xfrm flipH="1">
          <a:off x="3188874" y="14487863"/>
          <a:ext cx="392281" cy="0"/>
        </a:xfrm>
        <a:prstGeom prst="straightConnector1">
          <a:avLst/>
        </a:prstGeom>
        <a:ln>
          <a:solidFill>
            <a:srgbClr val="00B050"/>
          </a:solidFill>
          <a:headEnd type="non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55951</xdr:colOff>
      <xdr:row>59</xdr:row>
      <xdr:rowOff>98215</xdr:rowOff>
    </xdr:from>
    <xdr:to>
      <xdr:col>11</xdr:col>
      <xdr:colOff>216404</xdr:colOff>
      <xdr:row>60</xdr:row>
      <xdr:rowOff>158099</xdr:rowOff>
    </xdr:to>
    <xdr:cxnSp macro="">
      <xdr:nvCxnSpPr>
        <xdr:cNvPr id="275" name="コネクタ: カギ線 274">
          <a:extLst>
            <a:ext uri="{FF2B5EF4-FFF2-40B4-BE49-F238E27FC236}">
              <a16:creationId xmlns:a16="http://schemas.microsoft.com/office/drawing/2014/main" id="{1C2A33DA-6DD2-4397-A715-040902078988}"/>
            </a:ext>
          </a:extLst>
        </xdr:cNvPr>
        <xdr:cNvCxnSpPr>
          <a:endCxn id="268" idx="0"/>
        </xdr:cNvCxnSpPr>
      </xdr:nvCxnSpPr>
      <xdr:spPr>
        <a:xfrm rot="10800000" flipV="1">
          <a:off x="2233094" y="15038858"/>
          <a:ext cx="976881" cy="304812"/>
        </a:xfrm>
        <a:prstGeom prst="bentConnector2">
          <a:avLst/>
        </a:prstGeom>
        <a:ln>
          <a:solidFill>
            <a:srgbClr val="00B05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41400</xdr:colOff>
      <xdr:row>57</xdr:row>
      <xdr:rowOff>110836</xdr:rowOff>
    </xdr:from>
    <xdr:to>
      <xdr:col>11</xdr:col>
      <xdr:colOff>11148</xdr:colOff>
      <xdr:row>59</xdr:row>
      <xdr:rowOff>132886</xdr:rowOff>
    </xdr:to>
    <xdr:sp macro="" textlink="">
      <xdr:nvSpPr>
        <xdr:cNvPr id="276" name="正方形/長方形 275">
          <a:extLst>
            <a:ext uri="{FF2B5EF4-FFF2-40B4-BE49-F238E27FC236}">
              <a16:creationId xmlns:a16="http://schemas.microsoft.com/office/drawing/2014/main" id="{B87E0D0A-5E4B-4ECD-95F9-55B0E9B4FBC8}"/>
            </a:ext>
          </a:extLst>
        </xdr:cNvPr>
        <xdr:cNvSpPr/>
      </xdr:nvSpPr>
      <xdr:spPr>
        <a:xfrm>
          <a:off x="1946400" y="14561622"/>
          <a:ext cx="1058319" cy="51190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chemeClr val="tx1"/>
              </a:solidFill>
            </a:rPr>
            <a:t>ディジタル出力</a:t>
          </a:r>
          <a:endParaRPr kumimoji="1" lang="en-US" altLang="ja-JP" sz="900">
            <a:solidFill>
              <a:schemeClr val="tx1"/>
            </a:solidFill>
          </a:endParaRPr>
        </a:p>
        <a:p>
          <a:pPr algn="ctr"/>
          <a:r>
            <a:rPr kumimoji="1" lang="ja-JP" altLang="en-US" sz="900">
              <a:solidFill>
                <a:schemeClr val="tx1"/>
              </a:solidFill>
            </a:rPr>
            <a:t>制御信号</a:t>
          </a:r>
          <a:endParaRPr kumimoji="1" lang="en-US" altLang="ja-JP" sz="900">
            <a:solidFill>
              <a:schemeClr val="tx1"/>
            </a:solidFill>
          </a:endParaRPr>
        </a:p>
      </xdr:txBody>
    </xdr:sp>
    <xdr:clientData/>
  </xdr:twoCellAnchor>
  <xdr:twoCellAnchor>
    <xdr:from>
      <xdr:col>16</xdr:col>
      <xdr:colOff>36721</xdr:colOff>
      <xdr:row>61</xdr:row>
      <xdr:rowOff>58486</xdr:rowOff>
    </xdr:from>
    <xdr:to>
      <xdr:col>25</xdr:col>
      <xdr:colOff>209433</xdr:colOff>
      <xdr:row>61</xdr:row>
      <xdr:rowOff>58486</xdr:rowOff>
    </xdr:to>
    <xdr:cxnSp macro="">
      <xdr:nvCxnSpPr>
        <xdr:cNvPr id="277" name="直線矢印コネクタ 276">
          <a:extLst>
            <a:ext uri="{FF2B5EF4-FFF2-40B4-BE49-F238E27FC236}">
              <a16:creationId xmlns:a16="http://schemas.microsoft.com/office/drawing/2014/main" id="{CE77BF75-259A-46E9-AF0A-2391CB93CA49}"/>
            </a:ext>
          </a:extLst>
        </xdr:cNvPr>
        <xdr:cNvCxnSpPr/>
      </xdr:nvCxnSpPr>
      <xdr:spPr>
        <a:xfrm>
          <a:off x="4391007" y="15488986"/>
          <a:ext cx="2621997" cy="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28345</xdr:colOff>
      <xdr:row>64</xdr:row>
      <xdr:rowOff>144497</xdr:rowOff>
    </xdr:from>
    <xdr:to>
      <xdr:col>25</xdr:col>
      <xdr:colOff>209433</xdr:colOff>
      <xdr:row>64</xdr:row>
      <xdr:rowOff>144497</xdr:rowOff>
    </xdr:to>
    <xdr:cxnSp macro="">
      <xdr:nvCxnSpPr>
        <xdr:cNvPr id="278" name="直線矢印コネクタ 277">
          <a:extLst>
            <a:ext uri="{FF2B5EF4-FFF2-40B4-BE49-F238E27FC236}">
              <a16:creationId xmlns:a16="http://schemas.microsoft.com/office/drawing/2014/main" id="{193F4C0E-CB03-402E-AF4B-E09D3339CCC6}"/>
            </a:ext>
          </a:extLst>
        </xdr:cNvPr>
        <xdr:cNvCxnSpPr/>
      </xdr:nvCxnSpPr>
      <xdr:spPr>
        <a:xfrm>
          <a:off x="4382631" y="16309783"/>
          <a:ext cx="2630373" cy="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131990</xdr:colOff>
      <xdr:row>60</xdr:row>
      <xdr:rowOff>45468</xdr:rowOff>
    </xdr:from>
    <xdr:to>
      <xdr:col>25</xdr:col>
      <xdr:colOff>92461</xdr:colOff>
      <xdr:row>61</xdr:row>
      <xdr:rowOff>58525</xdr:rowOff>
    </xdr:to>
    <xdr:sp macro="" textlink="">
      <xdr:nvSpPr>
        <xdr:cNvPr id="279" name="正方形/長方形 278">
          <a:extLst>
            <a:ext uri="{FF2B5EF4-FFF2-40B4-BE49-F238E27FC236}">
              <a16:creationId xmlns:a16="http://schemas.microsoft.com/office/drawing/2014/main" id="{10FA8D54-3960-4B03-B3C0-BA67E71A193F}"/>
            </a:ext>
          </a:extLst>
        </xdr:cNvPr>
        <xdr:cNvSpPr/>
      </xdr:nvSpPr>
      <xdr:spPr>
        <a:xfrm>
          <a:off x="5574847" y="15231039"/>
          <a:ext cx="1321185" cy="25798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900">
              <a:solidFill>
                <a:schemeClr val="tx1"/>
              </a:solidFill>
            </a:rPr>
            <a:t>16-bit  </a:t>
          </a:r>
          <a:r>
            <a:rPr kumimoji="1" lang="ja-JP" altLang="en-US" sz="900">
              <a:solidFill>
                <a:schemeClr val="tx1"/>
              </a:solidFill>
            </a:rPr>
            <a:t>ディジタル値 </a:t>
          </a:r>
          <a:r>
            <a:rPr kumimoji="1" lang="en-US" altLang="ja-JP" sz="900">
              <a:solidFill>
                <a:schemeClr val="tx1"/>
              </a:solidFill>
            </a:rPr>
            <a:t>0</a:t>
          </a:r>
        </a:p>
      </xdr:txBody>
    </xdr:sp>
    <xdr:clientData/>
  </xdr:twoCellAnchor>
  <xdr:twoCellAnchor>
    <xdr:from>
      <xdr:col>20</xdr:col>
      <xdr:colOff>84365</xdr:colOff>
      <xdr:row>63</xdr:row>
      <xdr:rowOff>136347</xdr:rowOff>
    </xdr:from>
    <xdr:to>
      <xdr:col>25</xdr:col>
      <xdr:colOff>92224</xdr:colOff>
      <xdr:row>64</xdr:row>
      <xdr:rowOff>144611</xdr:rowOff>
    </xdr:to>
    <xdr:sp macro="" textlink="">
      <xdr:nvSpPr>
        <xdr:cNvPr id="280" name="正方形/長方形 279">
          <a:extLst>
            <a:ext uri="{FF2B5EF4-FFF2-40B4-BE49-F238E27FC236}">
              <a16:creationId xmlns:a16="http://schemas.microsoft.com/office/drawing/2014/main" id="{5F15C360-A861-4E4C-9A34-A06A7EA7C026}"/>
            </a:ext>
          </a:extLst>
        </xdr:cNvPr>
        <xdr:cNvSpPr/>
      </xdr:nvSpPr>
      <xdr:spPr>
        <a:xfrm>
          <a:off x="5527222" y="16056704"/>
          <a:ext cx="1368573" cy="25319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a:solidFill>
                <a:schemeClr val="tx1"/>
              </a:solidFill>
            </a:rPr>
            <a:t>16-bit  </a:t>
          </a:r>
          <a:r>
            <a:rPr kumimoji="1" lang="ja-JP" altLang="en-US" sz="900">
              <a:solidFill>
                <a:schemeClr val="tx1"/>
              </a:solidFill>
            </a:rPr>
            <a:t>ディジタル値 </a:t>
          </a:r>
          <a:r>
            <a:rPr kumimoji="1" lang="en-US" altLang="ja-JP" sz="900">
              <a:solidFill>
                <a:schemeClr val="tx1"/>
              </a:solidFill>
            </a:rPr>
            <a:t>33</a:t>
          </a:r>
        </a:p>
      </xdr:txBody>
    </xdr:sp>
    <xdr:clientData/>
  </xdr:twoCellAnchor>
  <xdr:twoCellAnchor>
    <xdr:from>
      <xdr:col>12</xdr:col>
      <xdr:colOff>174119</xdr:colOff>
      <xdr:row>60</xdr:row>
      <xdr:rowOff>78339</xdr:rowOff>
    </xdr:from>
    <xdr:to>
      <xdr:col>16</xdr:col>
      <xdr:colOff>36740</xdr:colOff>
      <xdr:row>62</xdr:row>
      <xdr:rowOff>40996</xdr:rowOff>
    </xdr:to>
    <xdr:sp macro="" textlink="">
      <xdr:nvSpPr>
        <xdr:cNvPr id="281" name="正方形/長方形 280">
          <a:extLst>
            <a:ext uri="{FF2B5EF4-FFF2-40B4-BE49-F238E27FC236}">
              <a16:creationId xmlns:a16="http://schemas.microsoft.com/office/drawing/2014/main" id="{050F1A98-CCDC-4A66-84B0-733D5E8B1F15}"/>
            </a:ext>
          </a:extLst>
        </xdr:cNvPr>
        <xdr:cNvSpPr/>
      </xdr:nvSpPr>
      <xdr:spPr>
        <a:xfrm>
          <a:off x="3439833" y="15263910"/>
          <a:ext cx="951193" cy="452515"/>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baseline="0">
              <a:solidFill>
                <a:schemeClr val="tx1"/>
              </a:solidFill>
            </a:rPr>
            <a:t>digital out 0</a:t>
          </a:r>
          <a:endParaRPr kumimoji="1" lang="en-US" altLang="ja-JP" sz="1100">
            <a:solidFill>
              <a:schemeClr val="tx1"/>
            </a:solidFill>
          </a:endParaRPr>
        </a:p>
      </xdr:txBody>
    </xdr:sp>
    <xdr:clientData/>
  </xdr:twoCellAnchor>
  <xdr:twoCellAnchor>
    <xdr:from>
      <xdr:col>12</xdr:col>
      <xdr:colOff>174118</xdr:colOff>
      <xdr:row>63</xdr:row>
      <xdr:rowOff>180852</xdr:rowOff>
    </xdr:from>
    <xdr:to>
      <xdr:col>16</xdr:col>
      <xdr:colOff>46265</xdr:colOff>
      <xdr:row>65</xdr:row>
      <xdr:rowOff>166732</xdr:rowOff>
    </xdr:to>
    <xdr:sp macro="" textlink="">
      <xdr:nvSpPr>
        <xdr:cNvPr id="282" name="正方形/長方形 281">
          <a:extLst>
            <a:ext uri="{FF2B5EF4-FFF2-40B4-BE49-F238E27FC236}">
              <a16:creationId xmlns:a16="http://schemas.microsoft.com/office/drawing/2014/main" id="{70EC3E41-E45B-4862-844D-E2C371B35126}"/>
            </a:ext>
          </a:extLst>
        </xdr:cNvPr>
        <xdr:cNvSpPr/>
      </xdr:nvSpPr>
      <xdr:spPr>
        <a:xfrm>
          <a:off x="3439832" y="16101209"/>
          <a:ext cx="960719" cy="475737"/>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baseline="0">
              <a:solidFill>
                <a:schemeClr val="tx1"/>
              </a:solidFill>
            </a:rPr>
            <a:t>digital out 33</a:t>
          </a:r>
          <a:endParaRPr kumimoji="1" lang="en-US" altLang="ja-JP" sz="1100">
            <a:solidFill>
              <a:schemeClr val="tx1"/>
            </a:solidFill>
          </a:endParaRPr>
        </a:p>
      </xdr:txBody>
    </xdr:sp>
    <xdr:clientData/>
  </xdr:twoCellAnchor>
  <xdr:twoCellAnchor>
    <xdr:from>
      <xdr:col>74</xdr:col>
      <xdr:colOff>89647</xdr:colOff>
      <xdr:row>76</xdr:row>
      <xdr:rowOff>232832</xdr:rowOff>
    </xdr:from>
    <xdr:to>
      <xdr:col>76</xdr:col>
      <xdr:colOff>50009</xdr:colOff>
      <xdr:row>76</xdr:row>
      <xdr:rowOff>232832</xdr:rowOff>
    </xdr:to>
    <xdr:cxnSp macro="">
      <xdr:nvCxnSpPr>
        <xdr:cNvPr id="335" name="直線コネクタ 334">
          <a:extLst>
            <a:ext uri="{FF2B5EF4-FFF2-40B4-BE49-F238E27FC236}">
              <a16:creationId xmlns:a16="http://schemas.microsoft.com/office/drawing/2014/main" id="{ED691284-4920-4C02-B2EB-4DE1C3F7E4E9}"/>
            </a:ext>
          </a:extLst>
        </xdr:cNvPr>
        <xdr:cNvCxnSpPr/>
      </xdr:nvCxnSpPr>
      <xdr:spPr>
        <a:xfrm>
          <a:off x="20820529" y="18117420"/>
          <a:ext cx="520656" cy="0"/>
        </a:xfrm>
        <a:prstGeom prst="line">
          <a:avLst/>
        </a:prstGeom>
        <a:ln>
          <a:solidFill>
            <a:schemeClr val="tx1"/>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78</xdr:col>
      <xdr:colOff>61072</xdr:colOff>
      <xdr:row>76</xdr:row>
      <xdr:rowOff>228350</xdr:rowOff>
    </xdr:from>
    <xdr:to>
      <xdr:col>80</xdr:col>
      <xdr:colOff>99172</xdr:colOff>
      <xdr:row>76</xdr:row>
      <xdr:rowOff>228350</xdr:rowOff>
    </xdr:to>
    <xdr:cxnSp macro="">
      <xdr:nvCxnSpPr>
        <xdr:cNvPr id="338" name="直線コネクタ 337">
          <a:extLst>
            <a:ext uri="{FF2B5EF4-FFF2-40B4-BE49-F238E27FC236}">
              <a16:creationId xmlns:a16="http://schemas.microsoft.com/office/drawing/2014/main" id="{864BBA62-A190-4B8C-9D00-D30C0CB7AB89}"/>
            </a:ext>
          </a:extLst>
        </xdr:cNvPr>
        <xdr:cNvCxnSpPr/>
      </xdr:nvCxnSpPr>
      <xdr:spPr>
        <a:xfrm>
          <a:off x="21912543" y="18112938"/>
          <a:ext cx="598394" cy="0"/>
        </a:xfrm>
        <a:prstGeom prst="line">
          <a:avLst/>
        </a:prstGeom>
        <a:ln>
          <a:solidFill>
            <a:schemeClr val="tx1"/>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83</xdr:col>
      <xdr:colOff>25042</xdr:colOff>
      <xdr:row>76</xdr:row>
      <xdr:rowOff>220866</xdr:rowOff>
    </xdr:from>
    <xdr:to>
      <xdr:col>85</xdr:col>
      <xdr:colOff>137272</xdr:colOff>
      <xdr:row>76</xdr:row>
      <xdr:rowOff>220866</xdr:rowOff>
    </xdr:to>
    <xdr:cxnSp macro="">
      <xdr:nvCxnSpPr>
        <xdr:cNvPr id="341" name="直線コネクタ 340">
          <a:extLst>
            <a:ext uri="{FF2B5EF4-FFF2-40B4-BE49-F238E27FC236}">
              <a16:creationId xmlns:a16="http://schemas.microsoft.com/office/drawing/2014/main" id="{CED571B4-4B0E-4BFA-8BA2-D5BC68411E46}"/>
            </a:ext>
          </a:extLst>
        </xdr:cNvPr>
        <xdr:cNvCxnSpPr/>
      </xdr:nvCxnSpPr>
      <xdr:spPr>
        <a:xfrm>
          <a:off x="23277248" y="18105454"/>
          <a:ext cx="672524" cy="0"/>
        </a:xfrm>
        <a:prstGeom prst="line">
          <a:avLst/>
        </a:prstGeom>
        <a:ln>
          <a:solidFill>
            <a:schemeClr val="tx1"/>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89</xdr:col>
      <xdr:colOff>74278</xdr:colOff>
      <xdr:row>76</xdr:row>
      <xdr:rowOff>220624</xdr:rowOff>
    </xdr:from>
    <xdr:to>
      <xdr:col>93</xdr:col>
      <xdr:colOff>262121</xdr:colOff>
      <xdr:row>76</xdr:row>
      <xdr:rowOff>220624</xdr:rowOff>
    </xdr:to>
    <xdr:cxnSp macro="">
      <xdr:nvCxnSpPr>
        <xdr:cNvPr id="344" name="直線コネクタ 343">
          <a:extLst>
            <a:ext uri="{FF2B5EF4-FFF2-40B4-BE49-F238E27FC236}">
              <a16:creationId xmlns:a16="http://schemas.microsoft.com/office/drawing/2014/main" id="{310255F3-EB82-456E-8CE4-3E377A8B8F35}"/>
            </a:ext>
          </a:extLst>
        </xdr:cNvPr>
        <xdr:cNvCxnSpPr/>
      </xdr:nvCxnSpPr>
      <xdr:spPr>
        <a:xfrm>
          <a:off x="25007366" y="18105212"/>
          <a:ext cx="1308431" cy="0"/>
        </a:xfrm>
        <a:prstGeom prst="line">
          <a:avLst/>
        </a:prstGeom>
        <a:ln>
          <a:solidFill>
            <a:schemeClr val="tx1"/>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80</xdr:col>
      <xdr:colOff>109530</xdr:colOff>
      <xdr:row>75</xdr:row>
      <xdr:rowOff>95811</xdr:rowOff>
    </xdr:from>
    <xdr:to>
      <xdr:col>83</xdr:col>
      <xdr:colOff>188819</xdr:colOff>
      <xdr:row>78</xdr:row>
      <xdr:rowOff>113423</xdr:rowOff>
    </xdr:to>
    <xdr:sp macro="" textlink="">
      <xdr:nvSpPr>
        <xdr:cNvPr id="332" name="正方形/長方形 331">
          <a:extLst>
            <a:ext uri="{FF2B5EF4-FFF2-40B4-BE49-F238E27FC236}">
              <a16:creationId xmlns:a16="http://schemas.microsoft.com/office/drawing/2014/main" id="{DA528558-69C8-4157-BCFF-AE4B69020FA8}"/>
            </a:ext>
          </a:extLst>
        </xdr:cNvPr>
        <xdr:cNvSpPr/>
      </xdr:nvSpPr>
      <xdr:spPr>
        <a:xfrm>
          <a:off x="22521295" y="17745076"/>
          <a:ext cx="919730" cy="723582"/>
        </a:xfrm>
        <a:prstGeom prst="rect">
          <a:avLst/>
        </a:prstGeom>
        <a:solidFill>
          <a:schemeClr val="accent5">
            <a:lumMod val="20000"/>
            <a:lumOff val="80000"/>
          </a:schemeClr>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Binarization</a:t>
          </a:r>
        </a:p>
        <a:p>
          <a:pPr algn="ctr"/>
          <a:r>
            <a:rPr kumimoji="1" lang="en-US" altLang="ja-JP" sz="1100">
              <a:solidFill>
                <a:schemeClr val="tx1"/>
              </a:solidFill>
            </a:rPr>
            <a:t>(</a:t>
          </a:r>
          <a:r>
            <a:rPr kumimoji="1" lang="ja-JP" altLang="en-US" sz="1100">
              <a:solidFill>
                <a:schemeClr val="tx1"/>
              </a:solidFill>
            </a:rPr>
            <a:t>二値化</a:t>
          </a:r>
          <a:r>
            <a:rPr kumimoji="1" lang="en-US" altLang="ja-JP" sz="1100">
              <a:solidFill>
                <a:schemeClr val="tx1"/>
              </a:solidFill>
            </a:rPr>
            <a:t>)</a:t>
          </a:r>
          <a:endParaRPr kumimoji="1" lang="ja-JP" altLang="en-US" sz="1100">
            <a:solidFill>
              <a:schemeClr val="tx1"/>
            </a:solidFill>
          </a:endParaRPr>
        </a:p>
      </xdr:txBody>
    </xdr:sp>
    <xdr:clientData/>
  </xdr:twoCellAnchor>
  <xdr:twoCellAnchor>
    <xdr:from>
      <xdr:col>85</xdr:col>
      <xdr:colOff>143146</xdr:colOff>
      <xdr:row>75</xdr:row>
      <xdr:rowOff>93009</xdr:rowOff>
    </xdr:from>
    <xdr:to>
      <xdr:col>89</xdr:col>
      <xdr:colOff>274543</xdr:colOff>
      <xdr:row>78</xdr:row>
      <xdr:rowOff>113422</xdr:rowOff>
    </xdr:to>
    <xdr:sp macro="" textlink="">
      <xdr:nvSpPr>
        <xdr:cNvPr id="334" name="正方形/長方形 333">
          <a:extLst>
            <a:ext uri="{FF2B5EF4-FFF2-40B4-BE49-F238E27FC236}">
              <a16:creationId xmlns:a16="http://schemas.microsoft.com/office/drawing/2014/main" id="{05923450-ADA1-4ABE-A608-025C569D2D30}"/>
            </a:ext>
          </a:extLst>
        </xdr:cNvPr>
        <xdr:cNvSpPr/>
      </xdr:nvSpPr>
      <xdr:spPr>
        <a:xfrm>
          <a:off x="23955646" y="17742274"/>
          <a:ext cx="1251985" cy="726383"/>
        </a:xfrm>
        <a:prstGeom prst="rect">
          <a:avLst/>
        </a:prstGeom>
        <a:solidFill>
          <a:schemeClr val="accent5">
            <a:lumMod val="20000"/>
            <a:lumOff val="80000"/>
          </a:schemeClr>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Reduction</a:t>
          </a:r>
        </a:p>
        <a:p>
          <a:pPr algn="ctr"/>
          <a:r>
            <a:rPr kumimoji="1" lang="en-US" altLang="ja-JP" sz="1100">
              <a:solidFill>
                <a:schemeClr val="tx1"/>
              </a:solidFill>
            </a:rPr>
            <a:t>(</a:t>
          </a:r>
          <a:r>
            <a:rPr kumimoji="1" lang="ja-JP" altLang="en-US" sz="1100">
              <a:solidFill>
                <a:schemeClr val="tx1"/>
              </a:solidFill>
            </a:rPr>
            <a:t>リダクション</a:t>
          </a:r>
          <a:r>
            <a:rPr kumimoji="1" lang="en-US" altLang="ja-JP" sz="1100">
              <a:solidFill>
                <a:schemeClr val="tx1"/>
              </a:solidFill>
            </a:rPr>
            <a:t>)</a:t>
          </a:r>
          <a:endParaRPr kumimoji="1" lang="ja-JP" altLang="en-US" sz="1100">
            <a:solidFill>
              <a:schemeClr val="tx1"/>
            </a:solidFill>
          </a:endParaRPr>
        </a:p>
      </xdr:txBody>
    </xdr:sp>
    <xdr:clientData/>
  </xdr:twoCellAnchor>
  <xdr:twoCellAnchor>
    <xdr:from>
      <xdr:col>76</xdr:col>
      <xdr:colOff>53241</xdr:colOff>
      <xdr:row>75</xdr:row>
      <xdr:rowOff>104215</xdr:rowOff>
    </xdr:from>
    <xdr:to>
      <xdr:col>78</xdr:col>
      <xdr:colOff>139143</xdr:colOff>
      <xdr:row>78</xdr:row>
      <xdr:rowOff>121827</xdr:rowOff>
    </xdr:to>
    <xdr:sp macro="" textlink="">
      <xdr:nvSpPr>
        <xdr:cNvPr id="333" name="正方形/長方形 332">
          <a:extLst>
            <a:ext uri="{FF2B5EF4-FFF2-40B4-BE49-F238E27FC236}">
              <a16:creationId xmlns:a16="http://schemas.microsoft.com/office/drawing/2014/main" id="{4A25C214-F1DB-436C-ABAB-8939E3E3DD0C}"/>
            </a:ext>
          </a:extLst>
        </xdr:cNvPr>
        <xdr:cNvSpPr/>
      </xdr:nvSpPr>
      <xdr:spPr>
        <a:xfrm>
          <a:off x="21344417" y="17753480"/>
          <a:ext cx="646197" cy="723582"/>
        </a:xfrm>
        <a:prstGeom prst="rect">
          <a:avLst/>
        </a:prstGeom>
        <a:solidFill>
          <a:schemeClr val="accent5">
            <a:lumMod val="20000"/>
            <a:lumOff val="80000"/>
          </a:schemeClr>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Sum</a:t>
          </a:r>
        </a:p>
        <a:p>
          <a:pPr algn="ctr"/>
          <a:r>
            <a:rPr kumimoji="1" lang="en-US" altLang="ja-JP" sz="1100">
              <a:solidFill>
                <a:schemeClr val="tx1"/>
              </a:solidFill>
            </a:rPr>
            <a:t>(</a:t>
          </a:r>
          <a:r>
            <a:rPr kumimoji="1" lang="ja-JP" altLang="en-US" sz="1100">
              <a:solidFill>
                <a:schemeClr val="tx1"/>
              </a:solidFill>
            </a:rPr>
            <a:t>総和</a:t>
          </a:r>
          <a:r>
            <a:rPr kumimoji="1" lang="en-US" altLang="ja-JP" sz="1100">
              <a:solidFill>
                <a:schemeClr val="tx1"/>
              </a:solidFill>
            </a:rPr>
            <a:t>)</a:t>
          </a:r>
          <a:endParaRPr kumimoji="1" lang="ja-JP" altLang="en-US" sz="1100">
            <a:solidFill>
              <a:schemeClr val="tx1"/>
            </a:solidFill>
          </a:endParaRPr>
        </a:p>
      </xdr:txBody>
    </xdr:sp>
    <xdr:clientData/>
  </xdr:twoCellAnchor>
  <xdr:twoCellAnchor>
    <xdr:from>
      <xdr:col>72</xdr:col>
      <xdr:colOff>201275</xdr:colOff>
      <xdr:row>73</xdr:row>
      <xdr:rowOff>177748</xdr:rowOff>
    </xdr:from>
    <xdr:to>
      <xdr:col>76</xdr:col>
      <xdr:colOff>42426</xdr:colOff>
      <xdr:row>77</xdr:row>
      <xdr:rowOff>10085</xdr:rowOff>
    </xdr:to>
    <xdr:sp macro="" textlink="">
      <xdr:nvSpPr>
        <xdr:cNvPr id="158" name="正方形/長方形 157">
          <a:extLst>
            <a:ext uri="{FF2B5EF4-FFF2-40B4-BE49-F238E27FC236}">
              <a16:creationId xmlns:a16="http://schemas.microsoft.com/office/drawing/2014/main" id="{B9A60B6A-2627-4D9C-994E-3308D2724E9E}"/>
            </a:ext>
          </a:extLst>
        </xdr:cNvPr>
        <xdr:cNvSpPr/>
      </xdr:nvSpPr>
      <xdr:spPr>
        <a:xfrm>
          <a:off x="20371863" y="17356366"/>
          <a:ext cx="961739" cy="773631"/>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00" baseline="0">
              <a:solidFill>
                <a:schemeClr val="tx1"/>
              </a:solidFill>
              <a:latin typeface="Meiryo UI" panose="020B0604030504040204" pitchFamily="50" charset="-128"/>
              <a:ea typeface="Meiryo UI" panose="020B0604030504040204" pitchFamily="50" charset="-128"/>
            </a:rPr>
            <a:t>I Data (</a:t>
          </a:r>
          <a:r>
            <a:rPr kumimoji="1" lang="en-US" altLang="ja-JP" sz="1050" baseline="0">
              <a:solidFill>
                <a:schemeClr val="tx1"/>
              </a:solidFill>
              <a:latin typeface="Meiryo UI" panose="020B0604030504040204" pitchFamily="50" charset="-128"/>
              <a:ea typeface="Meiryo UI" panose="020B0604030504040204" pitchFamily="50" charset="-128"/>
            </a:rPr>
            <a:t>I</a:t>
          </a:r>
          <a:r>
            <a:rPr kumimoji="1" lang="en-US" altLang="ja-JP" sz="1050" baseline="-25000">
              <a:solidFill>
                <a:schemeClr val="tx1"/>
              </a:solidFill>
              <a:latin typeface="Meiryo UI" panose="020B0604030504040204" pitchFamily="50" charset="-128"/>
              <a:ea typeface="Meiryo UI" panose="020B0604030504040204" pitchFamily="50" charset="-128"/>
            </a:rPr>
            <a:t>0</a:t>
          </a:r>
          <a:r>
            <a:rPr kumimoji="1" lang="en-US" altLang="ja-JP" sz="1000" baseline="0">
              <a:solidFill>
                <a:schemeClr val="tx1"/>
              </a:solidFill>
              <a:latin typeface="Meiryo UI" panose="020B0604030504040204" pitchFamily="50" charset="-128"/>
              <a:ea typeface="Meiryo UI" panose="020B0604030504040204" pitchFamily="50" charset="-128"/>
            </a:rPr>
            <a:t>)</a:t>
          </a:r>
        </a:p>
        <a:p>
          <a:pPr algn="ctr"/>
          <a:r>
            <a:rPr kumimoji="1" lang="en-US" altLang="ja-JP" sz="1000" baseline="0">
              <a:solidFill>
                <a:schemeClr val="tx1"/>
              </a:solidFill>
              <a:latin typeface="Meiryo UI" panose="020B0604030504040204" pitchFamily="50" charset="-128"/>
              <a:ea typeface="Meiryo UI" panose="020B0604030504040204" pitchFamily="50" charset="-128"/>
            </a:rPr>
            <a:t>or</a:t>
          </a:r>
        </a:p>
        <a:p>
          <a:pPr algn="ctr"/>
          <a:r>
            <a:rPr kumimoji="1" lang="en-US" altLang="ja-JP" sz="1000" baseline="0">
              <a:solidFill>
                <a:schemeClr val="tx1"/>
              </a:solidFill>
              <a:latin typeface="Meiryo UI" panose="020B0604030504040204" pitchFamily="50" charset="-128"/>
              <a:ea typeface="Meiryo UI" panose="020B0604030504040204" pitchFamily="50" charset="-128"/>
            </a:rPr>
            <a:t>Real Data</a:t>
          </a:r>
          <a:endParaRPr kumimoji="1" lang="en-US" altLang="ja-JP" sz="1050">
            <a:solidFill>
              <a:schemeClr val="tx1"/>
            </a:solidFill>
            <a:latin typeface="Meiryo UI" panose="020B0604030504040204" pitchFamily="50" charset="-128"/>
            <a:ea typeface="Meiryo UI" panose="020B0604030504040204" pitchFamily="50" charset="-128"/>
          </a:endParaRPr>
        </a:p>
      </xdr:txBody>
    </xdr:sp>
    <xdr:clientData/>
  </xdr:twoCellAnchor>
  <xdr:twoCellAnchor>
    <xdr:from>
      <xdr:col>78</xdr:col>
      <xdr:colOff>174963</xdr:colOff>
      <xdr:row>75</xdr:row>
      <xdr:rowOff>121584</xdr:rowOff>
    </xdr:from>
    <xdr:to>
      <xdr:col>80</xdr:col>
      <xdr:colOff>80122</xdr:colOff>
      <xdr:row>77</xdr:row>
      <xdr:rowOff>19611</xdr:rowOff>
    </xdr:to>
    <xdr:sp macro="" textlink="">
      <xdr:nvSpPr>
        <xdr:cNvPr id="160" name="正方形/長方形 159">
          <a:extLst>
            <a:ext uri="{FF2B5EF4-FFF2-40B4-BE49-F238E27FC236}">
              <a16:creationId xmlns:a16="http://schemas.microsoft.com/office/drawing/2014/main" id="{2BC7D580-F7A7-492B-AC53-0B6339AD0AD8}"/>
            </a:ext>
          </a:extLst>
        </xdr:cNvPr>
        <xdr:cNvSpPr/>
      </xdr:nvSpPr>
      <xdr:spPr>
        <a:xfrm>
          <a:off x="22026434" y="17770849"/>
          <a:ext cx="465453" cy="368674"/>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aseline="0">
              <a:solidFill>
                <a:schemeClr val="tx1"/>
              </a:solidFill>
              <a:latin typeface="Meiryo UI" panose="020B0604030504040204" pitchFamily="50" charset="-128"/>
              <a:ea typeface="Meiryo UI" panose="020B0604030504040204" pitchFamily="50" charset="-128"/>
            </a:rPr>
            <a:t>I</a:t>
          </a:r>
          <a:r>
            <a:rPr kumimoji="1" lang="en-US" altLang="ja-JP" sz="1050" baseline="-25000">
              <a:solidFill>
                <a:schemeClr val="tx1"/>
              </a:solidFill>
              <a:latin typeface="Meiryo UI" panose="020B0604030504040204" pitchFamily="50" charset="-128"/>
              <a:ea typeface="Meiryo UI" panose="020B0604030504040204" pitchFamily="50" charset="-128"/>
            </a:rPr>
            <a:t>1</a:t>
          </a:r>
          <a:endParaRPr kumimoji="1" lang="en-US" altLang="ja-JP" sz="1050" baseline="0">
            <a:solidFill>
              <a:schemeClr val="tx1"/>
            </a:solidFill>
            <a:latin typeface="Meiryo UI" panose="020B0604030504040204" pitchFamily="50" charset="-128"/>
            <a:ea typeface="Meiryo UI" panose="020B0604030504040204" pitchFamily="50" charset="-128"/>
          </a:endParaRPr>
        </a:p>
      </xdr:txBody>
    </xdr:sp>
    <xdr:clientData/>
  </xdr:twoCellAnchor>
  <xdr:twoCellAnchor>
    <xdr:from>
      <xdr:col>83</xdr:col>
      <xdr:colOff>205390</xdr:colOff>
      <xdr:row>75</xdr:row>
      <xdr:rowOff>117443</xdr:rowOff>
    </xdr:from>
    <xdr:to>
      <xdr:col>85</xdr:col>
      <xdr:colOff>103727</xdr:colOff>
      <xdr:row>77</xdr:row>
      <xdr:rowOff>15470</xdr:rowOff>
    </xdr:to>
    <xdr:sp macro="" textlink="">
      <xdr:nvSpPr>
        <xdr:cNvPr id="161" name="正方形/長方形 160">
          <a:extLst>
            <a:ext uri="{FF2B5EF4-FFF2-40B4-BE49-F238E27FC236}">
              <a16:creationId xmlns:a16="http://schemas.microsoft.com/office/drawing/2014/main" id="{C80DC531-66A2-4257-AC1B-B59D6AB2275A}"/>
            </a:ext>
          </a:extLst>
        </xdr:cNvPr>
        <xdr:cNvSpPr/>
      </xdr:nvSpPr>
      <xdr:spPr>
        <a:xfrm>
          <a:off x="23457596" y="17766708"/>
          <a:ext cx="458631" cy="368674"/>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aseline="0">
              <a:solidFill>
                <a:schemeClr val="tx1"/>
              </a:solidFill>
              <a:latin typeface="Meiryo UI" panose="020B0604030504040204" pitchFamily="50" charset="-128"/>
              <a:ea typeface="Meiryo UI" panose="020B0604030504040204" pitchFamily="50" charset="-128"/>
            </a:rPr>
            <a:t>I</a:t>
          </a:r>
          <a:r>
            <a:rPr kumimoji="1" lang="en-US" altLang="ja-JP" sz="1050" baseline="-25000">
              <a:solidFill>
                <a:schemeClr val="tx1"/>
              </a:solidFill>
              <a:latin typeface="Meiryo UI" panose="020B0604030504040204" pitchFamily="50" charset="-128"/>
              <a:ea typeface="Meiryo UI" panose="020B0604030504040204" pitchFamily="50" charset="-128"/>
            </a:rPr>
            <a:t>2</a:t>
          </a:r>
          <a:endParaRPr kumimoji="1" lang="en-US" altLang="ja-JP" sz="1050" baseline="0">
            <a:solidFill>
              <a:schemeClr val="tx1"/>
            </a:solidFill>
            <a:latin typeface="Meiryo UI" panose="020B0604030504040204" pitchFamily="50" charset="-128"/>
            <a:ea typeface="Meiryo UI" panose="020B0604030504040204" pitchFamily="50" charset="-128"/>
          </a:endParaRPr>
        </a:p>
      </xdr:txBody>
    </xdr:sp>
    <xdr:clientData/>
  </xdr:twoCellAnchor>
  <xdr:twoCellAnchor>
    <xdr:from>
      <xdr:col>89</xdr:col>
      <xdr:colOff>266681</xdr:colOff>
      <xdr:row>75</xdr:row>
      <xdr:rowOff>112473</xdr:rowOff>
    </xdr:from>
    <xdr:to>
      <xdr:col>91</xdr:col>
      <xdr:colOff>165019</xdr:colOff>
      <xdr:row>77</xdr:row>
      <xdr:rowOff>10500</xdr:rowOff>
    </xdr:to>
    <xdr:sp macro="" textlink="">
      <xdr:nvSpPr>
        <xdr:cNvPr id="162" name="正方形/長方形 161">
          <a:extLst>
            <a:ext uri="{FF2B5EF4-FFF2-40B4-BE49-F238E27FC236}">
              <a16:creationId xmlns:a16="http://schemas.microsoft.com/office/drawing/2014/main" id="{5E14E103-D38B-4594-BB47-0F35FE39B44B}"/>
            </a:ext>
          </a:extLst>
        </xdr:cNvPr>
        <xdr:cNvSpPr/>
      </xdr:nvSpPr>
      <xdr:spPr>
        <a:xfrm>
          <a:off x="25199769" y="17761738"/>
          <a:ext cx="458632" cy="368674"/>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aseline="0">
              <a:solidFill>
                <a:schemeClr val="tx1"/>
              </a:solidFill>
              <a:latin typeface="Meiryo UI" panose="020B0604030504040204" pitchFamily="50" charset="-128"/>
              <a:ea typeface="Meiryo UI" panose="020B0604030504040204" pitchFamily="50" charset="-128"/>
            </a:rPr>
            <a:t>I</a:t>
          </a:r>
          <a:r>
            <a:rPr kumimoji="1" lang="en-US" altLang="ja-JP" sz="1050" baseline="-25000">
              <a:solidFill>
                <a:schemeClr val="tx1"/>
              </a:solidFill>
              <a:latin typeface="Meiryo UI" panose="020B0604030504040204" pitchFamily="50" charset="-128"/>
              <a:ea typeface="Meiryo UI" panose="020B0604030504040204" pitchFamily="50" charset="-128"/>
            </a:rPr>
            <a:t>3</a:t>
          </a:r>
          <a:endParaRPr kumimoji="1" lang="en-US" altLang="ja-JP" sz="1050" baseline="0">
            <a:solidFill>
              <a:schemeClr val="tx1"/>
            </a:solidFill>
            <a:latin typeface="Meiryo UI" panose="020B0604030504040204" pitchFamily="50" charset="-128"/>
            <a:ea typeface="Meiryo UI" panose="020B0604030504040204" pitchFamily="50" charset="-128"/>
          </a:endParaRPr>
        </a:p>
      </xdr:txBody>
    </xdr:sp>
    <xdr:clientData/>
  </xdr:twoCellAnchor>
  <xdr:twoCellAnchor>
    <xdr:from>
      <xdr:col>74</xdr:col>
      <xdr:colOff>93373</xdr:colOff>
      <xdr:row>81</xdr:row>
      <xdr:rowOff>69980</xdr:rowOff>
    </xdr:from>
    <xdr:to>
      <xdr:col>76</xdr:col>
      <xdr:colOff>53735</xdr:colOff>
      <xdr:row>81</xdr:row>
      <xdr:rowOff>69980</xdr:rowOff>
    </xdr:to>
    <xdr:cxnSp macro="">
      <xdr:nvCxnSpPr>
        <xdr:cNvPr id="164" name="直線コネクタ 163">
          <a:extLst>
            <a:ext uri="{FF2B5EF4-FFF2-40B4-BE49-F238E27FC236}">
              <a16:creationId xmlns:a16="http://schemas.microsoft.com/office/drawing/2014/main" id="{CD53D3E7-22EA-4AF9-8204-BA764ADF0E2F}"/>
            </a:ext>
          </a:extLst>
        </xdr:cNvPr>
        <xdr:cNvCxnSpPr/>
      </xdr:nvCxnSpPr>
      <xdr:spPr>
        <a:xfrm>
          <a:off x="20824255" y="19131186"/>
          <a:ext cx="520656" cy="0"/>
        </a:xfrm>
        <a:prstGeom prst="line">
          <a:avLst/>
        </a:prstGeom>
        <a:ln>
          <a:solidFill>
            <a:schemeClr val="tx1"/>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78</xdr:col>
      <xdr:colOff>64798</xdr:colOff>
      <xdr:row>81</xdr:row>
      <xdr:rowOff>65498</xdr:rowOff>
    </xdr:from>
    <xdr:to>
      <xdr:col>80</xdr:col>
      <xdr:colOff>102898</xdr:colOff>
      <xdr:row>81</xdr:row>
      <xdr:rowOff>65498</xdr:rowOff>
    </xdr:to>
    <xdr:cxnSp macro="">
      <xdr:nvCxnSpPr>
        <xdr:cNvPr id="165" name="直線コネクタ 164">
          <a:extLst>
            <a:ext uri="{FF2B5EF4-FFF2-40B4-BE49-F238E27FC236}">
              <a16:creationId xmlns:a16="http://schemas.microsoft.com/office/drawing/2014/main" id="{7BB17936-F3A4-4E16-BDC9-618498D908B6}"/>
            </a:ext>
          </a:extLst>
        </xdr:cNvPr>
        <xdr:cNvCxnSpPr/>
      </xdr:nvCxnSpPr>
      <xdr:spPr>
        <a:xfrm>
          <a:off x="21916269" y="19126704"/>
          <a:ext cx="598394" cy="0"/>
        </a:xfrm>
        <a:prstGeom prst="line">
          <a:avLst/>
        </a:prstGeom>
        <a:ln>
          <a:solidFill>
            <a:schemeClr val="tx1"/>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83</xdr:col>
      <xdr:colOff>28768</xdr:colOff>
      <xdr:row>81</xdr:row>
      <xdr:rowOff>58014</xdr:rowOff>
    </xdr:from>
    <xdr:to>
      <xdr:col>85</xdr:col>
      <xdr:colOff>140998</xdr:colOff>
      <xdr:row>81</xdr:row>
      <xdr:rowOff>58014</xdr:rowOff>
    </xdr:to>
    <xdr:cxnSp macro="">
      <xdr:nvCxnSpPr>
        <xdr:cNvPr id="166" name="直線コネクタ 165">
          <a:extLst>
            <a:ext uri="{FF2B5EF4-FFF2-40B4-BE49-F238E27FC236}">
              <a16:creationId xmlns:a16="http://schemas.microsoft.com/office/drawing/2014/main" id="{57DCF1B3-3DD1-40B1-9072-B38F2178B473}"/>
            </a:ext>
          </a:extLst>
        </xdr:cNvPr>
        <xdr:cNvCxnSpPr/>
      </xdr:nvCxnSpPr>
      <xdr:spPr>
        <a:xfrm>
          <a:off x="23280974" y="19119220"/>
          <a:ext cx="672524" cy="0"/>
        </a:xfrm>
        <a:prstGeom prst="line">
          <a:avLst/>
        </a:prstGeom>
        <a:ln>
          <a:solidFill>
            <a:schemeClr val="tx1"/>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89</xdr:col>
      <xdr:colOff>78004</xdr:colOff>
      <xdr:row>81</xdr:row>
      <xdr:rowOff>57772</xdr:rowOff>
    </xdr:from>
    <xdr:to>
      <xdr:col>92</xdr:col>
      <xdr:colOff>15104</xdr:colOff>
      <xdr:row>81</xdr:row>
      <xdr:rowOff>57772</xdr:rowOff>
    </xdr:to>
    <xdr:cxnSp macro="">
      <xdr:nvCxnSpPr>
        <xdr:cNvPr id="167" name="直線コネクタ 166">
          <a:extLst>
            <a:ext uri="{FF2B5EF4-FFF2-40B4-BE49-F238E27FC236}">
              <a16:creationId xmlns:a16="http://schemas.microsoft.com/office/drawing/2014/main" id="{367359D1-EAB8-4FF9-9F20-BB864021D030}"/>
            </a:ext>
          </a:extLst>
        </xdr:cNvPr>
        <xdr:cNvCxnSpPr/>
      </xdr:nvCxnSpPr>
      <xdr:spPr>
        <a:xfrm>
          <a:off x="25011092" y="19118978"/>
          <a:ext cx="777541" cy="0"/>
        </a:xfrm>
        <a:prstGeom prst="line">
          <a:avLst/>
        </a:prstGeom>
        <a:ln>
          <a:solidFill>
            <a:schemeClr val="tx1"/>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80</xdr:col>
      <xdr:colOff>113256</xdr:colOff>
      <xdr:row>79</xdr:row>
      <xdr:rowOff>163411</xdr:rowOff>
    </xdr:from>
    <xdr:to>
      <xdr:col>83</xdr:col>
      <xdr:colOff>192545</xdr:colOff>
      <xdr:row>82</xdr:row>
      <xdr:rowOff>185895</xdr:rowOff>
    </xdr:to>
    <xdr:sp macro="" textlink="">
      <xdr:nvSpPr>
        <xdr:cNvPr id="173" name="正方形/長方形 172">
          <a:extLst>
            <a:ext uri="{FF2B5EF4-FFF2-40B4-BE49-F238E27FC236}">
              <a16:creationId xmlns:a16="http://schemas.microsoft.com/office/drawing/2014/main" id="{ADA075CE-B597-4D3E-8453-8EE93AA15AA9}"/>
            </a:ext>
          </a:extLst>
        </xdr:cNvPr>
        <xdr:cNvSpPr/>
      </xdr:nvSpPr>
      <xdr:spPr>
        <a:xfrm>
          <a:off x="22525021" y="18753970"/>
          <a:ext cx="919730" cy="728454"/>
        </a:xfrm>
        <a:prstGeom prst="rect">
          <a:avLst/>
        </a:prstGeom>
        <a:solidFill>
          <a:schemeClr val="accent5">
            <a:lumMod val="20000"/>
            <a:lumOff val="80000"/>
          </a:schemeClr>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Binarization</a:t>
          </a:r>
        </a:p>
        <a:p>
          <a:pPr algn="ctr"/>
          <a:r>
            <a:rPr kumimoji="1" lang="en-US" altLang="ja-JP" sz="1100">
              <a:solidFill>
                <a:schemeClr val="tx1"/>
              </a:solidFill>
            </a:rPr>
            <a:t>(</a:t>
          </a:r>
          <a:r>
            <a:rPr kumimoji="1" lang="ja-JP" altLang="en-US" sz="1100">
              <a:solidFill>
                <a:schemeClr val="tx1"/>
              </a:solidFill>
            </a:rPr>
            <a:t>二値化</a:t>
          </a:r>
          <a:r>
            <a:rPr kumimoji="1" lang="en-US" altLang="ja-JP" sz="1100">
              <a:solidFill>
                <a:schemeClr val="tx1"/>
              </a:solidFill>
            </a:rPr>
            <a:t>)</a:t>
          </a:r>
          <a:endParaRPr kumimoji="1" lang="ja-JP" altLang="en-US" sz="1100">
            <a:solidFill>
              <a:schemeClr val="tx1"/>
            </a:solidFill>
          </a:endParaRPr>
        </a:p>
      </xdr:txBody>
    </xdr:sp>
    <xdr:clientData/>
  </xdr:twoCellAnchor>
  <xdr:twoCellAnchor>
    <xdr:from>
      <xdr:col>85</xdr:col>
      <xdr:colOff>146872</xdr:colOff>
      <xdr:row>79</xdr:row>
      <xdr:rowOff>160609</xdr:rowOff>
    </xdr:from>
    <xdr:to>
      <xdr:col>89</xdr:col>
      <xdr:colOff>278269</xdr:colOff>
      <xdr:row>82</xdr:row>
      <xdr:rowOff>181023</xdr:rowOff>
    </xdr:to>
    <xdr:sp macro="" textlink="">
      <xdr:nvSpPr>
        <xdr:cNvPr id="174" name="正方形/長方形 173">
          <a:extLst>
            <a:ext uri="{FF2B5EF4-FFF2-40B4-BE49-F238E27FC236}">
              <a16:creationId xmlns:a16="http://schemas.microsoft.com/office/drawing/2014/main" id="{1ADE6B96-E716-4978-9737-D7D5A574BCEB}"/>
            </a:ext>
          </a:extLst>
        </xdr:cNvPr>
        <xdr:cNvSpPr/>
      </xdr:nvSpPr>
      <xdr:spPr>
        <a:xfrm>
          <a:off x="23959372" y="18751168"/>
          <a:ext cx="1251985" cy="726384"/>
        </a:xfrm>
        <a:prstGeom prst="rect">
          <a:avLst/>
        </a:prstGeom>
        <a:solidFill>
          <a:schemeClr val="accent5">
            <a:lumMod val="20000"/>
            <a:lumOff val="80000"/>
          </a:schemeClr>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Reduction</a:t>
          </a:r>
        </a:p>
        <a:p>
          <a:pPr algn="ctr"/>
          <a:r>
            <a:rPr kumimoji="1" lang="en-US" altLang="ja-JP" sz="1100">
              <a:solidFill>
                <a:schemeClr val="tx1"/>
              </a:solidFill>
            </a:rPr>
            <a:t>(</a:t>
          </a:r>
          <a:r>
            <a:rPr kumimoji="1" lang="ja-JP" altLang="en-US" sz="1100">
              <a:solidFill>
                <a:schemeClr val="tx1"/>
              </a:solidFill>
            </a:rPr>
            <a:t>リダクション</a:t>
          </a:r>
          <a:r>
            <a:rPr kumimoji="1" lang="en-US" altLang="ja-JP" sz="1100">
              <a:solidFill>
                <a:schemeClr val="tx1"/>
              </a:solidFill>
            </a:rPr>
            <a:t>)</a:t>
          </a:r>
          <a:endParaRPr kumimoji="1" lang="ja-JP" altLang="en-US" sz="1100">
            <a:solidFill>
              <a:schemeClr val="tx1"/>
            </a:solidFill>
          </a:endParaRPr>
        </a:p>
      </xdr:txBody>
    </xdr:sp>
    <xdr:clientData/>
  </xdr:twoCellAnchor>
  <xdr:twoCellAnchor>
    <xdr:from>
      <xdr:col>76</xdr:col>
      <xdr:colOff>56967</xdr:colOff>
      <xdr:row>79</xdr:row>
      <xdr:rowOff>171815</xdr:rowOff>
    </xdr:from>
    <xdr:to>
      <xdr:col>78</xdr:col>
      <xdr:colOff>142869</xdr:colOff>
      <xdr:row>82</xdr:row>
      <xdr:rowOff>194299</xdr:rowOff>
    </xdr:to>
    <xdr:sp macro="" textlink="">
      <xdr:nvSpPr>
        <xdr:cNvPr id="176" name="正方形/長方形 175">
          <a:extLst>
            <a:ext uri="{FF2B5EF4-FFF2-40B4-BE49-F238E27FC236}">
              <a16:creationId xmlns:a16="http://schemas.microsoft.com/office/drawing/2014/main" id="{948D07DD-EB52-4B8A-B2A0-4C22C95ACCE8}"/>
            </a:ext>
          </a:extLst>
        </xdr:cNvPr>
        <xdr:cNvSpPr/>
      </xdr:nvSpPr>
      <xdr:spPr>
        <a:xfrm>
          <a:off x="21348143" y="18762374"/>
          <a:ext cx="646197" cy="728454"/>
        </a:xfrm>
        <a:prstGeom prst="rect">
          <a:avLst/>
        </a:prstGeom>
        <a:solidFill>
          <a:schemeClr val="accent5">
            <a:lumMod val="20000"/>
            <a:lumOff val="80000"/>
          </a:schemeClr>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Sum</a:t>
          </a:r>
        </a:p>
        <a:p>
          <a:pPr algn="ctr"/>
          <a:r>
            <a:rPr kumimoji="1" lang="en-US" altLang="ja-JP" sz="1100">
              <a:solidFill>
                <a:schemeClr val="tx1"/>
              </a:solidFill>
            </a:rPr>
            <a:t>(</a:t>
          </a:r>
          <a:r>
            <a:rPr kumimoji="1" lang="ja-JP" altLang="en-US" sz="1100">
              <a:solidFill>
                <a:schemeClr val="tx1"/>
              </a:solidFill>
            </a:rPr>
            <a:t>総和</a:t>
          </a:r>
          <a:r>
            <a:rPr kumimoji="1" lang="en-US" altLang="ja-JP" sz="1100">
              <a:solidFill>
                <a:schemeClr val="tx1"/>
              </a:solidFill>
            </a:rPr>
            <a:t>)</a:t>
          </a:r>
          <a:endParaRPr kumimoji="1" lang="ja-JP" altLang="en-US" sz="1100">
            <a:solidFill>
              <a:schemeClr val="tx1"/>
            </a:solidFill>
          </a:endParaRPr>
        </a:p>
      </xdr:txBody>
    </xdr:sp>
    <xdr:clientData/>
  </xdr:twoCellAnchor>
  <xdr:twoCellAnchor>
    <xdr:from>
      <xdr:col>78</xdr:col>
      <xdr:colOff>185510</xdr:colOff>
      <xdr:row>79</xdr:row>
      <xdr:rowOff>194056</xdr:rowOff>
    </xdr:from>
    <xdr:to>
      <xdr:col>80</xdr:col>
      <xdr:colOff>83848</xdr:colOff>
      <xdr:row>81</xdr:row>
      <xdr:rowOff>92083</xdr:rowOff>
    </xdr:to>
    <xdr:sp macro="" textlink="">
      <xdr:nvSpPr>
        <xdr:cNvPr id="179" name="正方形/長方形 178">
          <a:extLst>
            <a:ext uri="{FF2B5EF4-FFF2-40B4-BE49-F238E27FC236}">
              <a16:creationId xmlns:a16="http://schemas.microsoft.com/office/drawing/2014/main" id="{B254FB90-1297-49CD-AFA7-867C45F04219}"/>
            </a:ext>
          </a:extLst>
        </xdr:cNvPr>
        <xdr:cNvSpPr/>
      </xdr:nvSpPr>
      <xdr:spPr>
        <a:xfrm>
          <a:off x="22036981" y="18784615"/>
          <a:ext cx="458632" cy="368674"/>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aseline="0">
              <a:solidFill>
                <a:schemeClr val="tx1"/>
              </a:solidFill>
              <a:latin typeface="Meiryo UI" panose="020B0604030504040204" pitchFamily="50" charset="-128"/>
              <a:ea typeface="Meiryo UI" panose="020B0604030504040204" pitchFamily="50" charset="-128"/>
            </a:rPr>
            <a:t>Q</a:t>
          </a:r>
          <a:r>
            <a:rPr kumimoji="1" lang="en-US" altLang="ja-JP" sz="1050" baseline="-25000">
              <a:solidFill>
                <a:schemeClr val="tx1"/>
              </a:solidFill>
              <a:latin typeface="Meiryo UI" panose="020B0604030504040204" pitchFamily="50" charset="-128"/>
              <a:ea typeface="Meiryo UI" panose="020B0604030504040204" pitchFamily="50" charset="-128"/>
            </a:rPr>
            <a:t>1</a:t>
          </a:r>
          <a:endParaRPr kumimoji="1" lang="en-US" altLang="ja-JP" sz="1050" baseline="0">
            <a:solidFill>
              <a:schemeClr val="tx1"/>
            </a:solidFill>
            <a:latin typeface="Meiryo UI" panose="020B0604030504040204" pitchFamily="50" charset="-128"/>
            <a:ea typeface="Meiryo UI" panose="020B0604030504040204" pitchFamily="50" charset="-128"/>
          </a:endParaRPr>
        </a:p>
      </xdr:txBody>
    </xdr:sp>
    <xdr:clientData/>
  </xdr:twoCellAnchor>
  <xdr:twoCellAnchor>
    <xdr:from>
      <xdr:col>83</xdr:col>
      <xdr:colOff>209116</xdr:colOff>
      <xdr:row>79</xdr:row>
      <xdr:rowOff>189915</xdr:rowOff>
    </xdr:from>
    <xdr:to>
      <xdr:col>85</xdr:col>
      <xdr:colOff>107453</xdr:colOff>
      <xdr:row>81</xdr:row>
      <xdr:rowOff>87942</xdr:rowOff>
    </xdr:to>
    <xdr:sp macro="" textlink="">
      <xdr:nvSpPr>
        <xdr:cNvPr id="180" name="正方形/長方形 179">
          <a:extLst>
            <a:ext uri="{FF2B5EF4-FFF2-40B4-BE49-F238E27FC236}">
              <a16:creationId xmlns:a16="http://schemas.microsoft.com/office/drawing/2014/main" id="{C077ECF3-FA20-47BE-AC5B-389386249993}"/>
            </a:ext>
          </a:extLst>
        </xdr:cNvPr>
        <xdr:cNvSpPr/>
      </xdr:nvSpPr>
      <xdr:spPr>
        <a:xfrm>
          <a:off x="23461322" y="18780474"/>
          <a:ext cx="458631" cy="368674"/>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aseline="0">
              <a:solidFill>
                <a:schemeClr val="tx1"/>
              </a:solidFill>
              <a:latin typeface="Meiryo UI" panose="020B0604030504040204" pitchFamily="50" charset="-128"/>
              <a:ea typeface="Meiryo UI" panose="020B0604030504040204" pitchFamily="50" charset="-128"/>
            </a:rPr>
            <a:t>Q</a:t>
          </a:r>
          <a:r>
            <a:rPr kumimoji="1" lang="en-US" altLang="ja-JP" sz="1050" baseline="-25000">
              <a:solidFill>
                <a:schemeClr val="tx1"/>
              </a:solidFill>
              <a:latin typeface="Meiryo UI" panose="020B0604030504040204" pitchFamily="50" charset="-128"/>
              <a:ea typeface="Meiryo UI" panose="020B0604030504040204" pitchFamily="50" charset="-128"/>
            </a:rPr>
            <a:t>2</a:t>
          </a:r>
          <a:endParaRPr kumimoji="1" lang="en-US" altLang="ja-JP" sz="1050" baseline="0">
            <a:solidFill>
              <a:schemeClr val="tx1"/>
            </a:solidFill>
            <a:latin typeface="Meiryo UI" panose="020B0604030504040204" pitchFamily="50" charset="-128"/>
            <a:ea typeface="Meiryo UI" panose="020B0604030504040204" pitchFamily="50" charset="-128"/>
          </a:endParaRPr>
        </a:p>
      </xdr:txBody>
    </xdr:sp>
    <xdr:clientData/>
  </xdr:twoCellAnchor>
  <xdr:twoCellAnchor>
    <xdr:from>
      <xdr:col>89</xdr:col>
      <xdr:colOff>270407</xdr:colOff>
      <xdr:row>79</xdr:row>
      <xdr:rowOff>184945</xdr:rowOff>
    </xdr:from>
    <xdr:to>
      <xdr:col>91</xdr:col>
      <xdr:colOff>168745</xdr:colOff>
      <xdr:row>81</xdr:row>
      <xdr:rowOff>82972</xdr:rowOff>
    </xdr:to>
    <xdr:sp macro="" textlink="">
      <xdr:nvSpPr>
        <xdr:cNvPr id="181" name="正方形/長方形 180">
          <a:extLst>
            <a:ext uri="{FF2B5EF4-FFF2-40B4-BE49-F238E27FC236}">
              <a16:creationId xmlns:a16="http://schemas.microsoft.com/office/drawing/2014/main" id="{4FD55F89-87D8-409F-9C3D-6801B59FB98A}"/>
            </a:ext>
          </a:extLst>
        </xdr:cNvPr>
        <xdr:cNvSpPr/>
      </xdr:nvSpPr>
      <xdr:spPr>
        <a:xfrm>
          <a:off x="25203495" y="18775504"/>
          <a:ext cx="458632" cy="368674"/>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aseline="0">
              <a:solidFill>
                <a:schemeClr val="tx1"/>
              </a:solidFill>
              <a:latin typeface="Meiryo UI" panose="020B0604030504040204" pitchFamily="50" charset="-128"/>
              <a:ea typeface="Meiryo UI" panose="020B0604030504040204" pitchFamily="50" charset="-128"/>
            </a:rPr>
            <a:t>Q</a:t>
          </a:r>
          <a:r>
            <a:rPr kumimoji="1" lang="en-US" altLang="ja-JP" sz="1050" baseline="-25000">
              <a:solidFill>
                <a:schemeClr val="tx1"/>
              </a:solidFill>
              <a:latin typeface="Meiryo UI" panose="020B0604030504040204" pitchFamily="50" charset="-128"/>
              <a:ea typeface="Meiryo UI" panose="020B0604030504040204" pitchFamily="50" charset="-128"/>
            </a:rPr>
            <a:t>3</a:t>
          </a:r>
          <a:endParaRPr kumimoji="1" lang="en-US" altLang="ja-JP" sz="1050" baseline="0">
            <a:solidFill>
              <a:schemeClr val="tx1"/>
            </a:solidFill>
            <a:latin typeface="Meiryo UI" panose="020B0604030504040204" pitchFamily="50" charset="-128"/>
            <a:ea typeface="Meiryo UI" panose="020B0604030504040204" pitchFamily="50" charset="-128"/>
          </a:endParaRPr>
        </a:p>
      </xdr:txBody>
    </xdr:sp>
    <xdr:clientData/>
  </xdr:twoCellAnchor>
  <xdr:twoCellAnchor>
    <xdr:from>
      <xdr:col>92</xdr:col>
      <xdr:colOff>8658</xdr:colOff>
      <xdr:row>78</xdr:row>
      <xdr:rowOff>131767</xdr:rowOff>
    </xdr:from>
    <xdr:to>
      <xdr:col>92</xdr:col>
      <xdr:colOff>8658</xdr:colOff>
      <xdr:row>81</xdr:row>
      <xdr:rowOff>106650</xdr:rowOff>
    </xdr:to>
    <xdr:cxnSp macro="">
      <xdr:nvCxnSpPr>
        <xdr:cNvPr id="211" name="直線コネクタ 210">
          <a:extLst>
            <a:ext uri="{FF2B5EF4-FFF2-40B4-BE49-F238E27FC236}">
              <a16:creationId xmlns:a16="http://schemas.microsoft.com/office/drawing/2014/main" id="{67DBC394-2A34-4461-9C60-B99F8AC25DDE}"/>
            </a:ext>
          </a:extLst>
        </xdr:cNvPr>
        <xdr:cNvCxnSpPr/>
      </xdr:nvCxnSpPr>
      <xdr:spPr>
        <a:xfrm>
          <a:off x="25782187" y="18487002"/>
          <a:ext cx="0" cy="680854"/>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91</xdr:col>
      <xdr:colOff>46213</xdr:colOff>
      <xdr:row>77</xdr:row>
      <xdr:rowOff>22388</xdr:rowOff>
    </xdr:from>
    <xdr:to>
      <xdr:col>91</xdr:col>
      <xdr:colOff>279825</xdr:colOff>
      <xdr:row>78</xdr:row>
      <xdr:rowOff>185746</xdr:rowOff>
    </xdr:to>
    <xdr:cxnSp macro="">
      <xdr:nvCxnSpPr>
        <xdr:cNvPr id="215" name="コネクタ: カギ線 214">
          <a:extLst>
            <a:ext uri="{FF2B5EF4-FFF2-40B4-BE49-F238E27FC236}">
              <a16:creationId xmlns:a16="http://schemas.microsoft.com/office/drawing/2014/main" id="{D8E7882B-72FE-1357-ACD9-8D0B52A94F6B}"/>
            </a:ext>
          </a:extLst>
        </xdr:cNvPr>
        <xdr:cNvCxnSpPr>
          <a:stCxn id="216" idx="4"/>
          <a:endCxn id="220" idx="1"/>
        </xdr:cNvCxnSpPr>
      </xdr:nvCxnSpPr>
      <xdr:spPr>
        <a:xfrm rot="16200000" flipH="1">
          <a:off x="25457060" y="18224835"/>
          <a:ext cx="398681" cy="233612"/>
        </a:xfrm>
        <a:prstGeom prst="bentConnector2">
          <a:avLst/>
        </a:prstGeom>
        <a:ln w="12700">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91</xdr:col>
      <xdr:colOff>12678</xdr:colOff>
      <xdr:row>76</xdr:row>
      <xdr:rowOff>194684</xdr:rowOff>
    </xdr:from>
    <xdr:to>
      <xdr:col>91</xdr:col>
      <xdr:colOff>79747</xdr:colOff>
      <xdr:row>77</xdr:row>
      <xdr:rowOff>22389</xdr:rowOff>
    </xdr:to>
    <xdr:sp macro="" textlink="">
      <xdr:nvSpPr>
        <xdr:cNvPr id="216" name="楕円 215">
          <a:extLst>
            <a:ext uri="{FF2B5EF4-FFF2-40B4-BE49-F238E27FC236}">
              <a16:creationId xmlns:a16="http://schemas.microsoft.com/office/drawing/2014/main" id="{75795FA6-7D28-5D46-82B4-E6F959275FF3}"/>
            </a:ext>
          </a:extLst>
        </xdr:cNvPr>
        <xdr:cNvSpPr/>
      </xdr:nvSpPr>
      <xdr:spPr>
        <a:xfrm>
          <a:off x="25506060" y="18079272"/>
          <a:ext cx="67069" cy="63029"/>
        </a:xfrm>
        <a:prstGeom prst="ellipse">
          <a:avLst/>
        </a:prstGeom>
        <a:solidFill>
          <a:schemeClr val="tx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91</xdr:col>
      <xdr:colOff>279825</xdr:colOff>
      <xdr:row>78</xdr:row>
      <xdr:rowOff>100080</xdr:rowOff>
    </xdr:from>
    <xdr:to>
      <xdr:col>92</xdr:col>
      <xdr:colOff>181293</xdr:colOff>
      <xdr:row>79</xdr:row>
      <xdr:rowOff>40961</xdr:rowOff>
    </xdr:to>
    <xdr:sp macro="" textlink="">
      <xdr:nvSpPr>
        <xdr:cNvPr id="220" name="正方形/長方形 219">
          <a:extLst>
            <a:ext uri="{FF2B5EF4-FFF2-40B4-BE49-F238E27FC236}">
              <a16:creationId xmlns:a16="http://schemas.microsoft.com/office/drawing/2014/main" id="{51796981-7727-C9E4-44AA-752FA3614B63}"/>
            </a:ext>
          </a:extLst>
        </xdr:cNvPr>
        <xdr:cNvSpPr/>
      </xdr:nvSpPr>
      <xdr:spPr>
        <a:xfrm>
          <a:off x="25773207" y="18455315"/>
          <a:ext cx="181615" cy="176205"/>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72</xdr:col>
      <xdr:colOff>192684</xdr:colOff>
      <xdr:row>79</xdr:row>
      <xdr:rowOff>214634</xdr:rowOff>
    </xdr:from>
    <xdr:to>
      <xdr:col>76</xdr:col>
      <xdr:colOff>34593</xdr:colOff>
      <xdr:row>81</xdr:row>
      <xdr:rowOff>82343</xdr:rowOff>
    </xdr:to>
    <xdr:sp macro="" textlink="">
      <xdr:nvSpPr>
        <xdr:cNvPr id="283" name="正方形/長方形 282">
          <a:extLst>
            <a:ext uri="{FF2B5EF4-FFF2-40B4-BE49-F238E27FC236}">
              <a16:creationId xmlns:a16="http://schemas.microsoft.com/office/drawing/2014/main" id="{11F0268F-3C4F-4C11-AF5A-801C9010162A}"/>
            </a:ext>
          </a:extLst>
        </xdr:cNvPr>
        <xdr:cNvSpPr/>
      </xdr:nvSpPr>
      <xdr:spPr>
        <a:xfrm>
          <a:off x="20363272" y="18805193"/>
          <a:ext cx="962497" cy="338356"/>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00" baseline="0">
              <a:solidFill>
                <a:schemeClr val="tx1"/>
              </a:solidFill>
              <a:latin typeface="Meiryo UI" panose="020B0604030504040204" pitchFamily="50" charset="-128"/>
              <a:ea typeface="Meiryo UI" panose="020B0604030504040204" pitchFamily="50" charset="-128"/>
            </a:rPr>
            <a:t>Q Data (Q</a:t>
          </a:r>
          <a:r>
            <a:rPr kumimoji="1" lang="en-US" altLang="ja-JP" sz="1050" baseline="-25000">
              <a:solidFill>
                <a:schemeClr val="tx1"/>
              </a:solidFill>
              <a:latin typeface="Meiryo UI" panose="020B0604030504040204" pitchFamily="50" charset="-128"/>
              <a:ea typeface="Meiryo UI" panose="020B0604030504040204" pitchFamily="50" charset="-128"/>
            </a:rPr>
            <a:t>0</a:t>
          </a:r>
          <a:r>
            <a:rPr kumimoji="1" lang="en-US" altLang="ja-JP" sz="1000" baseline="0">
              <a:solidFill>
                <a:schemeClr val="tx1"/>
              </a:solidFill>
              <a:latin typeface="Meiryo UI" panose="020B0604030504040204" pitchFamily="50" charset="-128"/>
              <a:ea typeface="Meiryo UI" panose="020B0604030504040204" pitchFamily="50" charset="-128"/>
            </a:rPr>
            <a:t>)</a:t>
          </a:r>
        </a:p>
      </xdr:txBody>
    </xdr:sp>
    <xdr:clientData/>
  </xdr:twoCellAnchor>
  <xdr:twoCellAnchor>
    <xdr:from>
      <xdr:col>92</xdr:col>
      <xdr:colOff>15104</xdr:colOff>
      <xdr:row>79</xdr:row>
      <xdr:rowOff>211831</xdr:rowOff>
    </xdr:from>
    <xdr:to>
      <xdr:col>93</xdr:col>
      <xdr:colOff>253839</xdr:colOff>
      <xdr:row>79</xdr:row>
      <xdr:rowOff>211831</xdr:rowOff>
    </xdr:to>
    <xdr:cxnSp macro="">
      <xdr:nvCxnSpPr>
        <xdr:cNvPr id="284" name="直線コネクタ 283">
          <a:extLst>
            <a:ext uri="{FF2B5EF4-FFF2-40B4-BE49-F238E27FC236}">
              <a16:creationId xmlns:a16="http://schemas.microsoft.com/office/drawing/2014/main" id="{D0AFBDEC-4C6B-47C7-8CB8-E41F4F2C48A9}"/>
            </a:ext>
          </a:extLst>
        </xdr:cNvPr>
        <xdr:cNvCxnSpPr/>
      </xdr:nvCxnSpPr>
      <xdr:spPr>
        <a:xfrm>
          <a:off x="25788633" y="18802390"/>
          <a:ext cx="518882" cy="0"/>
        </a:xfrm>
        <a:prstGeom prst="line">
          <a:avLst/>
        </a:prstGeom>
        <a:ln>
          <a:solidFill>
            <a:schemeClr val="tx1"/>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93</xdr:col>
      <xdr:colOff>278248</xdr:colOff>
      <xdr:row>76</xdr:row>
      <xdr:rowOff>29651</xdr:rowOff>
    </xdr:from>
    <xdr:to>
      <xdr:col>94</xdr:col>
      <xdr:colOff>106783</xdr:colOff>
      <xdr:row>80</xdr:row>
      <xdr:rowOff>184318</xdr:rowOff>
    </xdr:to>
    <xdr:sp macro="" textlink="">
      <xdr:nvSpPr>
        <xdr:cNvPr id="286" name="台形 285">
          <a:extLst>
            <a:ext uri="{FF2B5EF4-FFF2-40B4-BE49-F238E27FC236}">
              <a16:creationId xmlns:a16="http://schemas.microsoft.com/office/drawing/2014/main" id="{DCC45B49-6B4A-B63B-2E2B-7B313E1A800A}"/>
            </a:ext>
          </a:extLst>
        </xdr:cNvPr>
        <xdr:cNvSpPr/>
      </xdr:nvSpPr>
      <xdr:spPr>
        <a:xfrm rot="5400000">
          <a:off x="25838285" y="18407878"/>
          <a:ext cx="1095961" cy="108683"/>
        </a:xfrm>
        <a:prstGeom prst="trapezoid">
          <a:avLst>
            <a:gd name="adj" fmla="val 71607"/>
          </a:avLst>
        </a:prstGeom>
        <a:solidFill>
          <a:schemeClr val="bg1">
            <a:lumMod val="9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91</xdr:col>
      <xdr:colOff>220300</xdr:colOff>
      <xdr:row>78</xdr:row>
      <xdr:rowOff>115788</xdr:rowOff>
    </xdr:from>
    <xdr:to>
      <xdr:col>94</xdr:col>
      <xdr:colOff>23388</xdr:colOff>
      <xdr:row>80</xdr:row>
      <xdr:rowOff>13814</xdr:rowOff>
    </xdr:to>
    <xdr:sp macro="" textlink="">
      <xdr:nvSpPr>
        <xdr:cNvPr id="290" name="正方形/長方形 289">
          <a:extLst>
            <a:ext uri="{FF2B5EF4-FFF2-40B4-BE49-F238E27FC236}">
              <a16:creationId xmlns:a16="http://schemas.microsoft.com/office/drawing/2014/main" id="{235E0C14-5B70-464C-BFB3-4430C3460AA3}"/>
            </a:ext>
          </a:extLst>
        </xdr:cNvPr>
        <xdr:cNvSpPr/>
      </xdr:nvSpPr>
      <xdr:spPr>
        <a:xfrm>
          <a:off x="25713682" y="18471023"/>
          <a:ext cx="643530" cy="368673"/>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aseline="0">
              <a:solidFill>
                <a:schemeClr val="tx1"/>
              </a:solidFill>
              <a:latin typeface="Meiryo UI" panose="020B0604030504040204" pitchFamily="50" charset="-128"/>
              <a:ea typeface="Meiryo UI" panose="020B0604030504040204" pitchFamily="50" charset="-128"/>
            </a:rPr>
            <a:t>I</a:t>
          </a:r>
          <a:r>
            <a:rPr kumimoji="1" lang="en-US" altLang="ja-JP" sz="1050" baseline="-25000">
              <a:solidFill>
                <a:schemeClr val="tx1"/>
              </a:solidFill>
              <a:latin typeface="Meiryo UI" panose="020B0604030504040204" pitchFamily="50" charset="-128"/>
              <a:ea typeface="Meiryo UI" panose="020B0604030504040204" pitchFamily="50" charset="-128"/>
            </a:rPr>
            <a:t>3 </a:t>
          </a:r>
          <a:r>
            <a:rPr kumimoji="1" lang="en-US" altLang="ja-JP" sz="1050" baseline="0">
              <a:solidFill>
                <a:schemeClr val="tx1"/>
              </a:solidFill>
              <a:latin typeface="Meiryo UI" panose="020B0604030504040204" pitchFamily="50" charset="-128"/>
              <a:ea typeface="Meiryo UI" panose="020B0604030504040204" pitchFamily="50" charset="-128"/>
            </a:rPr>
            <a:t>/Q</a:t>
          </a:r>
          <a:r>
            <a:rPr kumimoji="1" lang="en-US" altLang="ja-JP" sz="1050" baseline="-25000">
              <a:solidFill>
                <a:schemeClr val="tx1"/>
              </a:solidFill>
              <a:latin typeface="Meiryo UI" panose="020B0604030504040204" pitchFamily="50" charset="-128"/>
              <a:ea typeface="Meiryo UI" panose="020B0604030504040204" pitchFamily="50" charset="-128"/>
            </a:rPr>
            <a:t>3</a:t>
          </a:r>
        </a:p>
      </xdr:txBody>
    </xdr:sp>
    <xdr:clientData/>
  </xdr:twoCellAnchor>
  <xdr:twoCellAnchor>
    <xdr:from>
      <xdr:col>94</xdr:col>
      <xdr:colOff>106210</xdr:colOff>
      <xdr:row>78</xdr:row>
      <xdr:rowOff>114020</xdr:rowOff>
    </xdr:from>
    <xdr:to>
      <xdr:col>95</xdr:col>
      <xdr:colOff>188819</xdr:colOff>
      <xdr:row>78</xdr:row>
      <xdr:rowOff>114020</xdr:rowOff>
    </xdr:to>
    <xdr:cxnSp macro="">
      <xdr:nvCxnSpPr>
        <xdr:cNvPr id="293" name="直線コネクタ 292">
          <a:extLst>
            <a:ext uri="{FF2B5EF4-FFF2-40B4-BE49-F238E27FC236}">
              <a16:creationId xmlns:a16="http://schemas.microsoft.com/office/drawing/2014/main" id="{8289666E-7ABD-4FB7-ACD3-674FDA6C833C}"/>
            </a:ext>
          </a:extLst>
        </xdr:cNvPr>
        <xdr:cNvCxnSpPr/>
      </xdr:nvCxnSpPr>
      <xdr:spPr>
        <a:xfrm>
          <a:off x="26440034" y="18469255"/>
          <a:ext cx="362756" cy="0"/>
        </a:xfrm>
        <a:prstGeom prst="line">
          <a:avLst/>
        </a:prstGeom>
        <a:ln>
          <a:solidFill>
            <a:schemeClr val="tx1"/>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41</xdr:col>
      <xdr:colOff>112754</xdr:colOff>
      <xdr:row>49</xdr:row>
      <xdr:rowOff>235322</xdr:rowOff>
    </xdr:from>
    <xdr:to>
      <xdr:col>65</xdr:col>
      <xdr:colOff>188332</xdr:colOff>
      <xdr:row>109</xdr:row>
      <xdr:rowOff>44824</xdr:rowOff>
    </xdr:to>
    <xdr:sp macro="" textlink="">
      <xdr:nvSpPr>
        <xdr:cNvPr id="108" name="正方形/長方形 107">
          <a:extLst>
            <a:ext uri="{FF2B5EF4-FFF2-40B4-BE49-F238E27FC236}">
              <a16:creationId xmlns:a16="http://schemas.microsoft.com/office/drawing/2014/main" id="{6D7C45E8-7500-465E-9ECA-75BEF18E25EB}"/>
            </a:ext>
          </a:extLst>
        </xdr:cNvPr>
        <xdr:cNvSpPr/>
      </xdr:nvSpPr>
      <xdr:spPr>
        <a:xfrm>
          <a:off x="11598783" y="12236822"/>
          <a:ext cx="6799108" cy="13928914"/>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400">
              <a:solidFill>
                <a:schemeClr val="tx1"/>
              </a:solidFill>
            </a:rPr>
            <a:t>ZCU111</a:t>
          </a:r>
          <a:endParaRPr kumimoji="1" lang="ja-JP" altLang="en-US" sz="1400">
            <a:solidFill>
              <a:schemeClr val="tx1"/>
            </a:solidFill>
          </a:endParaRPr>
        </a:p>
      </xdr:txBody>
    </xdr:sp>
    <xdr:clientData/>
  </xdr:twoCellAnchor>
  <xdr:twoCellAnchor>
    <xdr:from>
      <xdr:col>59</xdr:col>
      <xdr:colOff>206497</xdr:colOff>
      <xdr:row>51</xdr:row>
      <xdr:rowOff>213690</xdr:rowOff>
    </xdr:from>
    <xdr:to>
      <xdr:col>64</xdr:col>
      <xdr:colOff>252109</xdr:colOff>
      <xdr:row>102</xdr:row>
      <xdr:rowOff>65690</xdr:rowOff>
    </xdr:to>
    <xdr:sp macro="" textlink="">
      <xdr:nvSpPr>
        <xdr:cNvPr id="140" name="正方形/長方形 139">
          <a:extLst>
            <a:ext uri="{FF2B5EF4-FFF2-40B4-BE49-F238E27FC236}">
              <a16:creationId xmlns:a16="http://schemas.microsoft.com/office/drawing/2014/main" id="{761293D7-53D1-4F5D-881A-594B6F0D1280}"/>
            </a:ext>
          </a:extLst>
        </xdr:cNvPr>
        <xdr:cNvSpPr/>
      </xdr:nvSpPr>
      <xdr:spPr>
        <a:xfrm>
          <a:off x="16484394" y="12747276"/>
          <a:ext cx="1425094" cy="11912621"/>
        </a:xfrm>
        <a:prstGeom prst="rect">
          <a:avLst/>
        </a:prstGeom>
        <a:solidFill>
          <a:schemeClr val="accent6">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200">
              <a:solidFill>
                <a:schemeClr val="tx1"/>
              </a:solidFill>
            </a:rPr>
            <a:t>RF</a:t>
          </a:r>
          <a:r>
            <a:rPr kumimoji="1" lang="en-US" altLang="ja-JP" sz="1200" baseline="0">
              <a:solidFill>
                <a:schemeClr val="tx1"/>
              </a:solidFill>
            </a:rPr>
            <a:t> Data Converter</a:t>
          </a:r>
          <a:endParaRPr kumimoji="1" lang="ja-JP" altLang="en-US" sz="1400">
            <a:solidFill>
              <a:schemeClr val="tx1"/>
            </a:solidFill>
          </a:endParaRPr>
        </a:p>
      </xdr:txBody>
    </xdr:sp>
    <xdr:clientData/>
  </xdr:twoCellAnchor>
  <xdr:twoCellAnchor>
    <xdr:from>
      <xdr:col>60</xdr:col>
      <xdr:colOff>125836</xdr:colOff>
      <xdr:row>55</xdr:row>
      <xdr:rowOff>144830</xdr:rowOff>
    </xdr:from>
    <xdr:to>
      <xdr:col>64</xdr:col>
      <xdr:colOff>79136</xdr:colOff>
      <xdr:row>57</xdr:row>
      <xdr:rowOff>197009</xdr:rowOff>
    </xdr:to>
    <xdr:sp macro="" textlink="">
      <xdr:nvSpPr>
        <xdr:cNvPr id="141" name="正方形/長方形 140">
          <a:extLst>
            <a:ext uri="{FF2B5EF4-FFF2-40B4-BE49-F238E27FC236}">
              <a16:creationId xmlns:a16="http://schemas.microsoft.com/office/drawing/2014/main" id="{3CD3FD47-2FB1-490E-8484-647C62086992}"/>
            </a:ext>
          </a:extLst>
        </xdr:cNvPr>
        <xdr:cNvSpPr/>
      </xdr:nvSpPr>
      <xdr:spPr>
        <a:xfrm>
          <a:off x="16934660" y="13558271"/>
          <a:ext cx="1073888" cy="522826"/>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DAC</a:t>
          </a:r>
        </a:p>
        <a:p>
          <a:pPr algn="ctr"/>
          <a:r>
            <a:rPr kumimoji="1" lang="en-US" altLang="ja-JP" sz="1200">
              <a:solidFill>
                <a:schemeClr val="tx1"/>
              </a:solidFill>
            </a:rPr>
            <a:t>Tile</a:t>
          </a:r>
          <a:r>
            <a:rPr kumimoji="1" lang="en-US" altLang="ja-JP" sz="1200" baseline="0">
              <a:solidFill>
                <a:schemeClr val="tx1"/>
              </a:solidFill>
            </a:rPr>
            <a:t> 228   Ch 0</a:t>
          </a:r>
          <a:endParaRPr kumimoji="1" lang="ja-JP" altLang="en-US" sz="1400">
            <a:solidFill>
              <a:schemeClr val="tx1"/>
            </a:solidFill>
          </a:endParaRPr>
        </a:p>
      </xdr:txBody>
    </xdr:sp>
    <xdr:clientData/>
  </xdr:twoCellAnchor>
  <xdr:twoCellAnchor>
    <xdr:from>
      <xdr:col>57</xdr:col>
      <xdr:colOff>167252</xdr:colOff>
      <xdr:row>56</xdr:row>
      <xdr:rowOff>35829</xdr:rowOff>
    </xdr:from>
    <xdr:to>
      <xdr:col>60</xdr:col>
      <xdr:colOff>134495</xdr:colOff>
      <xdr:row>56</xdr:row>
      <xdr:rowOff>35829</xdr:rowOff>
    </xdr:to>
    <xdr:cxnSp macro="">
      <xdr:nvCxnSpPr>
        <xdr:cNvPr id="152" name="直線矢印コネクタ 151">
          <a:extLst>
            <a:ext uri="{FF2B5EF4-FFF2-40B4-BE49-F238E27FC236}">
              <a16:creationId xmlns:a16="http://schemas.microsoft.com/office/drawing/2014/main" id="{3364BC25-23DE-4ABB-8646-A4A5F1D57519}"/>
            </a:ext>
          </a:extLst>
        </xdr:cNvPr>
        <xdr:cNvCxnSpPr/>
      </xdr:nvCxnSpPr>
      <xdr:spPr>
        <a:xfrm>
          <a:off x="16135634" y="13684594"/>
          <a:ext cx="807685"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60</xdr:col>
      <xdr:colOff>120867</xdr:colOff>
      <xdr:row>58</xdr:row>
      <xdr:rowOff>4548</xdr:rowOff>
    </xdr:from>
    <xdr:to>
      <xdr:col>64</xdr:col>
      <xdr:colOff>74167</xdr:colOff>
      <xdr:row>60</xdr:row>
      <xdr:rowOff>52397</xdr:rowOff>
    </xdr:to>
    <xdr:sp macro="" textlink="">
      <xdr:nvSpPr>
        <xdr:cNvPr id="153" name="正方形/長方形 152">
          <a:extLst>
            <a:ext uri="{FF2B5EF4-FFF2-40B4-BE49-F238E27FC236}">
              <a16:creationId xmlns:a16="http://schemas.microsoft.com/office/drawing/2014/main" id="{33A5A987-5DF3-4C8F-A526-0F0197E088D8}"/>
            </a:ext>
          </a:extLst>
        </xdr:cNvPr>
        <xdr:cNvSpPr/>
      </xdr:nvSpPr>
      <xdr:spPr>
        <a:xfrm>
          <a:off x="16929691" y="14123960"/>
          <a:ext cx="1073888" cy="518496"/>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DAC</a:t>
          </a:r>
        </a:p>
        <a:p>
          <a:pPr algn="ctr"/>
          <a:r>
            <a:rPr kumimoji="1" lang="en-US" altLang="ja-JP" sz="1200">
              <a:solidFill>
                <a:schemeClr val="tx1"/>
              </a:solidFill>
            </a:rPr>
            <a:t>Tile</a:t>
          </a:r>
          <a:r>
            <a:rPr kumimoji="1" lang="en-US" altLang="ja-JP" sz="1200" baseline="0">
              <a:solidFill>
                <a:schemeClr val="tx1"/>
              </a:solidFill>
            </a:rPr>
            <a:t> 228   Ch 1</a:t>
          </a:r>
          <a:endParaRPr kumimoji="1" lang="ja-JP" altLang="en-US" sz="1400">
            <a:solidFill>
              <a:schemeClr val="tx1"/>
            </a:solidFill>
          </a:endParaRPr>
        </a:p>
      </xdr:txBody>
    </xdr:sp>
    <xdr:clientData/>
  </xdr:twoCellAnchor>
  <xdr:twoCellAnchor>
    <xdr:from>
      <xdr:col>57</xdr:col>
      <xdr:colOff>170566</xdr:colOff>
      <xdr:row>58</xdr:row>
      <xdr:rowOff>160148</xdr:rowOff>
    </xdr:from>
    <xdr:to>
      <xdr:col>60</xdr:col>
      <xdr:colOff>117930</xdr:colOff>
      <xdr:row>58</xdr:row>
      <xdr:rowOff>160148</xdr:rowOff>
    </xdr:to>
    <xdr:cxnSp macro="">
      <xdr:nvCxnSpPr>
        <xdr:cNvPr id="154" name="直線矢印コネクタ 153">
          <a:extLst>
            <a:ext uri="{FF2B5EF4-FFF2-40B4-BE49-F238E27FC236}">
              <a16:creationId xmlns:a16="http://schemas.microsoft.com/office/drawing/2014/main" id="{926860ED-DFBE-4761-B97F-8AA4EB178E35}"/>
            </a:ext>
          </a:extLst>
        </xdr:cNvPr>
        <xdr:cNvCxnSpPr/>
      </xdr:nvCxnSpPr>
      <xdr:spPr>
        <a:xfrm>
          <a:off x="16138948" y="14279560"/>
          <a:ext cx="787806"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60</xdr:col>
      <xdr:colOff>124179</xdr:colOff>
      <xdr:row>60</xdr:row>
      <xdr:rowOff>116250</xdr:rowOff>
    </xdr:from>
    <xdr:to>
      <xdr:col>64</xdr:col>
      <xdr:colOff>77479</xdr:colOff>
      <xdr:row>62</xdr:row>
      <xdr:rowOff>177953</xdr:rowOff>
    </xdr:to>
    <xdr:sp macro="" textlink="">
      <xdr:nvSpPr>
        <xdr:cNvPr id="182" name="正方形/長方形 181">
          <a:extLst>
            <a:ext uri="{FF2B5EF4-FFF2-40B4-BE49-F238E27FC236}">
              <a16:creationId xmlns:a16="http://schemas.microsoft.com/office/drawing/2014/main" id="{E2A3E888-17F5-4AE6-B6E3-9FD9C1A4E483}"/>
            </a:ext>
          </a:extLst>
        </xdr:cNvPr>
        <xdr:cNvSpPr/>
      </xdr:nvSpPr>
      <xdr:spPr>
        <a:xfrm>
          <a:off x="16933003" y="14706309"/>
          <a:ext cx="1073888" cy="532350"/>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DAC</a:t>
          </a:r>
        </a:p>
        <a:p>
          <a:pPr algn="ctr"/>
          <a:r>
            <a:rPr kumimoji="1" lang="en-US" altLang="ja-JP" sz="1200">
              <a:solidFill>
                <a:schemeClr val="tx1"/>
              </a:solidFill>
            </a:rPr>
            <a:t>Tile</a:t>
          </a:r>
          <a:r>
            <a:rPr kumimoji="1" lang="en-US" altLang="ja-JP" sz="1200" baseline="0">
              <a:solidFill>
                <a:schemeClr val="tx1"/>
              </a:solidFill>
            </a:rPr>
            <a:t> 228   Ch 2</a:t>
          </a:r>
          <a:endParaRPr kumimoji="1" lang="ja-JP" altLang="en-US" sz="1400">
            <a:solidFill>
              <a:schemeClr val="tx1"/>
            </a:solidFill>
          </a:endParaRPr>
        </a:p>
      </xdr:txBody>
    </xdr:sp>
    <xdr:clientData/>
  </xdr:twoCellAnchor>
  <xdr:twoCellAnchor>
    <xdr:from>
      <xdr:col>57</xdr:col>
      <xdr:colOff>173878</xdr:colOff>
      <xdr:row>61</xdr:row>
      <xdr:rowOff>16124</xdr:rowOff>
    </xdr:from>
    <xdr:to>
      <xdr:col>60</xdr:col>
      <xdr:colOff>126213</xdr:colOff>
      <xdr:row>61</xdr:row>
      <xdr:rowOff>16124</xdr:rowOff>
    </xdr:to>
    <xdr:cxnSp macro="">
      <xdr:nvCxnSpPr>
        <xdr:cNvPr id="212" name="直線矢印コネクタ 211">
          <a:extLst>
            <a:ext uri="{FF2B5EF4-FFF2-40B4-BE49-F238E27FC236}">
              <a16:creationId xmlns:a16="http://schemas.microsoft.com/office/drawing/2014/main" id="{FB86DD95-0645-4B98-9958-1707C4826555}"/>
            </a:ext>
          </a:extLst>
        </xdr:cNvPr>
        <xdr:cNvCxnSpPr/>
      </xdr:nvCxnSpPr>
      <xdr:spPr>
        <a:xfrm>
          <a:off x="16142260" y="14841506"/>
          <a:ext cx="792777"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60</xdr:col>
      <xdr:colOff>127492</xdr:colOff>
      <xdr:row>62</xdr:row>
      <xdr:rowOff>221436</xdr:rowOff>
    </xdr:from>
    <xdr:to>
      <xdr:col>64</xdr:col>
      <xdr:colOff>80792</xdr:colOff>
      <xdr:row>65</xdr:row>
      <xdr:rowOff>32689</xdr:rowOff>
    </xdr:to>
    <xdr:sp macro="" textlink="">
      <xdr:nvSpPr>
        <xdr:cNvPr id="213" name="正方形/長方形 212">
          <a:extLst>
            <a:ext uri="{FF2B5EF4-FFF2-40B4-BE49-F238E27FC236}">
              <a16:creationId xmlns:a16="http://schemas.microsoft.com/office/drawing/2014/main" id="{A8E5CA7F-F996-4517-A904-6767C114C932}"/>
            </a:ext>
          </a:extLst>
        </xdr:cNvPr>
        <xdr:cNvSpPr/>
      </xdr:nvSpPr>
      <xdr:spPr>
        <a:xfrm>
          <a:off x="16936316" y="15282142"/>
          <a:ext cx="1073888" cy="517223"/>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DAC</a:t>
          </a:r>
        </a:p>
        <a:p>
          <a:pPr algn="ctr"/>
          <a:r>
            <a:rPr kumimoji="1" lang="en-US" altLang="ja-JP" sz="1200">
              <a:solidFill>
                <a:schemeClr val="tx1"/>
              </a:solidFill>
            </a:rPr>
            <a:t>Tile</a:t>
          </a:r>
          <a:r>
            <a:rPr kumimoji="1" lang="en-US" altLang="ja-JP" sz="1200" baseline="0">
              <a:solidFill>
                <a:schemeClr val="tx1"/>
              </a:solidFill>
            </a:rPr>
            <a:t> 228   Ch 3</a:t>
          </a:r>
          <a:endParaRPr kumimoji="1" lang="ja-JP" altLang="en-US" sz="1400">
            <a:solidFill>
              <a:schemeClr val="tx1"/>
            </a:solidFill>
          </a:endParaRPr>
        </a:p>
      </xdr:txBody>
    </xdr:sp>
    <xdr:clientData/>
  </xdr:twoCellAnchor>
  <xdr:twoCellAnchor>
    <xdr:from>
      <xdr:col>57</xdr:col>
      <xdr:colOff>177191</xdr:colOff>
      <xdr:row>63</xdr:row>
      <xdr:rowOff>131568</xdr:rowOff>
    </xdr:from>
    <xdr:to>
      <xdr:col>60</xdr:col>
      <xdr:colOff>126213</xdr:colOff>
      <xdr:row>63</xdr:row>
      <xdr:rowOff>131568</xdr:rowOff>
    </xdr:to>
    <xdr:cxnSp macro="">
      <xdr:nvCxnSpPr>
        <xdr:cNvPr id="214" name="直線矢印コネクタ 213">
          <a:extLst>
            <a:ext uri="{FF2B5EF4-FFF2-40B4-BE49-F238E27FC236}">
              <a16:creationId xmlns:a16="http://schemas.microsoft.com/office/drawing/2014/main" id="{59C6597A-139C-4BDB-92D2-DB22B5415A45}"/>
            </a:ext>
          </a:extLst>
        </xdr:cNvPr>
        <xdr:cNvCxnSpPr/>
      </xdr:nvCxnSpPr>
      <xdr:spPr>
        <a:xfrm>
          <a:off x="16145573" y="15427597"/>
          <a:ext cx="789464"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60</xdr:col>
      <xdr:colOff>120866</xdr:colOff>
      <xdr:row>65</xdr:row>
      <xdr:rowOff>84695</xdr:rowOff>
    </xdr:from>
    <xdr:to>
      <xdr:col>64</xdr:col>
      <xdr:colOff>74166</xdr:colOff>
      <xdr:row>67</xdr:row>
      <xdr:rowOff>136872</xdr:rowOff>
    </xdr:to>
    <xdr:sp macro="" textlink="">
      <xdr:nvSpPr>
        <xdr:cNvPr id="217" name="正方形/長方形 216">
          <a:extLst>
            <a:ext uri="{FF2B5EF4-FFF2-40B4-BE49-F238E27FC236}">
              <a16:creationId xmlns:a16="http://schemas.microsoft.com/office/drawing/2014/main" id="{34285007-3693-4841-9B4E-354B42175C6A}"/>
            </a:ext>
          </a:extLst>
        </xdr:cNvPr>
        <xdr:cNvSpPr/>
      </xdr:nvSpPr>
      <xdr:spPr>
        <a:xfrm>
          <a:off x="16929690" y="15851371"/>
          <a:ext cx="1073888" cy="522825"/>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DAC</a:t>
          </a:r>
        </a:p>
        <a:p>
          <a:pPr algn="ctr"/>
          <a:r>
            <a:rPr kumimoji="1" lang="en-US" altLang="ja-JP" sz="1200">
              <a:solidFill>
                <a:schemeClr val="tx1"/>
              </a:solidFill>
            </a:rPr>
            <a:t>Tile</a:t>
          </a:r>
          <a:r>
            <a:rPr kumimoji="1" lang="en-US" altLang="ja-JP" sz="1200" baseline="0">
              <a:solidFill>
                <a:schemeClr val="tx1"/>
              </a:solidFill>
            </a:rPr>
            <a:t> 229   Ch 0</a:t>
          </a:r>
          <a:endParaRPr kumimoji="1" lang="ja-JP" altLang="en-US" sz="1400">
            <a:solidFill>
              <a:schemeClr val="tx1"/>
            </a:solidFill>
          </a:endParaRPr>
        </a:p>
      </xdr:txBody>
    </xdr:sp>
    <xdr:clientData/>
  </xdr:twoCellAnchor>
  <xdr:twoCellAnchor>
    <xdr:from>
      <xdr:col>57</xdr:col>
      <xdr:colOff>168851</xdr:colOff>
      <xdr:row>65</xdr:row>
      <xdr:rowOff>235101</xdr:rowOff>
    </xdr:from>
    <xdr:to>
      <xdr:col>60</xdr:col>
      <xdr:colOff>117930</xdr:colOff>
      <xdr:row>65</xdr:row>
      <xdr:rowOff>235101</xdr:rowOff>
    </xdr:to>
    <xdr:cxnSp macro="">
      <xdr:nvCxnSpPr>
        <xdr:cNvPr id="218" name="直線矢印コネクタ 217">
          <a:extLst>
            <a:ext uri="{FF2B5EF4-FFF2-40B4-BE49-F238E27FC236}">
              <a16:creationId xmlns:a16="http://schemas.microsoft.com/office/drawing/2014/main" id="{45CF879C-00F0-4805-A654-0EC5A90F5C18}"/>
            </a:ext>
          </a:extLst>
        </xdr:cNvPr>
        <xdr:cNvCxnSpPr/>
      </xdr:nvCxnSpPr>
      <xdr:spPr>
        <a:xfrm>
          <a:off x="16137233" y="16001777"/>
          <a:ext cx="789521"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60</xdr:col>
      <xdr:colOff>103971</xdr:colOff>
      <xdr:row>67</xdr:row>
      <xdr:rowOff>191202</xdr:rowOff>
    </xdr:from>
    <xdr:to>
      <xdr:col>64</xdr:col>
      <xdr:colOff>69197</xdr:colOff>
      <xdr:row>70</xdr:row>
      <xdr:rowOff>5256</xdr:rowOff>
    </xdr:to>
    <xdr:sp macro="" textlink="">
      <xdr:nvSpPr>
        <xdr:cNvPr id="219" name="正方形/長方形 218">
          <a:extLst>
            <a:ext uri="{FF2B5EF4-FFF2-40B4-BE49-F238E27FC236}">
              <a16:creationId xmlns:a16="http://schemas.microsoft.com/office/drawing/2014/main" id="{03D885BD-A3AE-4C81-B58A-9FBE7467316E}"/>
            </a:ext>
          </a:extLst>
        </xdr:cNvPr>
        <xdr:cNvSpPr/>
      </xdr:nvSpPr>
      <xdr:spPr>
        <a:xfrm>
          <a:off x="16912795" y="16428526"/>
          <a:ext cx="1085814" cy="520024"/>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DAC</a:t>
          </a:r>
        </a:p>
        <a:p>
          <a:pPr algn="ctr"/>
          <a:r>
            <a:rPr kumimoji="1" lang="en-US" altLang="ja-JP" sz="1200">
              <a:solidFill>
                <a:schemeClr val="tx1"/>
              </a:solidFill>
            </a:rPr>
            <a:t>Tile</a:t>
          </a:r>
          <a:r>
            <a:rPr kumimoji="1" lang="en-US" altLang="ja-JP" sz="1200" baseline="0">
              <a:solidFill>
                <a:schemeClr val="tx1"/>
              </a:solidFill>
            </a:rPr>
            <a:t> 229   Ch 1</a:t>
          </a:r>
          <a:endParaRPr kumimoji="1" lang="ja-JP" altLang="en-US" sz="1400">
            <a:solidFill>
              <a:schemeClr val="tx1"/>
            </a:solidFill>
          </a:endParaRPr>
        </a:p>
      </xdr:txBody>
    </xdr:sp>
    <xdr:clientData/>
  </xdr:twoCellAnchor>
  <xdr:twoCellAnchor>
    <xdr:from>
      <xdr:col>57</xdr:col>
      <xdr:colOff>165596</xdr:colOff>
      <xdr:row>68</xdr:row>
      <xdr:rowOff>91077</xdr:rowOff>
    </xdr:from>
    <xdr:to>
      <xdr:col>60</xdr:col>
      <xdr:colOff>109648</xdr:colOff>
      <xdr:row>68</xdr:row>
      <xdr:rowOff>91077</xdr:rowOff>
    </xdr:to>
    <xdr:cxnSp macro="">
      <xdr:nvCxnSpPr>
        <xdr:cNvPr id="221" name="直線矢印コネクタ 220">
          <a:extLst>
            <a:ext uri="{FF2B5EF4-FFF2-40B4-BE49-F238E27FC236}">
              <a16:creationId xmlns:a16="http://schemas.microsoft.com/office/drawing/2014/main" id="{36A07C99-3BC8-4FD7-9808-373E24F8D961}"/>
            </a:ext>
          </a:extLst>
        </xdr:cNvPr>
        <xdr:cNvCxnSpPr/>
      </xdr:nvCxnSpPr>
      <xdr:spPr>
        <a:xfrm>
          <a:off x="16133978" y="16563724"/>
          <a:ext cx="784494"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60</xdr:col>
      <xdr:colOff>111205</xdr:colOff>
      <xdr:row>70</xdr:row>
      <xdr:rowOff>58265</xdr:rowOff>
    </xdr:from>
    <xdr:to>
      <xdr:col>64</xdr:col>
      <xdr:colOff>72509</xdr:colOff>
      <xdr:row>72</xdr:row>
      <xdr:rowOff>117168</xdr:rowOff>
    </xdr:to>
    <xdr:sp macro="" textlink="">
      <xdr:nvSpPr>
        <xdr:cNvPr id="234" name="正方形/長方形 233">
          <a:extLst>
            <a:ext uri="{FF2B5EF4-FFF2-40B4-BE49-F238E27FC236}">
              <a16:creationId xmlns:a16="http://schemas.microsoft.com/office/drawing/2014/main" id="{0E225C99-D4CE-4E8C-B805-126805D8B6C1}"/>
            </a:ext>
          </a:extLst>
        </xdr:cNvPr>
        <xdr:cNvSpPr/>
      </xdr:nvSpPr>
      <xdr:spPr>
        <a:xfrm>
          <a:off x="16920029" y="17001559"/>
          <a:ext cx="1081892" cy="529550"/>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DAC</a:t>
          </a:r>
        </a:p>
        <a:p>
          <a:pPr algn="ctr"/>
          <a:r>
            <a:rPr kumimoji="1" lang="en-US" altLang="ja-JP" sz="1200">
              <a:solidFill>
                <a:schemeClr val="tx1"/>
              </a:solidFill>
            </a:rPr>
            <a:t>Tile</a:t>
          </a:r>
          <a:r>
            <a:rPr kumimoji="1" lang="en-US" altLang="ja-JP" sz="1200" baseline="0">
              <a:solidFill>
                <a:schemeClr val="tx1"/>
              </a:solidFill>
            </a:rPr>
            <a:t> 229   Ch 2</a:t>
          </a:r>
          <a:endParaRPr kumimoji="1" lang="ja-JP" altLang="en-US" sz="1400">
            <a:solidFill>
              <a:schemeClr val="tx1"/>
            </a:solidFill>
          </a:endParaRPr>
        </a:p>
      </xdr:txBody>
    </xdr:sp>
    <xdr:clientData/>
  </xdr:twoCellAnchor>
  <xdr:twoCellAnchor>
    <xdr:from>
      <xdr:col>57</xdr:col>
      <xdr:colOff>168908</xdr:colOff>
      <xdr:row>70</xdr:row>
      <xdr:rowOff>206520</xdr:rowOff>
    </xdr:from>
    <xdr:to>
      <xdr:col>60</xdr:col>
      <xdr:colOff>117930</xdr:colOff>
      <xdr:row>70</xdr:row>
      <xdr:rowOff>206520</xdr:rowOff>
    </xdr:to>
    <xdr:cxnSp macro="">
      <xdr:nvCxnSpPr>
        <xdr:cNvPr id="235" name="直線矢印コネクタ 234">
          <a:extLst>
            <a:ext uri="{FF2B5EF4-FFF2-40B4-BE49-F238E27FC236}">
              <a16:creationId xmlns:a16="http://schemas.microsoft.com/office/drawing/2014/main" id="{3921C059-14B7-4728-9CD8-ED131EDD43A3}"/>
            </a:ext>
          </a:extLst>
        </xdr:cNvPr>
        <xdr:cNvCxnSpPr/>
      </xdr:nvCxnSpPr>
      <xdr:spPr>
        <a:xfrm>
          <a:off x="16137290" y="17149814"/>
          <a:ext cx="789464"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60</xdr:col>
      <xdr:colOff>122522</xdr:colOff>
      <xdr:row>72</xdr:row>
      <xdr:rowOff>153019</xdr:rowOff>
    </xdr:from>
    <xdr:to>
      <xdr:col>64</xdr:col>
      <xdr:colOff>75822</xdr:colOff>
      <xdr:row>74</xdr:row>
      <xdr:rowOff>205198</xdr:rowOff>
    </xdr:to>
    <xdr:sp macro="" textlink="">
      <xdr:nvSpPr>
        <xdr:cNvPr id="237" name="正方形/長方形 236">
          <a:extLst>
            <a:ext uri="{FF2B5EF4-FFF2-40B4-BE49-F238E27FC236}">
              <a16:creationId xmlns:a16="http://schemas.microsoft.com/office/drawing/2014/main" id="{6D22659F-46F2-47EA-9163-8A40EEAE6B6A}"/>
            </a:ext>
          </a:extLst>
        </xdr:cNvPr>
        <xdr:cNvSpPr/>
      </xdr:nvSpPr>
      <xdr:spPr>
        <a:xfrm>
          <a:off x="16931346" y="17566960"/>
          <a:ext cx="1073888" cy="522826"/>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DAC</a:t>
          </a:r>
        </a:p>
        <a:p>
          <a:pPr algn="ctr"/>
          <a:r>
            <a:rPr kumimoji="1" lang="en-US" altLang="ja-JP" sz="1200">
              <a:solidFill>
                <a:schemeClr val="tx1"/>
              </a:solidFill>
            </a:rPr>
            <a:t>Tile</a:t>
          </a:r>
          <a:r>
            <a:rPr kumimoji="1" lang="en-US" altLang="ja-JP" sz="1200" baseline="0">
              <a:solidFill>
                <a:schemeClr val="tx1"/>
              </a:solidFill>
            </a:rPr>
            <a:t> 229   Ch 3</a:t>
          </a:r>
          <a:endParaRPr kumimoji="1" lang="ja-JP" altLang="en-US" sz="1400">
            <a:solidFill>
              <a:schemeClr val="tx1"/>
            </a:solidFill>
          </a:endParaRPr>
        </a:p>
      </xdr:txBody>
    </xdr:sp>
    <xdr:clientData/>
  </xdr:twoCellAnchor>
  <xdr:twoCellAnchor>
    <xdr:from>
      <xdr:col>57</xdr:col>
      <xdr:colOff>172221</xdr:colOff>
      <xdr:row>73</xdr:row>
      <xdr:rowOff>83112</xdr:rowOff>
    </xdr:from>
    <xdr:to>
      <xdr:col>60</xdr:col>
      <xdr:colOff>134495</xdr:colOff>
      <xdr:row>73</xdr:row>
      <xdr:rowOff>83112</xdr:rowOff>
    </xdr:to>
    <xdr:cxnSp macro="">
      <xdr:nvCxnSpPr>
        <xdr:cNvPr id="285" name="直線矢印コネクタ 284">
          <a:extLst>
            <a:ext uri="{FF2B5EF4-FFF2-40B4-BE49-F238E27FC236}">
              <a16:creationId xmlns:a16="http://schemas.microsoft.com/office/drawing/2014/main" id="{92F1DE16-824D-4E2E-9543-AFBC7A7A6727}"/>
            </a:ext>
          </a:extLst>
        </xdr:cNvPr>
        <xdr:cNvCxnSpPr/>
      </xdr:nvCxnSpPr>
      <xdr:spPr>
        <a:xfrm>
          <a:off x="16140603" y="17732377"/>
          <a:ext cx="802716"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46</xdr:col>
      <xdr:colOff>180951</xdr:colOff>
      <xdr:row>56</xdr:row>
      <xdr:rowOff>160157</xdr:rowOff>
    </xdr:from>
    <xdr:to>
      <xdr:col>51</xdr:col>
      <xdr:colOff>156969</xdr:colOff>
      <xdr:row>60</xdr:row>
      <xdr:rowOff>200741</xdr:rowOff>
    </xdr:to>
    <xdr:sp macro="" textlink="">
      <xdr:nvSpPr>
        <xdr:cNvPr id="287" name="正方形/長方形 286">
          <a:extLst>
            <a:ext uri="{FF2B5EF4-FFF2-40B4-BE49-F238E27FC236}">
              <a16:creationId xmlns:a16="http://schemas.microsoft.com/office/drawing/2014/main" id="{304BCE1C-7135-4F59-A02D-37D14561871C}"/>
            </a:ext>
          </a:extLst>
        </xdr:cNvPr>
        <xdr:cNvSpPr/>
      </xdr:nvSpPr>
      <xdr:spPr>
        <a:xfrm>
          <a:off x="13067716" y="13808922"/>
          <a:ext cx="1376753" cy="981878"/>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AWG </a:t>
          </a:r>
        </a:p>
        <a:p>
          <a:pPr algn="ctr"/>
          <a:r>
            <a:rPr kumimoji="1" lang="ja-JP" altLang="en-US" sz="1100">
              <a:solidFill>
                <a:schemeClr val="tx1"/>
              </a:solidFill>
            </a:rPr>
            <a:t>コントローラ</a:t>
          </a:r>
          <a:endParaRPr kumimoji="1" lang="en-US" altLang="ja-JP" sz="1100">
            <a:solidFill>
              <a:schemeClr val="tx1"/>
            </a:solidFill>
          </a:endParaRPr>
        </a:p>
        <a:p>
          <a:pPr algn="ctr"/>
          <a:endParaRPr kumimoji="1" lang="ja-JP" altLang="en-US" sz="1100">
            <a:solidFill>
              <a:schemeClr val="tx1"/>
            </a:solidFill>
          </a:endParaRPr>
        </a:p>
      </xdr:txBody>
    </xdr:sp>
    <xdr:clientData/>
  </xdr:twoCellAnchor>
  <xdr:twoCellAnchor>
    <xdr:from>
      <xdr:col>47</xdr:col>
      <xdr:colOff>309</xdr:colOff>
      <xdr:row>58</xdr:row>
      <xdr:rowOff>220304</xdr:rowOff>
    </xdr:from>
    <xdr:to>
      <xdr:col>51</xdr:col>
      <xdr:colOff>67192</xdr:colOff>
      <xdr:row>60</xdr:row>
      <xdr:rowOff>75181</xdr:rowOff>
    </xdr:to>
    <xdr:sp macro="" textlink="">
      <xdr:nvSpPr>
        <xdr:cNvPr id="288" name="正方形/長方形 287">
          <a:extLst>
            <a:ext uri="{FF2B5EF4-FFF2-40B4-BE49-F238E27FC236}">
              <a16:creationId xmlns:a16="http://schemas.microsoft.com/office/drawing/2014/main" id="{BE23D5C6-3419-41DB-A3C7-521D4721D0C4}"/>
            </a:ext>
          </a:extLst>
        </xdr:cNvPr>
        <xdr:cNvSpPr/>
      </xdr:nvSpPr>
      <xdr:spPr>
        <a:xfrm>
          <a:off x="13167221" y="14339716"/>
          <a:ext cx="1187471" cy="325524"/>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制御レジスタ</a:t>
          </a:r>
        </a:p>
      </xdr:txBody>
    </xdr:sp>
    <xdr:clientData/>
  </xdr:twoCellAnchor>
  <xdr:twoCellAnchor>
    <xdr:from>
      <xdr:col>51</xdr:col>
      <xdr:colOff>157991</xdr:colOff>
      <xdr:row>58</xdr:row>
      <xdr:rowOff>193287</xdr:rowOff>
    </xdr:from>
    <xdr:to>
      <xdr:col>53</xdr:col>
      <xdr:colOff>3881</xdr:colOff>
      <xdr:row>58</xdr:row>
      <xdr:rowOff>193287</xdr:rowOff>
    </xdr:to>
    <xdr:cxnSp macro="">
      <xdr:nvCxnSpPr>
        <xdr:cNvPr id="289" name="直線矢印コネクタ 288">
          <a:extLst>
            <a:ext uri="{FF2B5EF4-FFF2-40B4-BE49-F238E27FC236}">
              <a16:creationId xmlns:a16="http://schemas.microsoft.com/office/drawing/2014/main" id="{76D091D8-6BA2-4EE8-B146-A1D6FCF66D20}"/>
            </a:ext>
          </a:extLst>
        </xdr:cNvPr>
        <xdr:cNvCxnSpPr/>
      </xdr:nvCxnSpPr>
      <xdr:spPr>
        <a:xfrm>
          <a:off x="14445491" y="14312699"/>
          <a:ext cx="406184"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53</xdr:col>
      <xdr:colOff>2177</xdr:colOff>
      <xdr:row>57</xdr:row>
      <xdr:rowOff>30391</xdr:rowOff>
    </xdr:from>
    <xdr:to>
      <xdr:col>53</xdr:col>
      <xdr:colOff>2177</xdr:colOff>
      <xdr:row>74</xdr:row>
      <xdr:rowOff>139038</xdr:rowOff>
    </xdr:to>
    <xdr:cxnSp macro="">
      <xdr:nvCxnSpPr>
        <xdr:cNvPr id="291" name="直線コネクタ 290">
          <a:extLst>
            <a:ext uri="{FF2B5EF4-FFF2-40B4-BE49-F238E27FC236}">
              <a16:creationId xmlns:a16="http://schemas.microsoft.com/office/drawing/2014/main" id="{F3879D66-5B89-4585-A309-B81A48631A0C}"/>
            </a:ext>
          </a:extLst>
        </xdr:cNvPr>
        <xdr:cNvCxnSpPr/>
      </xdr:nvCxnSpPr>
      <xdr:spPr>
        <a:xfrm>
          <a:off x="14849971" y="13914479"/>
          <a:ext cx="0" cy="4109147"/>
        </a:xfrm>
        <a:prstGeom prst="line">
          <a:avLst/>
        </a:prstGeom>
        <a:ln>
          <a:solidFill>
            <a:schemeClr val="tx1"/>
          </a:solidFill>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52</xdr:col>
      <xdr:colOff>278803</xdr:colOff>
      <xdr:row>57</xdr:row>
      <xdr:rowOff>89467</xdr:rowOff>
    </xdr:from>
    <xdr:to>
      <xdr:col>54</xdr:col>
      <xdr:colOff>275490</xdr:colOff>
      <xdr:row>57</xdr:row>
      <xdr:rowOff>89467</xdr:rowOff>
    </xdr:to>
    <xdr:cxnSp macro="">
      <xdr:nvCxnSpPr>
        <xdr:cNvPr id="292" name="直線矢印コネクタ 291">
          <a:extLst>
            <a:ext uri="{FF2B5EF4-FFF2-40B4-BE49-F238E27FC236}">
              <a16:creationId xmlns:a16="http://schemas.microsoft.com/office/drawing/2014/main" id="{1BAB609A-4252-4F8A-8D18-CFBD8AC0B6CD}"/>
            </a:ext>
          </a:extLst>
        </xdr:cNvPr>
        <xdr:cNvCxnSpPr/>
      </xdr:nvCxnSpPr>
      <xdr:spPr>
        <a:xfrm>
          <a:off x="14846450" y="13973555"/>
          <a:ext cx="556981"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52</xdr:col>
      <xdr:colOff>274719</xdr:colOff>
      <xdr:row>74</xdr:row>
      <xdr:rowOff>113742</xdr:rowOff>
    </xdr:from>
    <xdr:to>
      <xdr:col>55</xdr:col>
      <xdr:colOff>1428</xdr:colOff>
      <xdr:row>74</xdr:row>
      <xdr:rowOff>113742</xdr:rowOff>
    </xdr:to>
    <xdr:cxnSp macro="">
      <xdr:nvCxnSpPr>
        <xdr:cNvPr id="294" name="直線矢印コネクタ 293">
          <a:extLst>
            <a:ext uri="{FF2B5EF4-FFF2-40B4-BE49-F238E27FC236}">
              <a16:creationId xmlns:a16="http://schemas.microsoft.com/office/drawing/2014/main" id="{4B965937-0267-41FA-8420-A03BE13B12C8}"/>
            </a:ext>
          </a:extLst>
        </xdr:cNvPr>
        <xdr:cNvCxnSpPr/>
      </xdr:nvCxnSpPr>
      <xdr:spPr>
        <a:xfrm>
          <a:off x="14842366" y="17998330"/>
          <a:ext cx="567150"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44833</xdr:colOff>
      <xdr:row>56</xdr:row>
      <xdr:rowOff>24984</xdr:rowOff>
    </xdr:from>
    <xdr:to>
      <xdr:col>54</xdr:col>
      <xdr:colOff>44833</xdr:colOff>
      <xdr:row>73</xdr:row>
      <xdr:rowOff>88353</xdr:rowOff>
    </xdr:to>
    <xdr:cxnSp macro="">
      <xdr:nvCxnSpPr>
        <xdr:cNvPr id="295" name="直線コネクタ 294">
          <a:extLst>
            <a:ext uri="{FF2B5EF4-FFF2-40B4-BE49-F238E27FC236}">
              <a16:creationId xmlns:a16="http://schemas.microsoft.com/office/drawing/2014/main" id="{4C5CF0B6-737E-4848-99E1-3DBFAACCFE08}"/>
            </a:ext>
          </a:extLst>
        </xdr:cNvPr>
        <xdr:cNvCxnSpPr/>
      </xdr:nvCxnSpPr>
      <xdr:spPr>
        <a:xfrm>
          <a:off x="15172774" y="13673749"/>
          <a:ext cx="0" cy="4063869"/>
        </a:xfrm>
        <a:prstGeom prst="line">
          <a:avLst/>
        </a:prstGeom>
        <a:ln>
          <a:solidFill>
            <a:srgbClr val="FF0000"/>
          </a:solidFill>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57</xdr:col>
      <xdr:colOff>97996</xdr:colOff>
      <xdr:row>57</xdr:row>
      <xdr:rowOff>98537</xdr:rowOff>
    </xdr:from>
    <xdr:to>
      <xdr:col>58</xdr:col>
      <xdr:colOff>276073</xdr:colOff>
      <xdr:row>57</xdr:row>
      <xdr:rowOff>98537</xdr:rowOff>
    </xdr:to>
    <xdr:cxnSp macro="">
      <xdr:nvCxnSpPr>
        <xdr:cNvPr id="296" name="直線矢印コネクタ 295">
          <a:extLst>
            <a:ext uri="{FF2B5EF4-FFF2-40B4-BE49-F238E27FC236}">
              <a16:creationId xmlns:a16="http://schemas.microsoft.com/office/drawing/2014/main" id="{EF6CD636-1471-452F-A778-3AD00E21736D}"/>
            </a:ext>
          </a:extLst>
        </xdr:cNvPr>
        <xdr:cNvCxnSpPr/>
      </xdr:nvCxnSpPr>
      <xdr:spPr>
        <a:xfrm>
          <a:off x="16066378" y="13982625"/>
          <a:ext cx="458224"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58</xdr:col>
      <xdr:colOff>279411</xdr:colOff>
      <xdr:row>57</xdr:row>
      <xdr:rowOff>45880</xdr:rowOff>
    </xdr:from>
    <xdr:to>
      <xdr:col>58</xdr:col>
      <xdr:colOff>279411</xdr:colOff>
      <xdr:row>76</xdr:row>
      <xdr:rowOff>7868</xdr:rowOff>
    </xdr:to>
    <xdr:cxnSp macro="">
      <xdr:nvCxnSpPr>
        <xdr:cNvPr id="297" name="直線コネクタ 296">
          <a:extLst>
            <a:ext uri="{FF2B5EF4-FFF2-40B4-BE49-F238E27FC236}">
              <a16:creationId xmlns:a16="http://schemas.microsoft.com/office/drawing/2014/main" id="{5E63A51B-441C-47C1-9DDD-E335D5A35499}"/>
            </a:ext>
          </a:extLst>
        </xdr:cNvPr>
        <xdr:cNvCxnSpPr/>
      </xdr:nvCxnSpPr>
      <xdr:spPr>
        <a:xfrm>
          <a:off x="16527940" y="13929968"/>
          <a:ext cx="0" cy="4433135"/>
        </a:xfrm>
        <a:prstGeom prst="line">
          <a:avLst/>
        </a:prstGeom>
        <a:ln>
          <a:solidFill>
            <a:srgbClr val="00B050"/>
          </a:solidFill>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57</xdr:col>
      <xdr:colOff>86090</xdr:colOff>
      <xdr:row>59</xdr:row>
      <xdr:rowOff>198550</xdr:rowOff>
    </xdr:from>
    <xdr:to>
      <xdr:col>58</xdr:col>
      <xdr:colOff>273692</xdr:colOff>
      <xdr:row>59</xdr:row>
      <xdr:rowOff>198550</xdr:rowOff>
    </xdr:to>
    <xdr:cxnSp macro="">
      <xdr:nvCxnSpPr>
        <xdr:cNvPr id="298" name="直線矢印コネクタ 297">
          <a:extLst>
            <a:ext uri="{FF2B5EF4-FFF2-40B4-BE49-F238E27FC236}">
              <a16:creationId xmlns:a16="http://schemas.microsoft.com/office/drawing/2014/main" id="{1ECB525F-BCF6-44E3-A39C-F003C1268F41}"/>
            </a:ext>
          </a:extLst>
        </xdr:cNvPr>
        <xdr:cNvCxnSpPr/>
      </xdr:nvCxnSpPr>
      <xdr:spPr>
        <a:xfrm>
          <a:off x="16054472" y="14553285"/>
          <a:ext cx="467749"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57</xdr:col>
      <xdr:colOff>105140</xdr:colOff>
      <xdr:row>62</xdr:row>
      <xdr:rowOff>50832</xdr:rowOff>
    </xdr:from>
    <xdr:to>
      <xdr:col>59</xdr:col>
      <xdr:colOff>3070</xdr:colOff>
      <xdr:row>62</xdr:row>
      <xdr:rowOff>50832</xdr:rowOff>
    </xdr:to>
    <xdr:cxnSp macro="">
      <xdr:nvCxnSpPr>
        <xdr:cNvPr id="299" name="直線矢印コネクタ 298">
          <a:extLst>
            <a:ext uri="{FF2B5EF4-FFF2-40B4-BE49-F238E27FC236}">
              <a16:creationId xmlns:a16="http://schemas.microsoft.com/office/drawing/2014/main" id="{778A34E9-EF0D-4F09-A8EC-27DA4474A5AA}"/>
            </a:ext>
          </a:extLst>
        </xdr:cNvPr>
        <xdr:cNvCxnSpPr/>
      </xdr:nvCxnSpPr>
      <xdr:spPr>
        <a:xfrm>
          <a:off x="16073522" y="15111538"/>
          <a:ext cx="458224"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57</xdr:col>
      <xdr:colOff>96806</xdr:colOff>
      <xdr:row>64</xdr:row>
      <xdr:rowOff>179498</xdr:rowOff>
    </xdr:from>
    <xdr:to>
      <xdr:col>58</xdr:col>
      <xdr:colOff>274883</xdr:colOff>
      <xdr:row>64</xdr:row>
      <xdr:rowOff>179498</xdr:rowOff>
    </xdr:to>
    <xdr:cxnSp macro="">
      <xdr:nvCxnSpPr>
        <xdr:cNvPr id="300" name="直線矢印コネクタ 299">
          <a:extLst>
            <a:ext uri="{FF2B5EF4-FFF2-40B4-BE49-F238E27FC236}">
              <a16:creationId xmlns:a16="http://schemas.microsoft.com/office/drawing/2014/main" id="{891DABD2-C8C7-43BA-876B-505C1C2ED4C7}"/>
            </a:ext>
          </a:extLst>
        </xdr:cNvPr>
        <xdr:cNvCxnSpPr/>
      </xdr:nvCxnSpPr>
      <xdr:spPr>
        <a:xfrm>
          <a:off x="16065188" y="15710851"/>
          <a:ext cx="458224"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57</xdr:col>
      <xdr:colOff>100378</xdr:colOff>
      <xdr:row>67</xdr:row>
      <xdr:rowOff>37815</xdr:rowOff>
    </xdr:from>
    <xdr:to>
      <xdr:col>58</xdr:col>
      <xdr:colOff>278455</xdr:colOff>
      <xdr:row>67</xdr:row>
      <xdr:rowOff>37815</xdr:rowOff>
    </xdr:to>
    <xdr:cxnSp macro="">
      <xdr:nvCxnSpPr>
        <xdr:cNvPr id="301" name="直線矢印コネクタ 300">
          <a:extLst>
            <a:ext uri="{FF2B5EF4-FFF2-40B4-BE49-F238E27FC236}">
              <a16:creationId xmlns:a16="http://schemas.microsoft.com/office/drawing/2014/main" id="{40B0A618-1403-4C82-9AC0-6888C9B6237C}"/>
            </a:ext>
          </a:extLst>
        </xdr:cNvPr>
        <xdr:cNvCxnSpPr/>
      </xdr:nvCxnSpPr>
      <xdr:spPr>
        <a:xfrm>
          <a:off x="16068760" y="16275139"/>
          <a:ext cx="458224"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57</xdr:col>
      <xdr:colOff>97996</xdr:colOff>
      <xdr:row>69</xdr:row>
      <xdr:rowOff>115517</xdr:rowOff>
    </xdr:from>
    <xdr:to>
      <xdr:col>58</xdr:col>
      <xdr:colOff>276073</xdr:colOff>
      <xdr:row>69</xdr:row>
      <xdr:rowOff>115517</xdr:rowOff>
    </xdr:to>
    <xdr:cxnSp macro="">
      <xdr:nvCxnSpPr>
        <xdr:cNvPr id="302" name="直線矢印コネクタ 301">
          <a:extLst>
            <a:ext uri="{FF2B5EF4-FFF2-40B4-BE49-F238E27FC236}">
              <a16:creationId xmlns:a16="http://schemas.microsoft.com/office/drawing/2014/main" id="{B715BF4F-B579-4A07-B19A-1786BEF9B43F}"/>
            </a:ext>
          </a:extLst>
        </xdr:cNvPr>
        <xdr:cNvCxnSpPr/>
      </xdr:nvCxnSpPr>
      <xdr:spPr>
        <a:xfrm>
          <a:off x="16066378" y="16823488"/>
          <a:ext cx="458224"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57</xdr:col>
      <xdr:colOff>101568</xdr:colOff>
      <xdr:row>71</xdr:row>
      <xdr:rowOff>229962</xdr:rowOff>
    </xdr:from>
    <xdr:to>
      <xdr:col>58</xdr:col>
      <xdr:colOff>279645</xdr:colOff>
      <xdr:row>71</xdr:row>
      <xdr:rowOff>229962</xdr:rowOff>
    </xdr:to>
    <xdr:cxnSp macro="">
      <xdr:nvCxnSpPr>
        <xdr:cNvPr id="303" name="直線矢印コネクタ 302">
          <a:extLst>
            <a:ext uri="{FF2B5EF4-FFF2-40B4-BE49-F238E27FC236}">
              <a16:creationId xmlns:a16="http://schemas.microsoft.com/office/drawing/2014/main" id="{6C5C5D99-D5C7-4C5B-A8CC-9F974E32DC3C}"/>
            </a:ext>
          </a:extLst>
        </xdr:cNvPr>
        <xdr:cNvCxnSpPr/>
      </xdr:nvCxnSpPr>
      <xdr:spPr>
        <a:xfrm>
          <a:off x="16069950" y="17408580"/>
          <a:ext cx="458224"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57</xdr:col>
      <xdr:colOff>99187</xdr:colOff>
      <xdr:row>74</xdr:row>
      <xdr:rowOff>121929</xdr:rowOff>
    </xdr:from>
    <xdr:to>
      <xdr:col>58</xdr:col>
      <xdr:colOff>277264</xdr:colOff>
      <xdr:row>74</xdr:row>
      <xdr:rowOff>121929</xdr:rowOff>
    </xdr:to>
    <xdr:cxnSp macro="">
      <xdr:nvCxnSpPr>
        <xdr:cNvPr id="304" name="直線矢印コネクタ 303">
          <a:extLst>
            <a:ext uri="{FF2B5EF4-FFF2-40B4-BE49-F238E27FC236}">
              <a16:creationId xmlns:a16="http://schemas.microsoft.com/office/drawing/2014/main" id="{DFB3ADFC-B5DB-4178-8FB7-E0B0008327B2}"/>
            </a:ext>
          </a:extLst>
        </xdr:cNvPr>
        <xdr:cNvCxnSpPr/>
      </xdr:nvCxnSpPr>
      <xdr:spPr>
        <a:xfrm>
          <a:off x="16067569" y="18006517"/>
          <a:ext cx="458224"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55</xdr:col>
      <xdr:colOff>2672</xdr:colOff>
      <xdr:row>55</xdr:row>
      <xdr:rowOff>191032</xdr:rowOff>
    </xdr:from>
    <xdr:to>
      <xdr:col>57</xdr:col>
      <xdr:colOff>239116</xdr:colOff>
      <xdr:row>57</xdr:row>
      <xdr:rowOff>161307</xdr:rowOff>
    </xdr:to>
    <xdr:sp macro="" textlink="">
      <xdr:nvSpPr>
        <xdr:cNvPr id="305" name="正方形/長方形 304">
          <a:extLst>
            <a:ext uri="{FF2B5EF4-FFF2-40B4-BE49-F238E27FC236}">
              <a16:creationId xmlns:a16="http://schemas.microsoft.com/office/drawing/2014/main" id="{AF3744B6-F167-4645-9957-565422924C25}"/>
            </a:ext>
          </a:extLst>
        </xdr:cNvPr>
        <xdr:cNvSpPr/>
      </xdr:nvSpPr>
      <xdr:spPr>
        <a:xfrm>
          <a:off x="15410760" y="13604473"/>
          <a:ext cx="796738" cy="440922"/>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AWG 0</a:t>
          </a:r>
          <a:endParaRPr kumimoji="1" lang="ja-JP" altLang="en-US" sz="1200">
            <a:solidFill>
              <a:schemeClr val="tx1"/>
            </a:solidFill>
          </a:endParaRPr>
        </a:p>
      </xdr:txBody>
    </xdr:sp>
    <xdr:clientData/>
  </xdr:twoCellAnchor>
  <xdr:twoCellAnchor>
    <xdr:from>
      <xdr:col>54</xdr:col>
      <xdr:colOff>277850</xdr:colOff>
      <xdr:row>58</xdr:row>
      <xdr:rowOff>47629</xdr:rowOff>
    </xdr:from>
    <xdr:to>
      <xdr:col>57</xdr:col>
      <xdr:colOff>226143</xdr:colOff>
      <xdr:row>60</xdr:row>
      <xdr:rowOff>19431</xdr:rowOff>
    </xdr:to>
    <xdr:sp macro="" textlink="">
      <xdr:nvSpPr>
        <xdr:cNvPr id="306" name="正方形/長方形 305">
          <a:extLst>
            <a:ext uri="{FF2B5EF4-FFF2-40B4-BE49-F238E27FC236}">
              <a16:creationId xmlns:a16="http://schemas.microsoft.com/office/drawing/2014/main" id="{E9F8E3A9-C8FD-4625-816F-59EC7DF5CBC7}"/>
            </a:ext>
          </a:extLst>
        </xdr:cNvPr>
        <xdr:cNvSpPr/>
      </xdr:nvSpPr>
      <xdr:spPr>
        <a:xfrm>
          <a:off x="15405791" y="14167041"/>
          <a:ext cx="788734" cy="442449"/>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AWG 1</a:t>
          </a:r>
          <a:endParaRPr kumimoji="1" lang="ja-JP" altLang="en-US" sz="1200">
            <a:solidFill>
              <a:schemeClr val="tx1"/>
            </a:solidFill>
          </a:endParaRPr>
        </a:p>
      </xdr:txBody>
    </xdr:sp>
    <xdr:clientData/>
  </xdr:twoCellAnchor>
  <xdr:twoCellAnchor>
    <xdr:from>
      <xdr:col>55</xdr:col>
      <xdr:colOff>1015</xdr:colOff>
      <xdr:row>60</xdr:row>
      <xdr:rowOff>174778</xdr:rowOff>
    </xdr:from>
    <xdr:to>
      <xdr:col>57</xdr:col>
      <xdr:colOff>237459</xdr:colOff>
      <xdr:row>62</xdr:row>
      <xdr:rowOff>123201</xdr:rowOff>
    </xdr:to>
    <xdr:sp macro="" textlink="">
      <xdr:nvSpPr>
        <xdr:cNvPr id="307" name="正方形/長方形 306">
          <a:extLst>
            <a:ext uri="{FF2B5EF4-FFF2-40B4-BE49-F238E27FC236}">
              <a16:creationId xmlns:a16="http://schemas.microsoft.com/office/drawing/2014/main" id="{4A143178-1E55-4882-98EA-BE33E5E13C84}"/>
            </a:ext>
          </a:extLst>
        </xdr:cNvPr>
        <xdr:cNvSpPr/>
      </xdr:nvSpPr>
      <xdr:spPr>
        <a:xfrm>
          <a:off x="15409103" y="14764837"/>
          <a:ext cx="796738" cy="419070"/>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AWG 2</a:t>
          </a:r>
          <a:endParaRPr kumimoji="1" lang="ja-JP" altLang="en-US" sz="1200">
            <a:solidFill>
              <a:schemeClr val="tx1"/>
            </a:solidFill>
          </a:endParaRPr>
        </a:p>
      </xdr:txBody>
    </xdr:sp>
    <xdr:clientData/>
  </xdr:twoCellAnchor>
  <xdr:twoCellAnchor>
    <xdr:from>
      <xdr:col>55</xdr:col>
      <xdr:colOff>4328</xdr:colOff>
      <xdr:row>63</xdr:row>
      <xdr:rowOff>29514</xdr:rowOff>
    </xdr:from>
    <xdr:to>
      <xdr:col>57</xdr:col>
      <xdr:colOff>240772</xdr:colOff>
      <xdr:row>65</xdr:row>
      <xdr:rowOff>2590</xdr:rowOff>
    </xdr:to>
    <xdr:sp macro="" textlink="">
      <xdr:nvSpPr>
        <xdr:cNvPr id="308" name="正方形/長方形 307">
          <a:extLst>
            <a:ext uri="{FF2B5EF4-FFF2-40B4-BE49-F238E27FC236}">
              <a16:creationId xmlns:a16="http://schemas.microsoft.com/office/drawing/2014/main" id="{C124504E-3F73-4B4B-B5D6-B5D468E95A1D}"/>
            </a:ext>
          </a:extLst>
        </xdr:cNvPr>
        <xdr:cNvSpPr/>
      </xdr:nvSpPr>
      <xdr:spPr>
        <a:xfrm>
          <a:off x="15412416" y="15325543"/>
          <a:ext cx="796738" cy="443723"/>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AWG 3</a:t>
          </a:r>
          <a:endParaRPr kumimoji="1" lang="ja-JP" altLang="en-US" sz="1200">
            <a:solidFill>
              <a:schemeClr val="tx1"/>
            </a:solidFill>
          </a:endParaRPr>
        </a:p>
      </xdr:txBody>
    </xdr:sp>
    <xdr:clientData/>
  </xdr:twoCellAnchor>
  <xdr:twoCellAnchor>
    <xdr:from>
      <xdr:col>54</xdr:col>
      <xdr:colOff>277849</xdr:colOff>
      <xdr:row>65</xdr:row>
      <xdr:rowOff>132106</xdr:rowOff>
    </xdr:from>
    <xdr:to>
      <xdr:col>57</xdr:col>
      <xdr:colOff>226142</xdr:colOff>
      <xdr:row>67</xdr:row>
      <xdr:rowOff>103908</xdr:rowOff>
    </xdr:to>
    <xdr:sp macro="" textlink="">
      <xdr:nvSpPr>
        <xdr:cNvPr id="309" name="正方形/長方形 308">
          <a:extLst>
            <a:ext uri="{FF2B5EF4-FFF2-40B4-BE49-F238E27FC236}">
              <a16:creationId xmlns:a16="http://schemas.microsoft.com/office/drawing/2014/main" id="{32888960-7710-45CE-8AF9-99BF97EE612F}"/>
            </a:ext>
          </a:extLst>
        </xdr:cNvPr>
        <xdr:cNvSpPr/>
      </xdr:nvSpPr>
      <xdr:spPr>
        <a:xfrm>
          <a:off x="15405790" y="15898782"/>
          <a:ext cx="788734" cy="442450"/>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AWG 4</a:t>
          </a:r>
          <a:endParaRPr kumimoji="1" lang="ja-JP" altLang="en-US" sz="1200">
            <a:solidFill>
              <a:schemeClr val="tx1"/>
            </a:solidFill>
          </a:endParaRPr>
        </a:p>
      </xdr:txBody>
    </xdr:sp>
    <xdr:clientData/>
  </xdr:twoCellAnchor>
  <xdr:twoCellAnchor>
    <xdr:from>
      <xdr:col>54</xdr:col>
      <xdr:colOff>272880</xdr:colOff>
      <xdr:row>68</xdr:row>
      <xdr:rowOff>2082</xdr:rowOff>
    </xdr:from>
    <xdr:to>
      <xdr:col>57</xdr:col>
      <xdr:colOff>217251</xdr:colOff>
      <xdr:row>69</xdr:row>
      <xdr:rowOff>207679</xdr:rowOff>
    </xdr:to>
    <xdr:sp macro="" textlink="">
      <xdr:nvSpPr>
        <xdr:cNvPr id="310" name="正方形/長方形 309">
          <a:extLst>
            <a:ext uri="{FF2B5EF4-FFF2-40B4-BE49-F238E27FC236}">
              <a16:creationId xmlns:a16="http://schemas.microsoft.com/office/drawing/2014/main" id="{CE0AB736-EA2C-4575-9325-FBF59E150C81}"/>
            </a:ext>
          </a:extLst>
        </xdr:cNvPr>
        <xdr:cNvSpPr/>
      </xdr:nvSpPr>
      <xdr:spPr>
        <a:xfrm>
          <a:off x="15400821" y="16474729"/>
          <a:ext cx="784812" cy="440921"/>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AWG 5</a:t>
          </a:r>
          <a:endParaRPr kumimoji="1" lang="ja-JP" altLang="en-US" sz="1200">
            <a:solidFill>
              <a:schemeClr val="tx1"/>
            </a:solidFill>
          </a:endParaRPr>
        </a:p>
      </xdr:txBody>
    </xdr:sp>
    <xdr:clientData/>
  </xdr:twoCellAnchor>
  <xdr:twoCellAnchor>
    <xdr:from>
      <xdr:col>54</xdr:col>
      <xdr:colOff>276192</xdr:colOff>
      <xdr:row>70</xdr:row>
      <xdr:rowOff>121122</xdr:rowOff>
    </xdr:from>
    <xdr:to>
      <xdr:col>57</xdr:col>
      <xdr:colOff>220563</xdr:colOff>
      <xdr:row>72</xdr:row>
      <xdr:rowOff>84266</xdr:rowOff>
    </xdr:to>
    <xdr:sp macro="" textlink="">
      <xdr:nvSpPr>
        <xdr:cNvPr id="311" name="正方形/長方形 310">
          <a:extLst>
            <a:ext uri="{FF2B5EF4-FFF2-40B4-BE49-F238E27FC236}">
              <a16:creationId xmlns:a16="http://schemas.microsoft.com/office/drawing/2014/main" id="{B35D1F43-2409-4B49-8DB3-E2019CE1EC8A}"/>
            </a:ext>
          </a:extLst>
        </xdr:cNvPr>
        <xdr:cNvSpPr/>
      </xdr:nvSpPr>
      <xdr:spPr>
        <a:xfrm>
          <a:off x="15404133" y="17064416"/>
          <a:ext cx="784812" cy="433791"/>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AWG 6</a:t>
          </a:r>
          <a:endParaRPr kumimoji="1" lang="ja-JP" altLang="en-US" sz="1200">
            <a:solidFill>
              <a:schemeClr val="tx1"/>
            </a:solidFill>
          </a:endParaRPr>
        </a:p>
      </xdr:txBody>
    </xdr:sp>
    <xdr:clientData/>
  </xdr:twoCellAnchor>
  <xdr:twoCellAnchor>
    <xdr:from>
      <xdr:col>54</xdr:col>
      <xdr:colOff>279505</xdr:colOff>
      <xdr:row>72</xdr:row>
      <xdr:rowOff>200430</xdr:rowOff>
    </xdr:from>
    <xdr:to>
      <xdr:col>57</xdr:col>
      <xdr:colOff>227798</xdr:colOff>
      <xdr:row>74</xdr:row>
      <xdr:rowOff>217227</xdr:rowOff>
    </xdr:to>
    <xdr:sp macro="" textlink="">
      <xdr:nvSpPr>
        <xdr:cNvPr id="312" name="正方形/長方形 311">
          <a:extLst>
            <a:ext uri="{FF2B5EF4-FFF2-40B4-BE49-F238E27FC236}">
              <a16:creationId xmlns:a16="http://schemas.microsoft.com/office/drawing/2014/main" id="{AF9A3AF0-777B-4732-B571-E6A898DDB7CA}"/>
            </a:ext>
          </a:extLst>
        </xdr:cNvPr>
        <xdr:cNvSpPr/>
      </xdr:nvSpPr>
      <xdr:spPr>
        <a:xfrm>
          <a:off x="15407446" y="17614371"/>
          <a:ext cx="788734" cy="487444"/>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AWG 7</a:t>
          </a:r>
          <a:endParaRPr kumimoji="1" lang="ja-JP" altLang="en-US" sz="1200">
            <a:solidFill>
              <a:schemeClr val="tx1"/>
            </a:solidFill>
          </a:endParaRPr>
        </a:p>
      </xdr:txBody>
    </xdr:sp>
    <xdr:clientData/>
  </xdr:twoCellAnchor>
  <xdr:twoCellAnchor>
    <xdr:from>
      <xdr:col>54</xdr:col>
      <xdr:colOff>51105</xdr:colOff>
      <xdr:row>56</xdr:row>
      <xdr:rowOff>36908</xdr:rowOff>
    </xdr:from>
    <xdr:to>
      <xdr:col>54</xdr:col>
      <xdr:colOff>264066</xdr:colOff>
      <xdr:row>56</xdr:row>
      <xdr:rowOff>36908</xdr:rowOff>
    </xdr:to>
    <xdr:cxnSp macro="">
      <xdr:nvCxnSpPr>
        <xdr:cNvPr id="313" name="直線矢印コネクタ 312">
          <a:extLst>
            <a:ext uri="{FF2B5EF4-FFF2-40B4-BE49-F238E27FC236}">
              <a16:creationId xmlns:a16="http://schemas.microsoft.com/office/drawing/2014/main" id="{B8859EFB-82C4-4648-8DB5-076CABA3D482}"/>
            </a:ext>
          </a:extLst>
        </xdr:cNvPr>
        <xdr:cNvCxnSpPr/>
      </xdr:nvCxnSpPr>
      <xdr:spPr>
        <a:xfrm>
          <a:off x="15179046" y="13685673"/>
          <a:ext cx="212961"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48724</xdr:colOff>
      <xdr:row>58</xdr:row>
      <xdr:rowOff>156051</xdr:rowOff>
    </xdr:from>
    <xdr:to>
      <xdr:col>54</xdr:col>
      <xdr:colOff>261685</xdr:colOff>
      <xdr:row>58</xdr:row>
      <xdr:rowOff>156051</xdr:rowOff>
    </xdr:to>
    <xdr:cxnSp macro="">
      <xdr:nvCxnSpPr>
        <xdr:cNvPr id="314" name="直線矢印コネクタ 313">
          <a:extLst>
            <a:ext uri="{FF2B5EF4-FFF2-40B4-BE49-F238E27FC236}">
              <a16:creationId xmlns:a16="http://schemas.microsoft.com/office/drawing/2014/main" id="{D4D4C0D6-80EC-47D7-B968-C08939D10037}"/>
            </a:ext>
          </a:extLst>
        </xdr:cNvPr>
        <xdr:cNvCxnSpPr/>
      </xdr:nvCxnSpPr>
      <xdr:spPr>
        <a:xfrm>
          <a:off x="15176665" y="14275463"/>
          <a:ext cx="212961"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58249</xdr:colOff>
      <xdr:row>61</xdr:row>
      <xdr:rowOff>25932</xdr:rowOff>
    </xdr:from>
    <xdr:to>
      <xdr:col>54</xdr:col>
      <xdr:colOff>271210</xdr:colOff>
      <xdr:row>61</xdr:row>
      <xdr:rowOff>25932</xdr:rowOff>
    </xdr:to>
    <xdr:cxnSp macro="">
      <xdr:nvCxnSpPr>
        <xdr:cNvPr id="315" name="直線矢印コネクタ 314">
          <a:extLst>
            <a:ext uri="{FF2B5EF4-FFF2-40B4-BE49-F238E27FC236}">
              <a16:creationId xmlns:a16="http://schemas.microsoft.com/office/drawing/2014/main" id="{570956FF-D528-4FD2-A5E8-6B2AE3F780FA}"/>
            </a:ext>
          </a:extLst>
        </xdr:cNvPr>
        <xdr:cNvCxnSpPr/>
      </xdr:nvCxnSpPr>
      <xdr:spPr>
        <a:xfrm>
          <a:off x="15186190" y="14851314"/>
          <a:ext cx="212961"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49915</xdr:colOff>
      <xdr:row>63</xdr:row>
      <xdr:rowOff>117871</xdr:rowOff>
    </xdr:from>
    <xdr:to>
      <xdr:col>54</xdr:col>
      <xdr:colOff>262876</xdr:colOff>
      <xdr:row>63</xdr:row>
      <xdr:rowOff>117871</xdr:rowOff>
    </xdr:to>
    <xdr:cxnSp macro="">
      <xdr:nvCxnSpPr>
        <xdr:cNvPr id="316" name="直線矢印コネクタ 315">
          <a:extLst>
            <a:ext uri="{FF2B5EF4-FFF2-40B4-BE49-F238E27FC236}">
              <a16:creationId xmlns:a16="http://schemas.microsoft.com/office/drawing/2014/main" id="{C3E60F7C-E0CE-4EA3-AE1E-E5EC79AEA7B4}"/>
            </a:ext>
          </a:extLst>
        </xdr:cNvPr>
        <xdr:cNvCxnSpPr/>
      </xdr:nvCxnSpPr>
      <xdr:spPr>
        <a:xfrm>
          <a:off x="15177856" y="15413900"/>
          <a:ext cx="212961"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53487</xdr:colOff>
      <xdr:row>65</xdr:row>
      <xdr:rowOff>233442</xdr:rowOff>
    </xdr:from>
    <xdr:to>
      <xdr:col>54</xdr:col>
      <xdr:colOff>266448</xdr:colOff>
      <xdr:row>65</xdr:row>
      <xdr:rowOff>233442</xdr:rowOff>
    </xdr:to>
    <xdr:cxnSp macro="">
      <xdr:nvCxnSpPr>
        <xdr:cNvPr id="317" name="直線矢印コネクタ 316">
          <a:extLst>
            <a:ext uri="{FF2B5EF4-FFF2-40B4-BE49-F238E27FC236}">
              <a16:creationId xmlns:a16="http://schemas.microsoft.com/office/drawing/2014/main" id="{EAC5B5C0-B12A-40D2-A2FD-58D8DA0E7A20}"/>
            </a:ext>
          </a:extLst>
        </xdr:cNvPr>
        <xdr:cNvCxnSpPr/>
      </xdr:nvCxnSpPr>
      <xdr:spPr>
        <a:xfrm>
          <a:off x="15181428" y="16000118"/>
          <a:ext cx="212961"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51105</xdr:colOff>
      <xdr:row>68</xdr:row>
      <xdr:rowOff>100940</xdr:rowOff>
    </xdr:from>
    <xdr:to>
      <xdr:col>54</xdr:col>
      <xdr:colOff>264066</xdr:colOff>
      <xdr:row>68</xdr:row>
      <xdr:rowOff>100940</xdr:rowOff>
    </xdr:to>
    <xdr:cxnSp macro="">
      <xdr:nvCxnSpPr>
        <xdr:cNvPr id="318" name="直線矢印コネクタ 317">
          <a:extLst>
            <a:ext uri="{FF2B5EF4-FFF2-40B4-BE49-F238E27FC236}">
              <a16:creationId xmlns:a16="http://schemas.microsoft.com/office/drawing/2014/main" id="{33534394-7584-4A39-9D64-90FF4C37444A}"/>
            </a:ext>
          </a:extLst>
        </xdr:cNvPr>
        <xdr:cNvCxnSpPr/>
      </xdr:nvCxnSpPr>
      <xdr:spPr>
        <a:xfrm>
          <a:off x="15179046" y="16573587"/>
          <a:ext cx="212961"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54677</xdr:colOff>
      <xdr:row>70</xdr:row>
      <xdr:rowOff>216773</xdr:rowOff>
    </xdr:from>
    <xdr:to>
      <xdr:col>54</xdr:col>
      <xdr:colOff>267638</xdr:colOff>
      <xdr:row>70</xdr:row>
      <xdr:rowOff>216773</xdr:rowOff>
    </xdr:to>
    <xdr:cxnSp macro="">
      <xdr:nvCxnSpPr>
        <xdr:cNvPr id="319" name="直線矢印コネクタ 318">
          <a:extLst>
            <a:ext uri="{FF2B5EF4-FFF2-40B4-BE49-F238E27FC236}">
              <a16:creationId xmlns:a16="http://schemas.microsoft.com/office/drawing/2014/main" id="{A7854ED0-6D26-4A6B-AAA3-6F916DF9F2A4}"/>
            </a:ext>
          </a:extLst>
        </xdr:cNvPr>
        <xdr:cNvCxnSpPr/>
      </xdr:nvCxnSpPr>
      <xdr:spPr>
        <a:xfrm>
          <a:off x="15182618" y="17160067"/>
          <a:ext cx="212961"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52296</xdr:colOff>
      <xdr:row>73</xdr:row>
      <xdr:rowOff>82233</xdr:rowOff>
    </xdr:from>
    <xdr:to>
      <xdr:col>54</xdr:col>
      <xdr:colOff>265257</xdr:colOff>
      <xdr:row>73</xdr:row>
      <xdr:rowOff>82233</xdr:rowOff>
    </xdr:to>
    <xdr:cxnSp macro="">
      <xdr:nvCxnSpPr>
        <xdr:cNvPr id="320" name="直線矢印コネクタ 319">
          <a:extLst>
            <a:ext uri="{FF2B5EF4-FFF2-40B4-BE49-F238E27FC236}">
              <a16:creationId xmlns:a16="http://schemas.microsoft.com/office/drawing/2014/main" id="{F26B108C-934C-4AC0-8367-81057A804869}"/>
            </a:ext>
          </a:extLst>
        </xdr:cNvPr>
        <xdr:cNvCxnSpPr/>
      </xdr:nvCxnSpPr>
      <xdr:spPr>
        <a:xfrm>
          <a:off x="15180237" y="17731498"/>
          <a:ext cx="212961"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46</xdr:col>
      <xdr:colOff>252756</xdr:colOff>
      <xdr:row>104</xdr:row>
      <xdr:rowOff>4446</xdr:rowOff>
    </xdr:from>
    <xdr:to>
      <xdr:col>52</xdr:col>
      <xdr:colOff>28903</xdr:colOff>
      <xdr:row>108</xdr:row>
      <xdr:rowOff>78210</xdr:rowOff>
    </xdr:to>
    <xdr:sp macro="" textlink="">
      <xdr:nvSpPr>
        <xdr:cNvPr id="321" name="正方形/長方形 320">
          <a:extLst>
            <a:ext uri="{FF2B5EF4-FFF2-40B4-BE49-F238E27FC236}">
              <a16:creationId xmlns:a16="http://schemas.microsoft.com/office/drawing/2014/main" id="{7F07A57B-E32E-47F7-A93E-F23C458195CE}"/>
            </a:ext>
          </a:extLst>
        </xdr:cNvPr>
        <xdr:cNvSpPr/>
      </xdr:nvSpPr>
      <xdr:spPr>
        <a:xfrm>
          <a:off x="13139521" y="24948740"/>
          <a:ext cx="1457029" cy="1015058"/>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100">
              <a:solidFill>
                <a:schemeClr val="tx1"/>
              </a:solidFill>
            </a:rPr>
            <a:t>ディジタル出力</a:t>
          </a:r>
          <a:endParaRPr kumimoji="1" lang="en-US" altLang="ja-JP" sz="1100">
            <a:solidFill>
              <a:schemeClr val="tx1"/>
            </a:solidFill>
          </a:endParaRPr>
        </a:p>
        <a:p>
          <a:pPr algn="ctr"/>
          <a:r>
            <a:rPr kumimoji="1" lang="ja-JP" altLang="en-US" sz="1100">
              <a:solidFill>
                <a:schemeClr val="tx1"/>
              </a:solidFill>
            </a:rPr>
            <a:t>コントローラ</a:t>
          </a:r>
          <a:endParaRPr kumimoji="1" lang="en-US" altLang="ja-JP" sz="1100">
            <a:solidFill>
              <a:schemeClr val="tx1"/>
            </a:solidFill>
          </a:endParaRPr>
        </a:p>
        <a:p>
          <a:pPr algn="ctr"/>
          <a:endParaRPr kumimoji="1" lang="ja-JP" altLang="en-US" sz="1100">
            <a:solidFill>
              <a:schemeClr val="tx1"/>
            </a:solidFill>
          </a:endParaRPr>
        </a:p>
      </xdr:txBody>
    </xdr:sp>
    <xdr:clientData/>
  </xdr:twoCellAnchor>
  <xdr:twoCellAnchor>
    <xdr:from>
      <xdr:col>47</xdr:col>
      <xdr:colOff>116909</xdr:colOff>
      <xdr:row>106</xdr:row>
      <xdr:rowOff>123418</xdr:rowOff>
    </xdr:from>
    <xdr:to>
      <xdr:col>51</xdr:col>
      <xdr:colOff>152318</xdr:colOff>
      <xdr:row>107</xdr:row>
      <xdr:rowOff>224081</xdr:rowOff>
    </xdr:to>
    <xdr:sp macro="" textlink="">
      <xdr:nvSpPr>
        <xdr:cNvPr id="322" name="正方形/長方形 321">
          <a:extLst>
            <a:ext uri="{FF2B5EF4-FFF2-40B4-BE49-F238E27FC236}">
              <a16:creationId xmlns:a16="http://schemas.microsoft.com/office/drawing/2014/main" id="{FE20FB2E-9DF3-4E01-9153-C989E3A71BE2}"/>
            </a:ext>
          </a:extLst>
        </xdr:cNvPr>
        <xdr:cNvSpPr/>
      </xdr:nvSpPr>
      <xdr:spPr>
        <a:xfrm>
          <a:off x="13283821" y="25538359"/>
          <a:ext cx="1155997" cy="335987"/>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制御レジスタ</a:t>
          </a:r>
        </a:p>
      </xdr:txBody>
    </xdr:sp>
    <xdr:clientData/>
  </xdr:twoCellAnchor>
  <xdr:twoCellAnchor>
    <xdr:from>
      <xdr:col>54</xdr:col>
      <xdr:colOff>3804</xdr:colOff>
      <xdr:row>104</xdr:row>
      <xdr:rowOff>155559</xdr:rowOff>
    </xdr:from>
    <xdr:to>
      <xdr:col>58</xdr:col>
      <xdr:colOff>276212</xdr:colOff>
      <xdr:row>107</xdr:row>
      <xdr:rowOff>121398</xdr:rowOff>
    </xdr:to>
    <xdr:sp macro="" textlink="">
      <xdr:nvSpPr>
        <xdr:cNvPr id="323" name="正方形/長方形 322">
          <a:extLst>
            <a:ext uri="{FF2B5EF4-FFF2-40B4-BE49-F238E27FC236}">
              <a16:creationId xmlns:a16="http://schemas.microsoft.com/office/drawing/2014/main" id="{0F18C778-732A-4FAF-BF66-E781BBF58607}"/>
            </a:ext>
          </a:extLst>
        </xdr:cNvPr>
        <xdr:cNvSpPr/>
      </xdr:nvSpPr>
      <xdr:spPr>
        <a:xfrm>
          <a:off x="15131745" y="25099853"/>
          <a:ext cx="1392996" cy="671810"/>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ディジタル出力</a:t>
          </a:r>
          <a:endParaRPr kumimoji="1" lang="en-US" altLang="ja-JP" sz="1100">
            <a:solidFill>
              <a:schemeClr val="tx1"/>
            </a:solidFill>
          </a:endParaRPr>
        </a:p>
        <a:p>
          <a:pPr algn="ctr"/>
          <a:r>
            <a:rPr kumimoji="1" lang="ja-JP" altLang="en-US" sz="1100">
              <a:solidFill>
                <a:schemeClr val="tx1"/>
              </a:solidFill>
            </a:rPr>
            <a:t>モジュール</a:t>
          </a:r>
          <a:r>
            <a:rPr kumimoji="1" lang="en-US" altLang="ja-JP" sz="1100">
              <a:solidFill>
                <a:schemeClr val="tx1"/>
              </a:solidFill>
            </a:rPr>
            <a:t> 0</a:t>
          </a:r>
          <a:endParaRPr kumimoji="1" lang="ja-JP" altLang="en-US" sz="1100">
            <a:solidFill>
              <a:schemeClr val="tx1"/>
            </a:solidFill>
          </a:endParaRPr>
        </a:p>
      </xdr:txBody>
    </xdr:sp>
    <xdr:clientData/>
  </xdr:twoCellAnchor>
  <xdr:twoCellAnchor>
    <xdr:from>
      <xdr:col>53</xdr:col>
      <xdr:colOff>3053</xdr:colOff>
      <xdr:row>69</xdr:row>
      <xdr:rowOff>100586</xdr:rowOff>
    </xdr:from>
    <xdr:to>
      <xdr:col>54</xdr:col>
      <xdr:colOff>279887</xdr:colOff>
      <xdr:row>69</xdr:row>
      <xdr:rowOff>100586</xdr:rowOff>
    </xdr:to>
    <xdr:cxnSp macro="">
      <xdr:nvCxnSpPr>
        <xdr:cNvPr id="324" name="直線矢印コネクタ 323">
          <a:extLst>
            <a:ext uri="{FF2B5EF4-FFF2-40B4-BE49-F238E27FC236}">
              <a16:creationId xmlns:a16="http://schemas.microsoft.com/office/drawing/2014/main" id="{BEBCA6C2-6CFA-460F-8953-07D5B297753D}"/>
            </a:ext>
          </a:extLst>
        </xdr:cNvPr>
        <xdr:cNvCxnSpPr/>
      </xdr:nvCxnSpPr>
      <xdr:spPr>
        <a:xfrm>
          <a:off x="14850847" y="16808557"/>
          <a:ext cx="556981"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52</xdr:col>
      <xdr:colOff>277338</xdr:colOff>
      <xdr:row>59</xdr:row>
      <xdr:rowOff>189845</xdr:rowOff>
    </xdr:from>
    <xdr:to>
      <xdr:col>54</xdr:col>
      <xdr:colOff>274025</xdr:colOff>
      <xdr:row>59</xdr:row>
      <xdr:rowOff>189845</xdr:rowOff>
    </xdr:to>
    <xdr:cxnSp macro="">
      <xdr:nvCxnSpPr>
        <xdr:cNvPr id="325" name="直線矢印コネクタ 324">
          <a:extLst>
            <a:ext uri="{FF2B5EF4-FFF2-40B4-BE49-F238E27FC236}">
              <a16:creationId xmlns:a16="http://schemas.microsoft.com/office/drawing/2014/main" id="{3BCD57F9-1FD4-47E3-885D-DD4C8590B35D}"/>
            </a:ext>
          </a:extLst>
        </xdr:cNvPr>
        <xdr:cNvCxnSpPr/>
      </xdr:nvCxnSpPr>
      <xdr:spPr>
        <a:xfrm>
          <a:off x="14844985" y="14544580"/>
          <a:ext cx="556981"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53</xdr:col>
      <xdr:colOff>3053</xdr:colOff>
      <xdr:row>62</xdr:row>
      <xdr:rowOff>46090</xdr:rowOff>
    </xdr:from>
    <xdr:to>
      <xdr:col>54</xdr:col>
      <xdr:colOff>279887</xdr:colOff>
      <xdr:row>62</xdr:row>
      <xdr:rowOff>46090</xdr:rowOff>
    </xdr:to>
    <xdr:cxnSp macro="">
      <xdr:nvCxnSpPr>
        <xdr:cNvPr id="326" name="直線矢印コネクタ 325">
          <a:extLst>
            <a:ext uri="{FF2B5EF4-FFF2-40B4-BE49-F238E27FC236}">
              <a16:creationId xmlns:a16="http://schemas.microsoft.com/office/drawing/2014/main" id="{83F22798-8109-4267-B253-DEE6ED9C3C89}"/>
            </a:ext>
          </a:extLst>
        </xdr:cNvPr>
        <xdr:cNvCxnSpPr/>
      </xdr:nvCxnSpPr>
      <xdr:spPr>
        <a:xfrm>
          <a:off x="14850847" y="15106796"/>
          <a:ext cx="556981"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52</xdr:col>
      <xdr:colOff>274407</xdr:colOff>
      <xdr:row>64</xdr:row>
      <xdr:rowOff>142219</xdr:rowOff>
    </xdr:from>
    <xdr:to>
      <xdr:col>54</xdr:col>
      <xdr:colOff>271094</xdr:colOff>
      <xdr:row>64</xdr:row>
      <xdr:rowOff>142219</xdr:rowOff>
    </xdr:to>
    <xdr:cxnSp macro="">
      <xdr:nvCxnSpPr>
        <xdr:cNvPr id="327" name="直線矢印コネクタ 326">
          <a:extLst>
            <a:ext uri="{FF2B5EF4-FFF2-40B4-BE49-F238E27FC236}">
              <a16:creationId xmlns:a16="http://schemas.microsoft.com/office/drawing/2014/main" id="{028E90BF-D915-4DA7-812B-A9B6A2EB30D2}"/>
            </a:ext>
          </a:extLst>
        </xdr:cNvPr>
        <xdr:cNvCxnSpPr/>
      </xdr:nvCxnSpPr>
      <xdr:spPr>
        <a:xfrm>
          <a:off x="14842054" y="15673572"/>
          <a:ext cx="556981"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53</xdr:col>
      <xdr:colOff>121</xdr:colOff>
      <xdr:row>67</xdr:row>
      <xdr:rowOff>26456</xdr:rowOff>
    </xdr:from>
    <xdr:to>
      <xdr:col>54</xdr:col>
      <xdr:colOff>276955</xdr:colOff>
      <xdr:row>67</xdr:row>
      <xdr:rowOff>26456</xdr:rowOff>
    </xdr:to>
    <xdr:cxnSp macro="">
      <xdr:nvCxnSpPr>
        <xdr:cNvPr id="328" name="直線矢印コネクタ 327">
          <a:extLst>
            <a:ext uri="{FF2B5EF4-FFF2-40B4-BE49-F238E27FC236}">
              <a16:creationId xmlns:a16="http://schemas.microsoft.com/office/drawing/2014/main" id="{2B69BCD6-A44B-4376-A754-0F3A0CC914DA}"/>
            </a:ext>
          </a:extLst>
        </xdr:cNvPr>
        <xdr:cNvCxnSpPr/>
      </xdr:nvCxnSpPr>
      <xdr:spPr>
        <a:xfrm>
          <a:off x="14847915" y="16263780"/>
          <a:ext cx="556981"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52</xdr:col>
      <xdr:colOff>43947</xdr:colOff>
      <xdr:row>106</xdr:row>
      <xdr:rowOff>42103</xdr:rowOff>
    </xdr:from>
    <xdr:to>
      <xdr:col>54</xdr:col>
      <xdr:colOff>106</xdr:colOff>
      <xdr:row>106</xdr:row>
      <xdr:rowOff>42103</xdr:rowOff>
    </xdr:to>
    <xdr:cxnSp macro="">
      <xdr:nvCxnSpPr>
        <xdr:cNvPr id="329" name="直線矢印コネクタ 328">
          <a:extLst>
            <a:ext uri="{FF2B5EF4-FFF2-40B4-BE49-F238E27FC236}">
              <a16:creationId xmlns:a16="http://schemas.microsoft.com/office/drawing/2014/main" id="{F6FA1874-97FA-4B9E-B1A3-B2BE525D01C1}"/>
            </a:ext>
          </a:extLst>
        </xdr:cNvPr>
        <xdr:cNvCxnSpPr/>
      </xdr:nvCxnSpPr>
      <xdr:spPr>
        <a:xfrm>
          <a:off x="14611594" y="25457044"/>
          <a:ext cx="516453"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46</xdr:col>
      <xdr:colOff>251356</xdr:colOff>
      <xdr:row>75</xdr:row>
      <xdr:rowOff>201706</xdr:rowOff>
    </xdr:from>
    <xdr:to>
      <xdr:col>58</xdr:col>
      <xdr:colOff>268942</xdr:colOff>
      <xdr:row>104</xdr:row>
      <xdr:rowOff>142810</xdr:rowOff>
    </xdr:to>
    <xdr:cxnSp macro="">
      <xdr:nvCxnSpPr>
        <xdr:cNvPr id="330" name="コネクタ: カギ線 329">
          <a:extLst>
            <a:ext uri="{FF2B5EF4-FFF2-40B4-BE49-F238E27FC236}">
              <a16:creationId xmlns:a16="http://schemas.microsoft.com/office/drawing/2014/main" id="{C57098B8-F90E-4CE1-B473-02F4B0C734FE}"/>
            </a:ext>
          </a:extLst>
        </xdr:cNvPr>
        <xdr:cNvCxnSpPr>
          <a:cxnSpLocks/>
          <a:endCxn id="331" idx="1"/>
        </xdr:cNvCxnSpPr>
      </xdr:nvCxnSpPr>
      <xdr:spPr>
        <a:xfrm rot="5400000">
          <a:off x="11445053" y="20014686"/>
          <a:ext cx="6765486" cy="3379350"/>
        </a:xfrm>
        <a:prstGeom prst="bentConnector4">
          <a:avLst>
            <a:gd name="adj1" fmla="val -93"/>
            <a:gd name="adj2" fmla="val 115055"/>
          </a:avLst>
        </a:prstGeom>
        <a:ln>
          <a:solidFill>
            <a:srgbClr val="00B050"/>
          </a:solidFill>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46</xdr:col>
      <xdr:colOff>251356</xdr:colOff>
      <xdr:row>104</xdr:row>
      <xdr:rowOff>21007</xdr:rowOff>
    </xdr:from>
    <xdr:to>
      <xdr:col>48</xdr:col>
      <xdr:colOff>32071</xdr:colOff>
      <xdr:row>105</xdr:row>
      <xdr:rowOff>29289</xdr:rowOff>
    </xdr:to>
    <xdr:sp macro="" textlink="">
      <xdr:nvSpPr>
        <xdr:cNvPr id="331" name="正方形/長方形 330">
          <a:extLst>
            <a:ext uri="{FF2B5EF4-FFF2-40B4-BE49-F238E27FC236}">
              <a16:creationId xmlns:a16="http://schemas.microsoft.com/office/drawing/2014/main" id="{C3819ED4-B14F-40F3-BDC0-0C4EFBC6EC56}"/>
            </a:ext>
          </a:extLst>
        </xdr:cNvPr>
        <xdr:cNvSpPr/>
      </xdr:nvSpPr>
      <xdr:spPr>
        <a:xfrm>
          <a:off x="13138121" y="24965301"/>
          <a:ext cx="341009" cy="24360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45</xdr:col>
      <xdr:colOff>201706</xdr:colOff>
      <xdr:row>102</xdr:row>
      <xdr:rowOff>200125</xdr:rowOff>
    </xdr:from>
    <xdr:to>
      <xdr:col>46</xdr:col>
      <xdr:colOff>253565</xdr:colOff>
      <xdr:row>104</xdr:row>
      <xdr:rowOff>156882</xdr:rowOff>
    </xdr:to>
    <xdr:cxnSp macro="">
      <xdr:nvCxnSpPr>
        <xdr:cNvPr id="336" name="直線コネクタ 335">
          <a:extLst>
            <a:ext uri="{FF2B5EF4-FFF2-40B4-BE49-F238E27FC236}">
              <a16:creationId xmlns:a16="http://schemas.microsoft.com/office/drawing/2014/main" id="{C78F396D-B2EB-4953-9C1B-1A88C9511507}"/>
            </a:ext>
          </a:extLst>
        </xdr:cNvPr>
        <xdr:cNvCxnSpPr/>
      </xdr:nvCxnSpPr>
      <xdr:spPr>
        <a:xfrm flipH="1">
          <a:off x="12808324" y="24203125"/>
          <a:ext cx="332006" cy="427404"/>
        </a:xfrm>
        <a:prstGeom prst="line">
          <a:avLst/>
        </a:prstGeom>
        <a:ln>
          <a:solidFill>
            <a:schemeClr val="tx1"/>
          </a:solidFill>
          <a:prstDash val="dash"/>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90513</xdr:colOff>
      <xdr:row>100</xdr:row>
      <xdr:rowOff>120915</xdr:rowOff>
    </xdr:from>
    <xdr:to>
      <xdr:col>51</xdr:col>
      <xdr:colOff>23474</xdr:colOff>
      <xdr:row>103</xdr:row>
      <xdr:rowOff>45653</xdr:rowOff>
    </xdr:to>
    <xdr:sp macro="" textlink="">
      <xdr:nvSpPr>
        <xdr:cNvPr id="337" name="正方形/長方形 336">
          <a:extLst>
            <a:ext uri="{FF2B5EF4-FFF2-40B4-BE49-F238E27FC236}">
              <a16:creationId xmlns:a16="http://schemas.microsoft.com/office/drawing/2014/main" id="{FF7B9891-326F-4DC5-B232-25D98DA1C883}"/>
            </a:ext>
          </a:extLst>
        </xdr:cNvPr>
        <xdr:cNvSpPr/>
      </xdr:nvSpPr>
      <xdr:spPr>
        <a:xfrm>
          <a:off x="12697131" y="23653268"/>
          <a:ext cx="1613843" cy="63070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ディジタル出力</a:t>
          </a:r>
          <a:endParaRPr kumimoji="1" lang="en-US" altLang="ja-JP" sz="1100">
            <a:solidFill>
              <a:schemeClr val="tx1"/>
            </a:solidFill>
          </a:endParaRPr>
        </a:p>
        <a:p>
          <a:pPr algn="ctr"/>
          <a:r>
            <a:rPr kumimoji="1" lang="ja-JP" altLang="en-US" sz="1100">
              <a:solidFill>
                <a:schemeClr val="tx1"/>
              </a:solidFill>
            </a:rPr>
            <a:t>制御信号</a:t>
          </a:r>
          <a:endParaRPr kumimoji="1" lang="en-US" altLang="ja-JP" sz="1100">
            <a:solidFill>
              <a:schemeClr val="tx1"/>
            </a:solidFill>
          </a:endParaRPr>
        </a:p>
      </xdr:txBody>
    </xdr:sp>
    <xdr:clientData/>
  </xdr:twoCellAnchor>
  <xdr:twoCellAnchor>
    <xdr:from>
      <xdr:col>59</xdr:col>
      <xdr:colOff>28098</xdr:colOff>
      <xdr:row>106</xdr:row>
      <xdr:rowOff>77258</xdr:rowOff>
    </xdr:from>
    <xdr:to>
      <xdr:col>64</xdr:col>
      <xdr:colOff>37382</xdr:colOff>
      <xdr:row>106</xdr:row>
      <xdr:rowOff>77258</xdr:rowOff>
    </xdr:to>
    <xdr:cxnSp macro="">
      <xdr:nvCxnSpPr>
        <xdr:cNvPr id="339" name="直線矢印コネクタ 338">
          <a:extLst>
            <a:ext uri="{FF2B5EF4-FFF2-40B4-BE49-F238E27FC236}">
              <a16:creationId xmlns:a16="http://schemas.microsoft.com/office/drawing/2014/main" id="{E70D4E6B-F709-42CC-B9D0-E02BB473ACDE}"/>
            </a:ext>
          </a:extLst>
        </xdr:cNvPr>
        <xdr:cNvCxnSpPr/>
      </xdr:nvCxnSpPr>
      <xdr:spPr>
        <a:xfrm>
          <a:off x="16556774" y="25492199"/>
          <a:ext cx="1410020" cy="0"/>
        </a:xfrm>
        <a:prstGeom prst="straightConnector1">
          <a:avLst/>
        </a:prstGeom>
        <a:ln>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45</xdr:col>
      <xdr:colOff>245049</xdr:colOff>
      <xdr:row>64</xdr:row>
      <xdr:rowOff>123857</xdr:rowOff>
    </xdr:from>
    <xdr:to>
      <xdr:col>47</xdr:col>
      <xdr:colOff>128952</xdr:colOff>
      <xdr:row>64</xdr:row>
      <xdr:rowOff>123857</xdr:rowOff>
    </xdr:to>
    <xdr:cxnSp macro="">
      <xdr:nvCxnSpPr>
        <xdr:cNvPr id="340" name="直線矢印コネクタ 339">
          <a:extLst>
            <a:ext uri="{FF2B5EF4-FFF2-40B4-BE49-F238E27FC236}">
              <a16:creationId xmlns:a16="http://schemas.microsoft.com/office/drawing/2014/main" id="{C697AC3E-DDB1-433D-B979-647A0F99DB7D}"/>
            </a:ext>
          </a:extLst>
        </xdr:cNvPr>
        <xdr:cNvCxnSpPr/>
      </xdr:nvCxnSpPr>
      <xdr:spPr>
        <a:xfrm>
          <a:off x="12774087" y="16081895"/>
          <a:ext cx="440750"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44</xdr:col>
      <xdr:colOff>33795</xdr:colOff>
      <xdr:row>60</xdr:row>
      <xdr:rowOff>23509</xdr:rowOff>
    </xdr:from>
    <xdr:to>
      <xdr:col>46</xdr:col>
      <xdr:colOff>182396</xdr:colOff>
      <xdr:row>63</xdr:row>
      <xdr:rowOff>198257</xdr:rowOff>
    </xdr:to>
    <xdr:cxnSp macro="">
      <xdr:nvCxnSpPr>
        <xdr:cNvPr id="342" name="コネクタ: カギ線 341">
          <a:extLst>
            <a:ext uri="{FF2B5EF4-FFF2-40B4-BE49-F238E27FC236}">
              <a16:creationId xmlns:a16="http://schemas.microsoft.com/office/drawing/2014/main" id="{3E7B06BB-E91F-4271-B99B-0D1CD8EAA7D9}"/>
            </a:ext>
          </a:extLst>
        </xdr:cNvPr>
        <xdr:cNvCxnSpPr>
          <a:stCxn id="367" idx="1"/>
          <a:endCxn id="345" idx="0"/>
        </xdr:cNvCxnSpPr>
      </xdr:nvCxnSpPr>
      <xdr:spPr>
        <a:xfrm rot="10800000" flipV="1">
          <a:off x="12360266" y="14613568"/>
          <a:ext cx="708895" cy="880718"/>
        </a:xfrm>
        <a:prstGeom prst="bentConnector2">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44</xdr:col>
      <xdr:colOff>37624</xdr:colOff>
      <xdr:row>66</xdr:row>
      <xdr:rowOff>198259</xdr:rowOff>
    </xdr:from>
    <xdr:to>
      <xdr:col>46</xdr:col>
      <xdr:colOff>252756</xdr:colOff>
      <xdr:row>106</xdr:row>
      <xdr:rowOff>41329</xdr:rowOff>
    </xdr:to>
    <xdr:cxnSp macro="">
      <xdr:nvCxnSpPr>
        <xdr:cNvPr id="343" name="コネクタ: カギ線 342">
          <a:extLst>
            <a:ext uri="{FF2B5EF4-FFF2-40B4-BE49-F238E27FC236}">
              <a16:creationId xmlns:a16="http://schemas.microsoft.com/office/drawing/2014/main" id="{7DF8D560-541E-4536-BEF8-810740B1186D}"/>
            </a:ext>
          </a:extLst>
        </xdr:cNvPr>
        <xdr:cNvCxnSpPr>
          <a:stCxn id="321" idx="1"/>
          <a:endCxn id="345" idx="2"/>
        </xdr:cNvCxnSpPr>
      </xdr:nvCxnSpPr>
      <xdr:spPr>
        <a:xfrm rot="10800000">
          <a:off x="12364095" y="16200259"/>
          <a:ext cx="775426" cy="9256011"/>
        </a:xfrm>
        <a:prstGeom prst="bentConnector2">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42</xdr:col>
      <xdr:colOff>27647</xdr:colOff>
      <xdr:row>63</xdr:row>
      <xdr:rowOff>198258</xdr:rowOff>
    </xdr:from>
    <xdr:to>
      <xdr:col>46</xdr:col>
      <xdr:colOff>47602</xdr:colOff>
      <xdr:row>66</xdr:row>
      <xdr:rowOff>198258</xdr:rowOff>
    </xdr:to>
    <xdr:sp macro="" textlink="">
      <xdr:nvSpPr>
        <xdr:cNvPr id="345" name="正方形/長方形 344">
          <a:extLst>
            <a:ext uri="{FF2B5EF4-FFF2-40B4-BE49-F238E27FC236}">
              <a16:creationId xmlns:a16="http://schemas.microsoft.com/office/drawing/2014/main" id="{FC865265-E74B-4235-8251-972B9DCD1098}"/>
            </a:ext>
          </a:extLst>
        </xdr:cNvPr>
        <xdr:cNvSpPr/>
      </xdr:nvSpPr>
      <xdr:spPr>
        <a:xfrm>
          <a:off x="11793823" y="15494287"/>
          <a:ext cx="1140544" cy="705971"/>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UDP/IP </a:t>
          </a:r>
          <a:r>
            <a:rPr kumimoji="1" lang="ja-JP" altLang="en-US" sz="1100">
              <a:solidFill>
                <a:schemeClr val="tx1"/>
              </a:solidFill>
            </a:rPr>
            <a:t>通信</a:t>
          </a:r>
          <a:endParaRPr kumimoji="1" lang="en-US" altLang="ja-JP" sz="1100">
            <a:solidFill>
              <a:schemeClr val="tx1"/>
            </a:solidFill>
          </a:endParaRPr>
        </a:p>
        <a:p>
          <a:pPr algn="ctr"/>
          <a:r>
            <a:rPr kumimoji="1" lang="ja-JP" altLang="en-US" sz="1100">
              <a:solidFill>
                <a:schemeClr val="tx1"/>
              </a:solidFill>
            </a:rPr>
            <a:t>コントローラ</a:t>
          </a:r>
        </a:p>
      </xdr:txBody>
    </xdr:sp>
    <xdr:clientData/>
  </xdr:twoCellAnchor>
  <xdr:twoCellAnchor>
    <xdr:from>
      <xdr:col>45</xdr:col>
      <xdr:colOff>46138</xdr:colOff>
      <xdr:row>61</xdr:row>
      <xdr:rowOff>124398</xdr:rowOff>
    </xdr:from>
    <xdr:to>
      <xdr:col>49</xdr:col>
      <xdr:colOff>130205</xdr:colOff>
      <xdr:row>63</xdr:row>
      <xdr:rowOff>1482</xdr:rowOff>
    </xdr:to>
    <xdr:sp macro="" textlink="">
      <xdr:nvSpPr>
        <xdr:cNvPr id="346" name="正方形/長方形 345">
          <a:extLst>
            <a:ext uri="{FF2B5EF4-FFF2-40B4-BE49-F238E27FC236}">
              <a16:creationId xmlns:a16="http://schemas.microsoft.com/office/drawing/2014/main" id="{7CB394D3-B1A0-4040-9424-60F4A62E6EE0}"/>
            </a:ext>
          </a:extLst>
        </xdr:cNvPr>
        <xdr:cNvSpPr/>
      </xdr:nvSpPr>
      <xdr:spPr>
        <a:xfrm>
          <a:off x="12575176" y="15357071"/>
          <a:ext cx="1197760" cy="36066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波形データ</a:t>
          </a:r>
        </a:p>
      </xdr:txBody>
    </xdr:sp>
    <xdr:clientData/>
  </xdr:twoCellAnchor>
  <xdr:twoCellAnchor>
    <xdr:from>
      <xdr:col>46</xdr:col>
      <xdr:colOff>249365</xdr:colOff>
      <xdr:row>62</xdr:row>
      <xdr:rowOff>205153</xdr:rowOff>
    </xdr:from>
    <xdr:to>
      <xdr:col>47</xdr:col>
      <xdr:colOff>3512</xdr:colOff>
      <xdr:row>64</xdr:row>
      <xdr:rowOff>109745</xdr:rowOff>
    </xdr:to>
    <xdr:cxnSp macro="">
      <xdr:nvCxnSpPr>
        <xdr:cNvPr id="347" name="直線コネクタ 346">
          <a:extLst>
            <a:ext uri="{FF2B5EF4-FFF2-40B4-BE49-F238E27FC236}">
              <a16:creationId xmlns:a16="http://schemas.microsoft.com/office/drawing/2014/main" id="{AF13B798-3429-4B80-B02C-C0545772AD96}"/>
            </a:ext>
          </a:extLst>
        </xdr:cNvPr>
        <xdr:cNvCxnSpPr/>
      </xdr:nvCxnSpPr>
      <xdr:spPr>
        <a:xfrm flipH="1">
          <a:off x="13056827" y="15679615"/>
          <a:ext cx="32570" cy="388168"/>
        </a:xfrm>
        <a:prstGeom prst="line">
          <a:avLst/>
        </a:prstGeom>
        <a:ln>
          <a:solidFill>
            <a:schemeClr val="tx1"/>
          </a:solidFill>
          <a:prstDash val="dash"/>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31</xdr:col>
      <xdr:colOff>243167</xdr:colOff>
      <xdr:row>62</xdr:row>
      <xdr:rowOff>32858</xdr:rowOff>
    </xdr:from>
    <xdr:to>
      <xdr:col>36</xdr:col>
      <xdr:colOff>141291</xdr:colOff>
      <xdr:row>67</xdr:row>
      <xdr:rowOff>90007</xdr:rowOff>
    </xdr:to>
    <xdr:pic>
      <xdr:nvPicPr>
        <xdr:cNvPr id="348" name="グラフィックス 347" descr="コンピューター 単色塗りつぶし">
          <a:extLst>
            <a:ext uri="{FF2B5EF4-FFF2-40B4-BE49-F238E27FC236}">
              <a16:creationId xmlns:a16="http://schemas.microsoft.com/office/drawing/2014/main" id="{950686E5-90CE-42B0-B8DA-685A1E2AE391}"/>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8806142" y="15272858"/>
          <a:ext cx="1279249" cy="1247775"/>
        </a:xfrm>
        <a:prstGeom prst="rect">
          <a:avLst/>
        </a:prstGeom>
      </xdr:spPr>
    </xdr:pic>
    <xdr:clientData/>
  </xdr:twoCellAnchor>
  <xdr:twoCellAnchor>
    <xdr:from>
      <xdr:col>36</xdr:col>
      <xdr:colOff>75902</xdr:colOff>
      <xdr:row>50</xdr:row>
      <xdr:rowOff>186670</xdr:rowOff>
    </xdr:from>
    <xdr:to>
      <xdr:col>40</xdr:col>
      <xdr:colOff>274459</xdr:colOff>
      <xdr:row>52</xdr:row>
      <xdr:rowOff>223216</xdr:rowOff>
    </xdr:to>
    <xdr:sp macro="" textlink="">
      <xdr:nvSpPr>
        <xdr:cNvPr id="349" name="正方形/長方形 348">
          <a:extLst>
            <a:ext uri="{FF2B5EF4-FFF2-40B4-BE49-F238E27FC236}">
              <a16:creationId xmlns:a16="http://schemas.microsoft.com/office/drawing/2014/main" id="{9D8943B5-4C12-4C82-B9E4-1B883468E4D0}"/>
            </a:ext>
          </a:extLst>
        </xdr:cNvPr>
        <xdr:cNvSpPr/>
      </xdr:nvSpPr>
      <xdr:spPr>
        <a:xfrm>
          <a:off x="10161196" y="12423494"/>
          <a:ext cx="1319145" cy="50719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10/100/1000 Mb </a:t>
          </a:r>
        </a:p>
        <a:p>
          <a:pPr algn="ctr"/>
          <a:r>
            <a:rPr kumimoji="1" lang="en-US" altLang="ja-JP" sz="1100">
              <a:solidFill>
                <a:schemeClr val="tx1"/>
              </a:solidFill>
            </a:rPr>
            <a:t>Ethernet</a:t>
          </a:r>
          <a:endParaRPr kumimoji="1" lang="ja-JP" altLang="en-US" sz="1100">
            <a:solidFill>
              <a:schemeClr val="tx1"/>
            </a:solidFill>
          </a:endParaRPr>
        </a:p>
      </xdr:txBody>
    </xdr:sp>
    <xdr:clientData/>
  </xdr:twoCellAnchor>
  <xdr:twoCellAnchor>
    <xdr:from>
      <xdr:col>31</xdr:col>
      <xdr:colOff>228770</xdr:colOff>
      <xdr:row>60</xdr:row>
      <xdr:rowOff>15051</xdr:rowOff>
    </xdr:from>
    <xdr:to>
      <xdr:col>35</xdr:col>
      <xdr:colOff>51102</xdr:colOff>
      <xdr:row>62</xdr:row>
      <xdr:rowOff>159858</xdr:rowOff>
    </xdr:to>
    <xdr:sp macro="" textlink="">
      <xdr:nvSpPr>
        <xdr:cNvPr id="350" name="正方形/長方形 349">
          <a:extLst>
            <a:ext uri="{FF2B5EF4-FFF2-40B4-BE49-F238E27FC236}">
              <a16:creationId xmlns:a16="http://schemas.microsoft.com/office/drawing/2014/main" id="{A9AA3C96-E788-4256-B3C9-9D10D5DC572A}"/>
            </a:ext>
          </a:extLst>
        </xdr:cNvPr>
        <xdr:cNvSpPr/>
      </xdr:nvSpPr>
      <xdr:spPr>
        <a:xfrm>
          <a:off x="8665199" y="14710765"/>
          <a:ext cx="910903" cy="63466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a:solidFill>
                <a:schemeClr val="tx1"/>
              </a:solidFill>
            </a:rPr>
            <a:t>Python</a:t>
          </a:r>
        </a:p>
        <a:p>
          <a:pPr algn="ctr"/>
          <a:r>
            <a:rPr kumimoji="1" lang="ja-JP" altLang="en-US" sz="1050">
              <a:solidFill>
                <a:schemeClr val="tx1"/>
              </a:solidFill>
            </a:rPr>
            <a:t>プログラム</a:t>
          </a:r>
        </a:p>
      </xdr:txBody>
    </xdr:sp>
    <xdr:clientData/>
  </xdr:twoCellAnchor>
  <xdr:twoCellAnchor>
    <xdr:from>
      <xdr:col>53</xdr:col>
      <xdr:colOff>3053</xdr:colOff>
      <xdr:row>71</xdr:row>
      <xdr:rowOff>208894</xdr:rowOff>
    </xdr:from>
    <xdr:to>
      <xdr:col>54</xdr:col>
      <xdr:colOff>279887</xdr:colOff>
      <xdr:row>71</xdr:row>
      <xdr:rowOff>208894</xdr:rowOff>
    </xdr:to>
    <xdr:cxnSp macro="">
      <xdr:nvCxnSpPr>
        <xdr:cNvPr id="351" name="直線矢印コネクタ 350">
          <a:extLst>
            <a:ext uri="{FF2B5EF4-FFF2-40B4-BE49-F238E27FC236}">
              <a16:creationId xmlns:a16="http://schemas.microsoft.com/office/drawing/2014/main" id="{B483106F-762D-4800-B7A0-422CFDD31111}"/>
            </a:ext>
          </a:extLst>
        </xdr:cNvPr>
        <xdr:cNvCxnSpPr/>
      </xdr:nvCxnSpPr>
      <xdr:spPr>
        <a:xfrm>
          <a:off x="14850847" y="17387512"/>
          <a:ext cx="556981"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43</xdr:col>
      <xdr:colOff>257239</xdr:colOff>
      <xdr:row>56</xdr:row>
      <xdr:rowOff>97735</xdr:rowOff>
    </xdr:from>
    <xdr:to>
      <xdr:col>44</xdr:col>
      <xdr:colOff>239681</xdr:colOff>
      <xdr:row>57</xdr:row>
      <xdr:rowOff>228309</xdr:rowOff>
    </xdr:to>
    <xdr:cxnSp macro="">
      <xdr:nvCxnSpPr>
        <xdr:cNvPr id="352" name="直線コネクタ 351">
          <a:extLst>
            <a:ext uri="{FF2B5EF4-FFF2-40B4-BE49-F238E27FC236}">
              <a16:creationId xmlns:a16="http://schemas.microsoft.com/office/drawing/2014/main" id="{DB582180-B680-4AB2-A6D2-097C55B98503}"/>
            </a:ext>
          </a:extLst>
        </xdr:cNvPr>
        <xdr:cNvCxnSpPr/>
      </xdr:nvCxnSpPr>
      <xdr:spPr>
        <a:xfrm flipV="1">
          <a:off x="12303563" y="13746500"/>
          <a:ext cx="262589" cy="365897"/>
        </a:xfrm>
        <a:prstGeom prst="line">
          <a:avLst/>
        </a:prstGeom>
        <a:ln>
          <a:solidFill>
            <a:schemeClr val="tx1"/>
          </a:solidFill>
          <a:prstDash val="dash"/>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42</xdr:col>
      <xdr:colOff>129394</xdr:colOff>
      <xdr:row>55</xdr:row>
      <xdr:rowOff>53082</xdr:rowOff>
    </xdr:from>
    <xdr:to>
      <xdr:col>48</xdr:col>
      <xdr:colOff>48093</xdr:colOff>
      <xdr:row>56</xdr:row>
      <xdr:rowOff>156835</xdr:rowOff>
    </xdr:to>
    <xdr:sp macro="" textlink="">
      <xdr:nvSpPr>
        <xdr:cNvPr id="353" name="正方形/長方形 352">
          <a:extLst>
            <a:ext uri="{FF2B5EF4-FFF2-40B4-BE49-F238E27FC236}">
              <a16:creationId xmlns:a16="http://schemas.microsoft.com/office/drawing/2014/main" id="{DDC0DBAF-EA6B-43CB-B10A-10D22E3CBA32}"/>
            </a:ext>
          </a:extLst>
        </xdr:cNvPr>
        <xdr:cNvSpPr/>
      </xdr:nvSpPr>
      <xdr:spPr>
        <a:xfrm>
          <a:off x="11895570" y="13466523"/>
          <a:ext cx="1599582" cy="33907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外部スタートトリガ</a:t>
          </a:r>
        </a:p>
      </xdr:txBody>
    </xdr:sp>
    <xdr:clientData/>
  </xdr:twoCellAnchor>
  <xdr:twoCellAnchor>
    <xdr:from>
      <xdr:col>42</xdr:col>
      <xdr:colOff>201583</xdr:colOff>
      <xdr:row>58</xdr:row>
      <xdr:rowOff>1658</xdr:rowOff>
    </xdr:from>
    <xdr:to>
      <xdr:col>46</xdr:col>
      <xdr:colOff>147185</xdr:colOff>
      <xdr:row>58</xdr:row>
      <xdr:rowOff>1658</xdr:rowOff>
    </xdr:to>
    <xdr:cxnSp macro="">
      <xdr:nvCxnSpPr>
        <xdr:cNvPr id="354" name="直線矢印コネクタ 353">
          <a:extLst>
            <a:ext uri="{FF2B5EF4-FFF2-40B4-BE49-F238E27FC236}">
              <a16:creationId xmlns:a16="http://schemas.microsoft.com/office/drawing/2014/main" id="{65315BC7-873A-42E6-B3BD-BB480E1271C6}"/>
            </a:ext>
          </a:extLst>
        </xdr:cNvPr>
        <xdr:cNvCxnSpPr/>
      </xdr:nvCxnSpPr>
      <xdr:spPr>
        <a:xfrm flipH="1">
          <a:off x="11967759" y="14121070"/>
          <a:ext cx="1066191" cy="0"/>
        </a:xfrm>
        <a:prstGeom prst="straightConnector1">
          <a:avLst/>
        </a:prstGeom>
        <a:ln>
          <a:headEnd type="triangle" w="sm" len="med"/>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36</xdr:col>
      <xdr:colOff>194403</xdr:colOff>
      <xdr:row>65</xdr:row>
      <xdr:rowOff>32986</xdr:rowOff>
    </xdr:from>
    <xdr:to>
      <xdr:col>41</xdr:col>
      <xdr:colOff>169890</xdr:colOff>
      <xdr:row>69</xdr:row>
      <xdr:rowOff>19050</xdr:rowOff>
    </xdr:to>
    <xdr:sp macro="" textlink="">
      <xdr:nvSpPr>
        <xdr:cNvPr id="355" name="正方形/長方形 354">
          <a:extLst>
            <a:ext uri="{FF2B5EF4-FFF2-40B4-BE49-F238E27FC236}">
              <a16:creationId xmlns:a16="http://schemas.microsoft.com/office/drawing/2014/main" id="{34909BE7-D1CF-4941-B14D-B11B376B48F0}"/>
            </a:ext>
          </a:extLst>
        </xdr:cNvPr>
        <xdr:cNvSpPr/>
      </xdr:nvSpPr>
      <xdr:spPr>
        <a:xfrm>
          <a:off x="10138503" y="15987361"/>
          <a:ext cx="1356612" cy="93856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100">
              <a:solidFill>
                <a:schemeClr val="tx1"/>
              </a:solidFill>
            </a:rPr>
            <a:t>波形データ</a:t>
          </a:r>
          <a:endParaRPr kumimoji="1" lang="en-US" altLang="ja-JP" sz="1100">
            <a:solidFill>
              <a:schemeClr val="tx1"/>
            </a:solidFill>
          </a:endParaRPr>
        </a:p>
        <a:p>
          <a:pPr algn="l"/>
          <a:r>
            <a:rPr kumimoji="1" lang="ja-JP" altLang="en-US" sz="1100">
              <a:solidFill>
                <a:schemeClr val="tx1"/>
              </a:solidFill>
            </a:rPr>
            <a:t>キャプチャデータ</a:t>
          </a:r>
          <a:endParaRPr kumimoji="1" lang="en-US" altLang="ja-JP" sz="1100">
            <a:solidFill>
              <a:schemeClr val="tx1"/>
            </a:solidFill>
          </a:endParaRPr>
        </a:p>
        <a:p>
          <a:pPr algn="l"/>
          <a:r>
            <a:rPr kumimoji="1" lang="ja-JP" altLang="en-US" sz="1100">
              <a:solidFill>
                <a:schemeClr val="tx1"/>
              </a:solidFill>
            </a:rPr>
            <a:t>制御レジスタ値</a:t>
          </a:r>
          <a:endParaRPr kumimoji="1" lang="en-US" altLang="ja-JP" sz="1100">
            <a:solidFill>
              <a:schemeClr val="tx1"/>
            </a:solidFill>
          </a:endParaRPr>
        </a:p>
      </xdr:txBody>
    </xdr:sp>
    <xdr:clientData/>
  </xdr:twoCellAnchor>
  <xdr:twoCellAnchor>
    <xdr:from>
      <xdr:col>51</xdr:col>
      <xdr:colOff>90482</xdr:colOff>
      <xdr:row>68</xdr:row>
      <xdr:rowOff>185880</xdr:rowOff>
    </xdr:from>
    <xdr:to>
      <xdr:col>54</xdr:col>
      <xdr:colOff>41522</xdr:colOff>
      <xdr:row>68</xdr:row>
      <xdr:rowOff>185880</xdr:rowOff>
    </xdr:to>
    <xdr:cxnSp macro="">
      <xdr:nvCxnSpPr>
        <xdr:cNvPr id="356" name="直線矢印コネクタ 355">
          <a:extLst>
            <a:ext uri="{FF2B5EF4-FFF2-40B4-BE49-F238E27FC236}">
              <a16:creationId xmlns:a16="http://schemas.microsoft.com/office/drawing/2014/main" id="{2A93A570-EF86-4CD3-BD11-72D8971CE34B}"/>
            </a:ext>
          </a:extLst>
        </xdr:cNvPr>
        <xdr:cNvCxnSpPr/>
      </xdr:nvCxnSpPr>
      <xdr:spPr>
        <a:xfrm>
          <a:off x="14377982" y="16658527"/>
          <a:ext cx="791481"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49</xdr:col>
      <xdr:colOff>202413</xdr:colOff>
      <xdr:row>66</xdr:row>
      <xdr:rowOff>93593</xdr:rowOff>
    </xdr:from>
    <xdr:to>
      <xdr:col>49</xdr:col>
      <xdr:colOff>202413</xdr:colOff>
      <xdr:row>67</xdr:row>
      <xdr:rowOff>161096</xdr:rowOff>
    </xdr:to>
    <xdr:cxnSp macro="">
      <xdr:nvCxnSpPr>
        <xdr:cNvPr id="357" name="直線矢印コネクタ 356">
          <a:extLst>
            <a:ext uri="{FF2B5EF4-FFF2-40B4-BE49-F238E27FC236}">
              <a16:creationId xmlns:a16="http://schemas.microsoft.com/office/drawing/2014/main" id="{A52FEA40-7C71-4B86-AAE8-843EE33E327B}"/>
            </a:ext>
          </a:extLst>
        </xdr:cNvPr>
        <xdr:cNvCxnSpPr/>
      </xdr:nvCxnSpPr>
      <xdr:spPr>
        <a:xfrm>
          <a:off x="13929619" y="16095593"/>
          <a:ext cx="0" cy="302827"/>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47</xdr:col>
      <xdr:colOff>129468</xdr:colOff>
      <xdr:row>63</xdr:row>
      <xdr:rowOff>217417</xdr:rowOff>
    </xdr:from>
    <xdr:to>
      <xdr:col>52</xdr:col>
      <xdr:colOff>102587</xdr:colOff>
      <xdr:row>66</xdr:row>
      <xdr:rowOff>144456</xdr:rowOff>
    </xdr:to>
    <xdr:sp macro="" textlink="">
      <xdr:nvSpPr>
        <xdr:cNvPr id="358" name="正方形/長方形 357">
          <a:extLst>
            <a:ext uri="{FF2B5EF4-FFF2-40B4-BE49-F238E27FC236}">
              <a16:creationId xmlns:a16="http://schemas.microsoft.com/office/drawing/2014/main" id="{7F21667B-6170-45CC-BB0B-3CEE79E6AF0E}"/>
            </a:ext>
          </a:extLst>
        </xdr:cNvPr>
        <xdr:cNvSpPr/>
      </xdr:nvSpPr>
      <xdr:spPr>
        <a:xfrm>
          <a:off x="13296380" y="15513446"/>
          <a:ext cx="1373854" cy="633010"/>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メモリアクセス</a:t>
          </a:r>
          <a:endParaRPr kumimoji="1" lang="en-US" altLang="ja-JP" sz="1100">
            <a:solidFill>
              <a:schemeClr val="tx1"/>
            </a:solidFill>
          </a:endParaRPr>
        </a:p>
        <a:p>
          <a:pPr algn="ctr"/>
          <a:r>
            <a:rPr kumimoji="1" lang="ja-JP" altLang="en-US" sz="1100">
              <a:solidFill>
                <a:schemeClr val="tx1"/>
              </a:solidFill>
            </a:rPr>
            <a:t>コントローラ</a:t>
          </a:r>
        </a:p>
      </xdr:txBody>
    </xdr:sp>
    <xdr:clientData/>
  </xdr:twoCellAnchor>
  <xdr:twoCellAnchor>
    <xdr:from>
      <xdr:col>36</xdr:col>
      <xdr:colOff>159556</xdr:colOff>
      <xdr:row>63</xdr:row>
      <xdr:rowOff>5696</xdr:rowOff>
    </xdr:from>
    <xdr:to>
      <xdr:col>40</xdr:col>
      <xdr:colOff>250494</xdr:colOff>
      <xdr:row>66</xdr:row>
      <xdr:rowOff>23897</xdr:rowOff>
    </xdr:to>
    <xdr:sp macro="" textlink="">
      <xdr:nvSpPr>
        <xdr:cNvPr id="359" name="正方形/長方形 358">
          <a:extLst>
            <a:ext uri="{FF2B5EF4-FFF2-40B4-BE49-F238E27FC236}">
              <a16:creationId xmlns:a16="http://schemas.microsoft.com/office/drawing/2014/main" id="{763B5D92-F4EA-49D7-B704-9291BBCA8667}"/>
            </a:ext>
          </a:extLst>
        </xdr:cNvPr>
        <xdr:cNvSpPr/>
      </xdr:nvSpPr>
      <xdr:spPr>
        <a:xfrm>
          <a:off x="10103656" y="15483821"/>
          <a:ext cx="1195838" cy="73257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10 Gb </a:t>
          </a:r>
        </a:p>
        <a:p>
          <a:pPr algn="ctr"/>
          <a:r>
            <a:rPr kumimoji="1" lang="en-US" altLang="ja-JP" sz="1100">
              <a:solidFill>
                <a:schemeClr val="tx1"/>
              </a:solidFill>
            </a:rPr>
            <a:t>Ethernet</a:t>
          </a:r>
          <a:endParaRPr kumimoji="1" lang="ja-JP" altLang="en-US" sz="1100">
            <a:solidFill>
              <a:schemeClr val="tx1"/>
            </a:solidFill>
          </a:endParaRPr>
        </a:p>
      </xdr:txBody>
    </xdr:sp>
    <xdr:clientData/>
  </xdr:twoCellAnchor>
  <xdr:twoCellAnchor>
    <xdr:from>
      <xdr:col>36</xdr:col>
      <xdr:colOff>114300</xdr:colOff>
      <xdr:row>65</xdr:row>
      <xdr:rowOff>102591</xdr:rowOff>
    </xdr:from>
    <xdr:to>
      <xdr:col>42</xdr:col>
      <xdr:colOff>3279</xdr:colOff>
      <xdr:row>65</xdr:row>
      <xdr:rowOff>102591</xdr:rowOff>
    </xdr:to>
    <xdr:cxnSp macro="">
      <xdr:nvCxnSpPr>
        <xdr:cNvPr id="360" name="直線矢印コネクタ 359">
          <a:extLst>
            <a:ext uri="{FF2B5EF4-FFF2-40B4-BE49-F238E27FC236}">
              <a16:creationId xmlns:a16="http://schemas.microsoft.com/office/drawing/2014/main" id="{911301F1-109A-43BD-898A-FDFDF14E1229}"/>
            </a:ext>
          </a:extLst>
        </xdr:cNvPr>
        <xdr:cNvCxnSpPr/>
      </xdr:nvCxnSpPr>
      <xdr:spPr>
        <a:xfrm>
          <a:off x="10058400" y="16056966"/>
          <a:ext cx="1546329"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39</xdr:col>
      <xdr:colOff>192781</xdr:colOff>
      <xdr:row>56</xdr:row>
      <xdr:rowOff>218367</xdr:rowOff>
    </xdr:from>
    <xdr:to>
      <xdr:col>42</xdr:col>
      <xdr:colOff>234715</xdr:colOff>
      <xdr:row>59</xdr:row>
      <xdr:rowOff>17395</xdr:rowOff>
    </xdr:to>
    <xdr:sp macro="" textlink="">
      <xdr:nvSpPr>
        <xdr:cNvPr id="361" name="正方形/長方形 360">
          <a:extLst>
            <a:ext uri="{FF2B5EF4-FFF2-40B4-BE49-F238E27FC236}">
              <a16:creationId xmlns:a16="http://schemas.microsoft.com/office/drawing/2014/main" id="{529B3FA4-EAEF-4A0E-BDB9-5941A3392DF9}"/>
            </a:ext>
          </a:extLst>
        </xdr:cNvPr>
        <xdr:cNvSpPr/>
      </xdr:nvSpPr>
      <xdr:spPr>
        <a:xfrm>
          <a:off x="11118516" y="13867132"/>
          <a:ext cx="882375" cy="504998"/>
        </a:xfrm>
        <a:prstGeom prst="rect">
          <a:avLst/>
        </a:prstGeom>
        <a:solidFill>
          <a:schemeClr val="accent6">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PMOD</a:t>
          </a:r>
          <a:r>
            <a:rPr kumimoji="1" lang="en-US" altLang="ja-JP" sz="1100" baseline="0">
              <a:solidFill>
                <a:schemeClr val="tx1"/>
              </a:solidFill>
            </a:rPr>
            <a:t> 1</a:t>
          </a:r>
          <a:endParaRPr kumimoji="1" lang="ja-JP" altLang="en-US" sz="1100">
            <a:solidFill>
              <a:schemeClr val="tx1"/>
            </a:solidFill>
          </a:endParaRPr>
        </a:p>
      </xdr:txBody>
    </xdr:sp>
    <xdr:clientData/>
  </xdr:twoCellAnchor>
  <xdr:twoCellAnchor>
    <xdr:from>
      <xdr:col>64</xdr:col>
      <xdr:colOff>47627</xdr:colOff>
      <xdr:row>105</xdr:row>
      <xdr:rowOff>34988</xdr:rowOff>
    </xdr:from>
    <xdr:to>
      <xdr:col>67</xdr:col>
      <xdr:colOff>89562</xdr:colOff>
      <xdr:row>107</xdr:row>
      <xdr:rowOff>72141</xdr:rowOff>
    </xdr:to>
    <xdr:sp macro="" textlink="">
      <xdr:nvSpPr>
        <xdr:cNvPr id="362" name="正方形/長方形 361">
          <a:extLst>
            <a:ext uri="{FF2B5EF4-FFF2-40B4-BE49-F238E27FC236}">
              <a16:creationId xmlns:a16="http://schemas.microsoft.com/office/drawing/2014/main" id="{037009B1-34B6-4A81-BBA3-0DED0FC4C1E9}"/>
            </a:ext>
          </a:extLst>
        </xdr:cNvPr>
        <xdr:cNvSpPr/>
      </xdr:nvSpPr>
      <xdr:spPr>
        <a:xfrm>
          <a:off x="17977039" y="25214606"/>
          <a:ext cx="882376" cy="507800"/>
        </a:xfrm>
        <a:prstGeom prst="rect">
          <a:avLst/>
        </a:prstGeom>
        <a:solidFill>
          <a:schemeClr val="accent6">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PMOD</a:t>
          </a:r>
          <a:r>
            <a:rPr kumimoji="1" lang="en-US" altLang="ja-JP" sz="1100" baseline="0">
              <a:solidFill>
                <a:schemeClr val="tx1"/>
              </a:solidFill>
            </a:rPr>
            <a:t> 0</a:t>
          </a:r>
          <a:endParaRPr kumimoji="1" lang="ja-JP" altLang="en-US" sz="1100">
            <a:solidFill>
              <a:schemeClr val="tx1"/>
            </a:solidFill>
          </a:endParaRPr>
        </a:p>
      </xdr:txBody>
    </xdr:sp>
    <xdr:clientData/>
  </xdr:twoCellAnchor>
  <xdr:twoCellAnchor>
    <xdr:from>
      <xdr:col>43</xdr:col>
      <xdr:colOff>105646</xdr:colOff>
      <xdr:row>51</xdr:row>
      <xdr:rowOff>112240</xdr:rowOff>
    </xdr:from>
    <xdr:to>
      <xdr:col>46</xdr:col>
      <xdr:colOff>128772</xdr:colOff>
      <xdr:row>53</xdr:row>
      <xdr:rowOff>195315</xdr:rowOff>
    </xdr:to>
    <xdr:sp macro="" textlink="">
      <xdr:nvSpPr>
        <xdr:cNvPr id="363" name="正方形/長方形 362">
          <a:extLst>
            <a:ext uri="{FF2B5EF4-FFF2-40B4-BE49-F238E27FC236}">
              <a16:creationId xmlns:a16="http://schemas.microsoft.com/office/drawing/2014/main" id="{A5A2A7B0-9F4D-4DB0-9A0E-CA2F0A19DA07}"/>
            </a:ext>
          </a:extLst>
        </xdr:cNvPr>
        <xdr:cNvSpPr/>
      </xdr:nvSpPr>
      <xdr:spPr>
        <a:xfrm>
          <a:off x="12151970" y="12584387"/>
          <a:ext cx="863567" cy="553722"/>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CPU</a:t>
          </a:r>
          <a:endParaRPr kumimoji="1" lang="ja-JP" altLang="en-US" sz="1200">
            <a:solidFill>
              <a:schemeClr val="tx1"/>
            </a:solidFill>
          </a:endParaRPr>
        </a:p>
      </xdr:txBody>
    </xdr:sp>
    <xdr:clientData/>
  </xdr:twoCellAnchor>
  <xdr:twoCellAnchor>
    <xdr:from>
      <xdr:col>35</xdr:col>
      <xdr:colOff>190501</xdr:colOff>
      <xdr:row>52</xdr:row>
      <xdr:rowOff>153778</xdr:rowOff>
    </xdr:from>
    <xdr:to>
      <xdr:col>43</xdr:col>
      <xdr:colOff>105647</xdr:colOff>
      <xdr:row>63</xdr:row>
      <xdr:rowOff>38100</xdr:rowOff>
    </xdr:to>
    <xdr:cxnSp macro="">
      <xdr:nvCxnSpPr>
        <xdr:cNvPr id="364" name="コネクタ: カギ線 363">
          <a:extLst>
            <a:ext uri="{FF2B5EF4-FFF2-40B4-BE49-F238E27FC236}">
              <a16:creationId xmlns:a16="http://schemas.microsoft.com/office/drawing/2014/main" id="{A76A8DAF-5C27-4111-AA74-06B6DD22F622}"/>
            </a:ext>
          </a:extLst>
        </xdr:cNvPr>
        <xdr:cNvCxnSpPr>
          <a:endCxn id="363" idx="1"/>
        </xdr:cNvCxnSpPr>
      </xdr:nvCxnSpPr>
      <xdr:spPr>
        <a:xfrm rot="5400000" flipH="1" flipV="1">
          <a:off x="9669000" y="13201904"/>
          <a:ext cx="2503697" cy="2124946"/>
        </a:xfrm>
        <a:prstGeom prst="bentConnector2">
          <a:avLst/>
        </a:prstGeom>
        <a:ln>
          <a:solidFill>
            <a:schemeClr val="tx1"/>
          </a:solidFill>
          <a:headEnd type="triangle" w="sm" len="med"/>
          <a:tailEnd type="triangle"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36</xdr:col>
      <xdr:colOff>154853</xdr:colOff>
      <xdr:row>52</xdr:row>
      <xdr:rowOff>160125</xdr:rowOff>
    </xdr:from>
    <xdr:to>
      <xdr:col>41</xdr:col>
      <xdr:colOff>138001</xdr:colOff>
      <xdr:row>55</xdr:row>
      <xdr:rowOff>113058</xdr:rowOff>
    </xdr:to>
    <xdr:sp macro="" textlink="">
      <xdr:nvSpPr>
        <xdr:cNvPr id="365" name="正方形/長方形 364">
          <a:extLst>
            <a:ext uri="{FF2B5EF4-FFF2-40B4-BE49-F238E27FC236}">
              <a16:creationId xmlns:a16="http://schemas.microsoft.com/office/drawing/2014/main" id="{F42A2BDE-B788-4089-A13F-74AC3A060C1A}"/>
            </a:ext>
          </a:extLst>
        </xdr:cNvPr>
        <xdr:cNvSpPr/>
      </xdr:nvSpPr>
      <xdr:spPr>
        <a:xfrm>
          <a:off x="10240147" y="12867596"/>
          <a:ext cx="1383883" cy="65890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RF</a:t>
          </a:r>
          <a:r>
            <a:rPr kumimoji="1" lang="en-US" altLang="ja-JP" sz="1100" baseline="0">
              <a:solidFill>
                <a:schemeClr val="tx1"/>
              </a:solidFill>
            </a:rPr>
            <a:t> Data Converter</a:t>
          </a:r>
        </a:p>
        <a:p>
          <a:pPr algn="ctr"/>
          <a:r>
            <a:rPr kumimoji="1" lang="ja-JP" altLang="en-US" sz="1100" baseline="0">
              <a:solidFill>
                <a:schemeClr val="tx1"/>
              </a:solidFill>
            </a:rPr>
            <a:t>制御コマンド</a:t>
          </a:r>
          <a:endParaRPr kumimoji="1" lang="en-US" altLang="ja-JP" sz="1100">
            <a:solidFill>
              <a:schemeClr val="tx1"/>
            </a:solidFill>
          </a:endParaRPr>
        </a:p>
      </xdr:txBody>
    </xdr:sp>
    <xdr:clientData/>
  </xdr:twoCellAnchor>
  <xdr:twoCellAnchor>
    <xdr:from>
      <xdr:col>46</xdr:col>
      <xdr:colOff>125177</xdr:colOff>
      <xdr:row>52</xdr:row>
      <xdr:rowOff>173823</xdr:rowOff>
    </xdr:from>
    <xdr:to>
      <xdr:col>59</xdr:col>
      <xdr:colOff>203033</xdr:colOff>
      <xdr:row>52</xdr:row>
      <xdr:rowOff>173823</xdr:rowOff>
    </xdr:to>
    <xdr:cxnSp macro="">
      <xdr:nvCxnSpPr>
        <xdr:cNvPr id="366" name="直線矢印コネクタ 365">
          <a:extLst>
            <a:ext uri="{FF2B5EF4-FFF2-40B4-BE49-F238E27FC236}">
              <a16:creationId xmlns:a16="http://schemas.microsoft.com/office/drawing/2014/main" id="{3FE33C4C-D61A-4561-A181-78C8528DDD1D}"/>
            </a:ext>
          </a:extLst>
        </xdr:cNvPr>
        <xdr:cNvCxnSpPr/>
      </xdr:nvCxnSpPr>
      <xdr:spPr>
        <a:xfrm>
          <a:off x="13011942" y="12881294"/>
          <a:ext cx="3719767"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46</xdr:col>
      <xdr:colOff>182395</xdr:colOff>
      <xdr:row>59</xdr:row>
      <xdr:rowOff>101461</xdr:rowOff>
    </xdr:from>
    <xdr:to>
      <xdr:col>47</xdr:col>
      <xdr:colOff>222289</xdr:colOff>
      <xdr:row>60</xdr:row>
      <xdr:rowOff>191138</xdr:rowOff>
    </xdr:to>
    <xdr:sp macro="" textlink="">
      <xdr:nvSpPr>
        <xdr:cNvPr id="367" name="正方形/長方形 366">
          <a:extLst>
            <a:ext uri="{FF2B5EF4-FFF2-40B4-BE49-F238E27FC236}">
              <a16:creationId xmlns:a16="http://schemas.microsoft.com/office/drawing/2014/main" id="{4A265517-0160-48C3-BF03-BD7E15ED24F7}"/>
            </a:ext>
          </a:extLst>
        </xdr:cNvPr>
        <xdr:cNvSpPr/>
      </xdr:nvSpPr>
      <xdr:spPr>
        <a:xfrm>
          <a:off x="13069160" y="14456196"/>
          <a:ext cx="320041" cy="32500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ja-JP" altLang="en-US" sz="1100">
            <a:solidFill>
              <a:schemeClr val="tx1"/>
            </a:solidFill>
          </a:endParaRPr>
        </a:p>
      </xdr:txBody>
    </xdr:sp>
    <xdr:clientData/>
  </xdr:twoCellAnchor>
  <xdr:twoCellAnchor>
    <xdr:from>
      <xdr:col>48</xdr:col>
      <xdr:colOff>213042</xdr:colOff>
      <xdr:row>67</xdr:row>
      <xdr:rowOff>161932</xdr:rowOff>
    </xdr:from>
    <xdr:to>
      <xdr:col>52</xdr:col>
      <xdr:colOff>138360</xdr:colOff>
      <xdr:row>70</xdr:row>
      <xdr:rowOff>160</xdr:rowOff>
    </xdr:to>
    <xdr:sp macro="" textlink="">
      <xdr:nvSpPr>
        <xdr:cNvPr id="368" name="正方形/長方形 367">
          <a:extLst>
            <a:ext uri="{FF2B5EF4-FFF2-40B4-BE49-F238E27FC236}">
              <a16:creationId xmlns:a16="http://schemas.microsoft.com/office/drawing/2014/main" id="{BD6EF018-E4CB-4E64-8751-57447FBACD24}"/>
            </a:ext>
          </a:extLst>
        </xdr:cNvPr>
        <xdr:cNvSpPr/>
      </xdr:nvSpPr>
      <xdr:spPr>
        <a:xfrm>
          <a:off x="13660101" y="16399256"/>
          <a:ext cx="1045906" cy="544198"/>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200">
              <a:solidFill>
                <a:schemeClr val="tx1"/>
              </a:solidFill>
            </a:rPr>
            <a:t>波形データ</a:t>
          </a:r>
          <a:endParaRPr kumimoji="1" lang="en-US" altLang="ja-JP" sz="1200">
            <a:solidFill>
              <a:schemeClr val="tx1"/>
            </a:solidFill>
          </a:endParaRPr>
        </a:p>
        <a:p>
          <a:pPr algn="ctr"/>
          <a:r>
            <a:rPr kumimoji="1" lang="en-US" altLang="ja-JP" sz="1200">
              <a:solidFill>
                <a:schemeClr val="tx1"/>
              </a:solidFill>
            </a:rPr>
            <a:t>RAM</a:t>
          </a:r>
          <a:endParaRPr kumimoji="1" lang="ja-JP" altLang="en-US" sz="1200">
            <a:solidFill>
              <a:schemeClr val="tx1"/>
            </a:solidFill>
          </a:endParaRPr>
        </a:p>
      </xdr:txBody>
    </xdr:sp>
    <xdr:clientData/>
  </xdr:twoCellAnchor>
  <xdr:twoCellAnchor>
    <xdr:from>
      <xdr:col>55</xdr:col>
      <xdr:colOff>9397</xdr:colOff>
      <xdr:row>76</xdr:row>
      <xdr:rowOff>112059</xdr:rowOff>
    </xdr:from>
    <xdr:to>
      <xdr:col>58</xdr:col>
      <xdr:colOff>268942</xdr:colOff>
      <xdr:row>79</xdr:row>
      <xdr:rowOff>33618</xdr:rowOff>
    </xdr:to>
    <xdr:sp macro="" textlink="">
      <xdr:nvSpPr>
        <xdr:cNvPr id="369" name="正方形/長方形 368">
          <a:extLst>
            <a:ext uri="{FF2B5EF4-FFF2-40B4-BE49-F238E27FC236}">
              <a16:creationId xmlns:a16="http://schemas.microsoft.com/office/drawing/2014/main" id="{0BB37530-36EB-41BE-A621-814E3DB14A18}"/>
            </a:ext>
          </a:extLst>
        </xdr:cNvPr>
        <xdr:cNvSpPr/>
      </xdr:nvSpPr>
      <xdr:spPr>
        <a:xfrm>
          <a:off x="15417485" y="18467294"/>
          <a:ext cx="1099986" cy="627530"/>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a:t>
          </a:r>
          <a:endParaRPr kumimoji="1" lang="en-US" altLang="ja-JP" sz="1100">
            <a:solidFill>
              <a:schemeClr val="tx1"/>
            </a:solidFill>
          </a:endParaRPr>
        </a:p>
        <a:p>
          <a:pPr algn="ctr"/>
          <a:r>
            <a:rPr kumimoji="1" lang="ja-JP" altLang="en-US" sz="1100">
              <a:solidFill>
                <a:schemeClr val="tx1"/>
              </a:solidFill>
            </a:rPr>
            <a:t>ユニット</a:t>
          </a:r>
          <a:r>
            <a:rPr kumimoji="1" lang="en-US" altLang="ja-JP" sz="1100">
              <a:solidFill>
                <a:schemeClr val="tx1"/>
              </a:solidFill>
            </a:rPr>
            <a:t> 0</a:t>
          </a:r>
          <a:endParaRPr kumimoji="1" lang="ja-JP" altLang="en-US" sz="1100">
            <a:solidFill>
              <a:schemeClr val="tx1"/>
            </a:solidFill>
          </a:endParaRPr>
        </a:p>
      </xdr:txBody>
    </xdr:sp>
    <xdr:clientData/>
  </xdr:twoCellAnchor>
  <xdr:twoCellAnchor>
    <xdr:from>
      <xdr:col>55</xdr:col>
      <xdr:colOff>4915</xdr:colOff>
      <xdr:row>79</xdr:row>
      <xdr:rowOff>152400</xdr:rowOff>
    </xdr:from>
    <xdr:to>
      <xdr:col>58</xdr:col>
      <xdr:colOff>264460</xdr:colOff>
      <xdr:row>82</xdr:row>
      <xdr:rowOff>73960</xdr:rowOff>
    </xdr:to>
    <xdr:sp macro="" textlink="">
      <xdr:nvSpPr>
        <xdr:cNvPr id="379" name="正方形/長方形 378">
          <a:extLst>
            <a:ext uri="{FF2B5EF4-FFF2-40B4-BE49-F238E27FC236}">
              <a16:creationId xmlns:a16="http://schemas.microsoft.com/office/drawing/2014/main" id="{C4C73805-10EA-415F-928A-6DB451DDC8C5}"/>
            </a:ext>
          </a:extLst>
        </xdr:cNvPr>
        <xdr:cNvSpPr/>
      </xdr:nvSpPr>
      <xdr:spPr>
        <a:xfrm>
          <a:off x="15413003" y="19213606"/>
          <a:ext cx="1099986" cy="627530"/>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a:t>
          </a:r>
          <a:endParaRPr kumimoji="1" lang="en-US" altLang="ja-JP" sz="1100">
            <a:solidFill>
              <a:schemeClr val="tx1"/>
            </a:solidFill>
          </a:endParaRPr>
        </a:p>
        <a:p>
          <a:pPr algn="ctr"/>
          <a:r>
            <a:rPr kumimoji="1" lang="ja-JP" altLang="en-US" sz="1100">
              <a:solidFill>
                <a:schemeClr val="tx1"/>
              </a:solidFill>
            </a:rPr>
            <a:t>ユニット</a:t>
          </a:r>
          <a:r>
            <a:rPr kumimoji="1" lang="en-US" altLang="ja-JP" sz="1100">
              <a:solidFill>
                <a:schemeClr val="tx1"/>
              </a:solidFill>
            </a:rPr>
            <a:t> 1</a:t>
          </a:r>
          <a:endParaRPr kumimoji="1" lang="ja-JP" altLang="en-US" sz="1100">
            <a:solidFill>
              <a:schemeClr val="tx1"/>
            </a:solidFill>
          </a:endParaRPr>
        </a:p>
      </xdr:txBody>
    </xdr:sp>
    <xdr:clientData/>
  </xdr:twoCellAnchor>
  <xdr:twoCellAnchor>
    <xdr:from>
      <xdr:col>55</xdr:col>
      <xdr:colOff>11638</xdr:colOff>
      <xdr:row>82</xdr:row>
      <xdr:rowOff>226359</xdr:rowOff>
    </xdr:from>
    <xdr:to>
      <xdr:col>58</xdr:col>
      <xdr:colOff>271183</xdr:colOff>
      <xdr:row>85</xdr:row>
      <xdr:rowOff>147918</xdr:rowOff>
    </xdr:to>
    <xdr:sp macro="" textlink="">
      <xdr:nvSpPr>
        <xdr:cNvPr id="380" name="正方形/長方形 379">
          <a:extLst>
            <a:ext uri="{FF2B5EF4-FFF2-40B4-BE49-F238E27FC236}">
              <a16:creationId xmlns:a16="http://schemas.microsoft.com/office/drawing/2014/main" id="{FBE795AE-797A-4485-B01D-7ECDA4DF6969}"/>
            </a:ext>
          </a:extLst>
        </xdr:cNvPr>
        <xdr:cNvSpPr/>
      </xdr:nvSpPr>
      <xdr:spPr>
        <a:xfrm>
          <a:off x="15419726" y="19993535"/>
          <a:ext cx="1099986" cy="627530"/>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a:t>
          </a:r>
          <a:endParaRPr kumimoji="1" lang="en-US" altLang="ja-JP" sz="1100">
            <a:solidFill>
              <a:schemeClr val="tx1"/>
            </a:solidFill>
          </a:endParaRPr>
        </a:p>
        <a:p>
          <a:pPr algn="ctr"/>
          <a:r>
            <a:rPr kumimoji="1" lang="ja-JP" altLang="en-US" sz="1100">
              <a:solidFill>
                <a:schemeClr val="tx1"/>
              </a:solidFill>
            </a:rPr>
            <a:t>ユニット</a:t>
          </a:r>
          <a:r>
            <a:rPr kumimoji="1" lang="en-US" altLang="ja-JP" sz="1100">
              <a:solidFill>
                <a:schemeClr val="tx1"/>
              </a:solidFill>
            </a:rPr>
            <a:t> 2</a:t>
          </a:r>
          <a:endParaRPr kumimoji="1" lang="ja-JP" altLang="en-US" sz="1100">
            <a:solidFill>
              <a:schemeClr val="tx1"/>
            </a:solidFill>
          </a:endParaRPr>
        </a:p>
      </xdr:txBody>
    </xdr:sp>
    <xdr:clientData/>
  </xdr:twoCellAnchor>
  <xdr:twoCellAnchor>
    <xdr:from>
      <xdr:col>55</xdr:col>
      <xdr:colOff>7156</xdr:colOff>
      <xdr:row>86</xdr:row>
      <xdr:rowOff>64993</xdr:rowOff>
    </xdr:from>
    <xdr:to>
      <xdr:col>58</xdr:col>
      <xdr:colOff>266701</xdr:colOff>
      <xdr:row>88</xdr:row>
      <xdr:rowOff>221876</xdr:rowOff>
    </xdr:to>
    <xdr:sp macro="" textlink="">
      <xdr:nvSpPr>
        <xdr:cNvPr id="381" name="正方形/長方形 380">
          <a:extLst>
            <a:ext uri="{FF2B5EF4-FFF2-40B4-BE49-F238E27FC236}">
              <a16:creationId xmlns:a16="http://schemas.microsoft.com/office/drawing/2014/main" id="{D06DF2B5-029D-4DB5-B3DE-79D33C8501D5}"/>
            </a:ext>
          </a:extLst>
        </xdr:cNvPr>
        <xdr:cNvSpPr/>
      </xdr:nvSpPr>
      <xdr:spPr>
        <a:xfrm>
          <a:off x="15415244" y="20773464"/>
          <a:ext cx="1099986" cy="627530"/>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a:t>
          </a:r>
          <a:endParaRPr kumimoji="1" lang="en-US" altLang="ja-JP" sz="1100">
            <a:solidFill>
              <a:schemeClr val="tx1"/>
            </a:solidFill>
          </a:endParaRPr>
        </a:p>
        <a:p>
          <a:pPr algn="ctr"/>
          <a:r>
            <a:rPr kumimoji="1" lang="ja-JP" altLang="en-US" sz="1100">
              <a:solidFill>
                <a:schemeClr val="tx1"/>
              </a:solidFill>
            </a:rPr>
            <a:t>ユニット</a:t>
          </a:r>
          <a:r>
            <a:rPr kumimoji="1" lang="en-US" altLang="ja-JP" sz="1100">
              <a:solidFill>
                <a:schemeClr val="tx1"/>
              </a:solidFill>
            </a:rPr>
            <a:t> 3</a:t>
          </a:r>
          <a:endParaRPr kumimoji="1" lang="ja-JP" altLang="en-US" sz="1100">
            <a:solidFill>
              <a:schemeClr val="tx1"/>
            </a:solidFill>
          </a:endParaRPr>
        </a:p>
      </xdr:txBody>
    </xdr:sp>
    <xdr:clientData/>
  </xdr:twoCellAnchor>
  <xdr:twoCellAnchor>
    <xdr:from>
      <xdr:col>55</xdr:col>
      <xdr:colOff>16119</xdr:colOff>
      <xdr:row>89</xdr:row>
      <xdr:rowOff>152400</xdr:rowOff>
    </xdr:from>
    <xdr:to>
      <xdr:col>58</xdr:col>
      <xdr:colOff>275664</xdr:colOff>
      <xdr:row>92</xdr:row>
      <xdr:rowOff>73959</xdr:rowOff>
    </xdr:to>
    <xdr:sp macro="" textlink="">
      <xdr:nvSpPr>
        <xdr:cNvPr id="382" name="正方形/長方形 381">
          <a:extLst>
            <a:ext uri="{FF2B5EF4-FFF2-40B4-BE49-F238E27FC236}">
              <a16:creationId xmlns:a16="http://schemas.microsoft.com/office/drawing/2014/main" id="{0EED2053-D71D-4FE0-872B-83DDADEC181A}"/>
            </a:ext>
          </a:extLst>
        </xdr:cNvPr>
        <xdr:cNvSpPr/>
      </xdr:nvSpPr>
      <xdr:spPr>
        <a:xfrm>
          <a:off x="15424207" y="21566841"/>
          <a:ext cx="1099986" cy="627530"/>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a:t>
          </a:r>
          <a:endParaRPr kumimoji="1" lang="en-US" altLang="ja-JP" sz="1100">
            <a:solidFill>
              <a:schemeClr val="tx1"/>
            </a:solidFill>
          </a:endParaRPr>
        </a:p>
        <a:p>
          <a:pPr algn="ctr"/>
          <a:r>
            <a:rPr kumimoji="1" lang="ja-JP" altLang="en-US" sz="1100">
              <a:solidFill>
                <a:schemeClr val="tx1"/>
              </a:solidFill>
            </a:rPr>
            <a:t>ユニット</a:t>
          </a:r>
          <a:r>
            <a:rPr kumimoji="1" lang="en-US" altLang="ja-JP" sz="1100">
              <a:solidFill>
                <a:schemeClr val="tx1"/>
              </a:solidFill>
            </a:rPr>
            <a:t> 4</a:t>
          </a:r>
          <a:endParaRPr kumimoji="1" lang="ja-JP" altLang="en-US" sz="1100">
            <a:solidFill>
              <a:schemeClr val="tx1"/>
            </a:solidFill>
          </a:endParaRPr>
        </a:p>
      </xdr:txBody>
    </xdr:sp>
    <xdr:clientData/>
  </xdr:twoCellAnchor>
  <xdr:twoCellAnchor>
    <xdr:from>
      <xdr:col>55</xdr:col>
      <xdr:colOff>11637</xdr:colOff>
      <xdr:row>92</xdr:row>
      <xdr:rowOff>192741</xdr:rowOff>
    </xdr:from>
    <xdr:to>
      <xdr:col>58</xdr:col>
      <xdr:colOff>271182</xdr:colOff>
      <xdr:row>95</xdr:row>
      <xdr:rowOff>114301</xdr:rowOff>
    </xdr:to>
    <xdr:sp macro="" textlink="">
      <xdr:nvSpPr>
        <xdr:cNvPr id="383" name="正方形/長方形 382">
          <a:extLst>
            <a:ext uri="{FF2B5EF4-FFF2-40B4-BE49-F238E27FC236}">
              <a16:creationId xmlns:a16="http://schemas.microsoft.com/office/drawing/2014/main" id="{4BC3E84C-B28D-4740-9EEE-F48C911141F1}"/>
            </a:ext>
          </a:extLst>
        </xdr:cNvPr>
        <xdr:cNvSpPr/>
      </xdr:nvSpPr>
      <xdr:spPr>
        <a:xfrm>
          <a:off x="15419725" y="22313153"/>
          <a:ext cx="1099986" cy="627530"/>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a:t>
          </a:r>
          <a:endParaRPr kumimoji="1" lang="en-US" altLang="ja-JP" sz="1100">
            <a:solidFill>
              <a:schemeClr val="tx1"/>
            </a:solidFill>
          </a:endParaRPr>
        </a:p>
        <a:p>
          <a:pPr algn="ctr"/>
          <a:r>
            <a:rPr kumimoji="1" lang="ja-JP" altLang="en-US" sz="1100">
              <a:solidFill>
                <a:schemeClr val="tx1"/>
              </a:solidFill>
            </a:rPr>
            <a:t>ユニット</a:t>
          </a:r>
          <a:r>
            <a:rPr kumimoji="1" lang="en-US" altLang="ja-JP" sz="1100">
              <a:solidFill>
                <a:schemeClr val="tx1"/>
              </a:solidFill>
            </a:rPr>
            <a:t> 5</a:t>
          </a:r>
          <a:endParaRPr kumimoji="1" lang="ja-JP" altLang="en-US" sz="1100">
            <a:solidFill>
              <a:schemeClr val="tx1"/>
            </a:solidFill>
          </a:endParaRPr>
        </a:p>
      </xdr:txBody>
    </xdr:sp>
    <xdr:clientData/>
  </xdr:twoCellAnchor>
  <xdr:twoCellAnchor>
    <xdr:from>
      <xdr:col>55</xdr:col>
      <xdr:colOff>18360</xdr:colOff>
      <xdr:row>96</xdr:row>
      <xdr:rowOff>31376</xdr:rowOff>
    </xdr:from>
    <xdr:to>
      <xdr:col>58</xdr:col>
      <xdr:colOff>277905</xdr:colOff>
      <xdr:row>98</xdr:row>
      <xdr:rowOff>188259</xdr:rowOff>
    </xdr:to>
    <xdr:sp macro="" textlink="">
      <xdr:nvSpPr>
        <xdr:cNvPr id="384" name="正方形/長方形 383">
          <a:extLst>
            <a:ext uri="{FF2B5EF4-FFF2-40B4-BE49-F238E27FC236}">
              <a16:creationId xmlns:a16="http://schemas.microsoft.com/office/drawing/2014/main" id="{BAD54F87-3F1F-49AF-8946-47B97C547493}"/>
            </a:ext>
          </a:extLst>
        </xdr:cNvPr>
        <xdr:cNvSpPr/>
      </xdr:nvSpPr>
      <xdr:spPr>
        <a:xfrm>
          <a:off x="15426448" y="23093082"/>
          <a:ext cx="1099986" cy="627530"/>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a:t>
          </a:r>
          <a:endParaRPr kumimoji="1" lang="en-US" altLang="ja-JP" sz="1100">
            <a:solidFill>
              <a:schemeClr val="tx1"/>
            </a:solidFill>
          </a:endParaRPr>
        </a:p>
        <a:p>
          <a:pPr algn="ctr"/>
          <a:r>
            <a:rPr kumimoji="1" lang="ja-JP" altLang="en-US" sz="1100">
              <a:solidFill>
                <a:schemeClr val="tx1"/>
              </a:solidFill>
            </a:rPr>
            <a:t>ユニット</a:t>
          </a:r>
          <a:r>
            <a:rPr kumimoji="1" lang="en-US" altLang="ja-JP" sz="1100">
              <a:solidFill>
                <a:schemeClr val="tx1"/>
              </a:solidFill>
            </a:rPr>
            <a:t> 6</a:t>
          </a:r>
          <a:endParaRPr kumimoji="1" lang="ja-JP" altLang="en-US" sz="1100">
            <a:solidFill>
              <a:schemeClr val="tx1"/>
            </a:solidFill>
          </a:endParaRPr>
        </a:p>
      </xdr:txBody>
    </xdr:sp>
    <xdr:clientData/>
  </xdr:twoCellAnchor>
  <xdr:twoCellAnchor>
    <xdr:from>
      <xdr:col>55</xdr:col>
      <xdr:colOff>13878</xdr:colOff>
      <xdr:row>99</xdr:row>
      <xdr:rowOff>105335</xdr:rowOff>
    </xdr:from>
    <xdr:to>
      <xdr:col>58</xdr:col>
      <xdr:colOff>273423</xdr:colOff>
      <xdr:row>102</xdr:row>
      <xdr:rowOff>26894</xdr:rowOff>
    </xdr:to>
    <xdr:sp macro="" textlink="">
      <xdr:nvSpPr>
        <xdr:cNvPr id="385" name="正方形/長方形 384">
          <a:extLst>
            <a:ext uri="{FF2B5EF4-FFF2-40B4-BE49-F238E27FC236}">
              <a16:creationId xmlns:a16="http://schemas.microsoft.com/office/drawing/2014/main" id="{1DD1E608-91C2-4585-BCCB-EE813C0F16AD}"/>
            </a:ext>
          </a:extLst>
        </xdr:cNvPr>
        <xdr:cNvSpPr/>
      </xdr:nvSpPr>
      <xdr:spPr>
        <a:xfrm>
          <a:off x="15421966" y="23873011"/>
          <a:ext cx="1099986" cy="627530"/>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a:t>
          </a:r>
          <a:endParaRPr kumimoji="1" lang="en-US" altLang="ja-JP" sz="1100">
            <a:solidFill>
              <a:schemeClr val="tx1"/>
            </a:solidFill>
          </a:endParaRPr>
        </a:p>
        <a:p>
          <a:pPr algn="ctr"/>
          <a:r>
            <a:rPr kumimoji="1" lang="ja-JP" altLang="en-US" sz="1100">
              <a:solidFill>
                <a:schemeClr val="tx1"/>
              </a:solidFill>
            </a:rPr>
            <a:t>ユニット</a:t>
          </a:r>
          <a:r>
            <a:rPr kumimoji="1" lang="en-US" altLang="ja-JP" sz="1100">
              <a:solidFill>
                <a:schemeClr val="tx1"/>
              </a:solidFill>
            </a:rPr>
            <a:t> 7</a:t>
          </a:r>
          <a:endParaRPr kumimoji="1" lang="ja-JP" altLang="en-US" sz="1100">
            <a:solidFill>
              <a:schemeClr val="tx1"/>
            </a:solidFill>
          </a:endParaRPr>
        </a:p>
      </xdr:txBody>
    </xdr:sp>
    <xdr:clientData/>
  </xdr:twoCellAnchor>
  <xdr:twoCellAnchor>
    <xdr:from>
      <xdr:col>46</xdr:col>
      <xdr:colOff>223157</xdr:colOff>
      <xdr:row>76</xdr:row>
      <xdr:rowOff>213819</xdr:rowOff>
    </xdr:from>
    <xdr:to>
      <xdr:col>52</xdr:col>
      <xdr:colOff>57504</xdr:colOff>
      <xdr:row>79</xdr:row>
      <xdr:rowOff>86088</xdr:rowOff>
    </xdr:to>
    <xdr:sp macro="" textlink="">
      <xdr:nvSpPr>
        <xdr:cNvPr id="387" name="正方形/長方形 386">
          <a:extLst>
            <a:ext uri="{FF2B5EF4-FFF2-40B4-BE49-F238E27FC236}">
              <a16:creationId xmlns:a16="http://schemas.microsoft.com/office/drawing/2014/main" id="{FBF33470-DE49-46FA-9D29-16C703251ADD}"/>
            </a:ext>
          </a:extLst>
        </xdr:cNvPr>
        <xdr:cNvSpPr/>
      </xdr:nvSpPr>
      <xdr:spPr>
        <a:xfrm>
          <a:off x="12796157" y="18949080"/>
          <a:ext cx="1474304" cy="592856"/>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200">
              <a:solidFill>
                <a:schemeClr val="tx1"/>
              </a:solidFill>
            </a:rPr>
            <a:t>キャプチャデータ</a:t>
          </a:r>
          <a:endParaRPr kumimoji="1" lang="en-US" altLang="ja-JP" sz="1200">
            <a:solidFill>
              <a:schemeClr val="tx1"/>
            </a:solidFill>
          </a:endParaRPr>
        </a:p>
        <a:p>
          <a:pPr algn="ctr"/>
          <a:r>
            <a:rPr kumimoji="1" lang="en-US" altLang="ja-JP" sz="1200">
              <a:solidFill>
                <a:schemeClr val="tx1"/>
              </a:solidFill>
            </a:rPr>
            <a:t>RAM</a:t>
          </a:r>
          <a:endParaRPr kumimoji="1" lang="ja-JP" altLang="en-US" sz="1200">
            <a:solidFill>
              <a:schemeClr val="tx1"/>
            </a:solidFill>
          </a:endParaRPr>
        </a:p>
      </xdr:txBody>
    </xdr:sp>
    <xdr:clientData/>
  </xdr:twoCellAnchor>
  <xdr:twoCellAnchor>
    <xdr:from>
      <xdr:col>46</xdr:col>
      <xdr:colOff>235091</xdr:colOff>
      <xdr:row>85</xdr:row>
      <xdr:rowOff>113597</xdr:rowOff>
    </xdr:from>
    <xdr:to>
      <xdr:col>51</xdr:col>
      <xdr:colOff>207028</xdr:colOff>
      <xdr:row>89</xdr:row>
      <xdr:rowOff>156252</xdr:rowOff>
    </xdr:to>
    <xdr:sp macro="" textlink="">
      <xdr:nvSpPr>
        <xdr:cNvPr id="388" name="正方形/長方形 387">
          <a:extLst>
            <a:ext uri="{FF2B5EF4-FFF2-40B4-BE49-F238E27FC236}">
              <a16:creationId xmlns:a16="http://schemas.microsoft.com/office/drawing/2014/main" id="{DE2CE5DA-982C-4409-AA63-3E4D0B43CF31}"/>
            </a:ext>
          </a:extLst>
        </xdr:cNvPr>
        <xdr:cNvSpPr/>
      </xdr:nvSpPr>
      <xdr:spPr>
        <a:xfrm>
          <a:off x="13121856" y="20586744"/>
          <a:ext cx="1372672" cy="983949"/>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100">
              <a:solidFill>
                <a:schemeClr val="tx1"/>
              </a:solidFill>
            </a:rPr>
            <a:t>キャプチャ</a:t>
          </a:r>
          <a:r>
            <a:rPr kumimoji="1" lang="en-US" altLang="ja-JP" sz="1100">
              <a:solidFill>
                <a:schemeClr val="tx1"/>
              </a:solidFill>
            </a:rPr>
            <a:t> </a:t>
          </a:r>
        </a:p>
        <a:p>
          <a:pPr algn="ctr"/>
          <a:r>
            <a:rPr kumimoji="1" lang="ja-JP" altLang="en-US" sz="1100">
              <a:solidFill>
                <a:schemeClr val="tx1"/>
              </a:solidFill>
            </a:rPr>
            <a:t>コントローラ</a:t>
          </a:r>
          <a:endParaRPr kumimoji="1" lang="en-US" altLang="ja-JP" sz="1100">
            <a:solidFill>
              <a:schemeClr val="tx1"/>
            </a:solidFill>
          </a:endParaRPr>
        </a:p>
        <a:p>
          <a:pPr algn="ctr"/>
          <a:endParaRPr kumimoji="1" lang="ja-JP" altLang="en-US" sz="1100">
            <a:solidFill>
              <a:schemeClr val="tx1"/>
            </a:solidFill>
          </a:endParaRPr>
        </a:p>
      </xdr:txBody>
    </xdr:sp>
    <xdr:clientData/>
  </xdr:twoCellAnchor>
  <xdr:twoCellAnchor>
    <xdr:from>
      <xdr:col>47</xdr:col>
      <xdr:colOff>51550</xdr:colOff>
      <xdr:row>87</xdr:row>
      <xdr:rowOff>175815</xdr:rowOff>
    </xdr:from>
    <xdr:to>
      <xdr:col>51</xdr:col>
      <xdr:colOff>118434</xdr:colOff>
      <xdr:row>89</xdr:row>
      <xdr:rowOff>35425</xdr:rowOff>
    </xdr:to>
    <xdr:sp macro="" textlink="">
      <xdr:nvSpPr>
        <xdr:cNvPr id="389" name="正方形/長方形 388">
          <a:extLst>
            <a:ext uri="{FF2B5EF4-FFF2-40B4-BE49-F238E27FC236}">
              <a16:creationId xmlns:a16="http://schemas.microsoft.com/office/drawing/2014/main" id="{E0952D7F-79A5-4F31-8B0E-F01CC3EDE329}"/>
            </a:ext>
          </a:extLst>
        </xdr:cNvPr>
        <xdr:cNvSpPr/>
      </xdr:nvSpPr>
      <xdr:spPr>
        <a:xfrm>
          <a:off x="13218462" y="21119609"/>
          <a:ext cx="1187472" cy="330257"/>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制御レジスタ</a:t>
          </a:r>
        </a:p>
      </xdr:txBody>
    </xdr:sp>
    <xdr:clientData/>
  </xdr:twoCellAnchor>
  <xdr:twoCellAnchor>
    <xdr:from>
      <xdr:col>46</xdr:col>
      <xdr:colOff>90857</xdr:colOff>
      <xdr:row>88</xdr:row>
      <xdr:rowOff>54900</xdr:rowOff>
    </xdr:from>
    <xdr:to>
      <xdr:col>47</xdr:col>
      <xdr:colOff>127853</xdr:colOff>
      <xdr:row>89</xdr:row>
      <xdr:rowOff>146649</xdr:rowOff>
    </xdr:to>
    <xdr:sp macro="" textlink="">
      <xdr:nvSpPr>
        <xdr:cNvPr id="390" name="正方形/長方形 389">
          <a:extLst>
            <a:ext uri="{FF2B5EF4-FFF2-40B4-BE49-F238E27FC236}">
              <a16:creationId xmlns:a16="http://schemas.microsoft.com/office/drawing/2014/main" id="{38783712-528C-4A33-9214-12FC0E4A1671}"/>
            </a:ext>
          </a:extLst>
        </xdr:cNvPr>
        <xdr:cNvSpPr/>
      </xdr:nvSpPr>
      <xdr:spPr>
        <a:xfrm>
          <a:off x="12663857" y="21672509"/>
          <a:ext cx="310322" cy="33194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ja-JP" altLang="en-US" sz="1100">
            <a:solidFill>
              <a:schemeClr val="tx1"/>
            </a:solidFill>
          </a:endParaRPr>
        </a:p>
      </xdr:txBody>
    </xdr:sp>
    <xdr:clientData/>
  </xdr:twoCellAnchor>
  <xdr:twoCellAnchor>
    <xdr:from>
      <xdr:col>58</xdr:col>
      <xdr:colOff>274535</xdr:colOff>
      <xdr:row>77</xdr:row>
      <xdr:rowOff>173246</xdr:rowOff>
    </xdr:from>
    <xdr:to>
      <xdr:col>61</xdr:col>
      <xdr:colOff>160780</xdr:colOff>
      <xdr:row>77</xdr:row>
      <xdr:rowOff>173246</xdr:rowOff>
    </xdr:to>
    <xdr:cxnSp macro="">
      <xdr:nvCxnSpPr>
        <xdr:cNvPr id="399" name="直線矢印コネクタ 398">
          <a:extLst>
            <a:ext uri="{FF2B5EF4-FFF2-40B4-BE49-F238E27FC236}">
              <a16:creationId xmlns:a16="http://schemas.microsoft.com/office/drawing/2014/main" id="{1FEA3465-1A3F-49D7-89C3-EF5D702D6036}"/>
            </a:ext>
          </a:extLst>
        </xdr:cNvPr>
        <xdr:cNvCxnSpPr/>
      </xdr:nvCxnSpPr>
      <xdr:spPr>
        <a:xfrm>
          <a:off x="16523064" y="18763805"/>
          <a:ext cx="726687" cy="0"/>
        </a:xfrm>
        <a:prstGeom prst="straightConnector1">
          <a:avLst/>
        </a:prstGeom>
        <a:ln>
          <a:solidFill>
            <a:srgbClr val="00B0F0"/>
          </a:solidFill>
          <a:headEnd type="triangle"/>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58</xdr:col>
      <xdr:colOff>271279</xdr:colOff>
      <xdr:row>80</xdr:row>
      <xdr:rowOff>226256</xdr:rowOff>
    </xdr:from>
    <xdr:to>
      <xdr:col>61</xdr:col>
      <xdr:colOff>157524</xdr:colOff>
      <xdr:row>80</xdr:row>
      <xdr:rowOff>226256</xdr:rowOff>
    </xdr:to>
    <xdr:cxnSp macro="">
      <xdr:nvCxnSpPr>
        <xdr:cNvPr id="401" name="直線矢印コネクタ 400">
          <a:extLst>
            <a:ext uri="{FF2B5EF4-FFF2-40B4-BE49-F238E27FC236}">
              <a16:creationId xmlns:a16="http://schemas.microsoft.com/office/drawing/2014/main" id="{E6D570BA-19D9-4D2A-89A6-0FE2C01765B2}"/>
            </a:ext>
          </a:extLst>
        </xdr:cNvPr>
        <xdr:cNvCxnSpPr/>
      </xdr:nvCxnSpPr>
      <xdr:spPr>
        <a:xfrm>
          <a:off x="16519808" y="19522785"/>
          <a:ext cx="726687" cy="0"/>
        </a:xfrm>
        <a:prstGeom prst="straightConnector1">
          <a:avLst/>
        </a:prstGeom>
        <a:ln>
          <a:solidFill>
            <a:srgbClr val="00B0F0"/>
          </a:solidFill>
          <a:headEnd type="triangle"/>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58</xdr:col>
      <xdr:colOff>271166</xdr:colOff>
      <xdr:row>84</xdr:row>
      <xdr:rowOff>72200</xdr:rowOff>
    </xdr:from>
    <xdr:to>
      <xdr:col>61</xdr:col>
      <xdr:colOff>157411</xdr:colOff>
      <xdr:row>84</xdr:row>
      <xdr:rowOff>72200</xdr:rowOff>
    </xdr:to>
    <xdr:cxnSp macro="">
      <xdr:nvCxnSpPr>
        <xdr:cNvPr id="402" name="直線矢印コネクタ 401">
          <a:extLst>
            <a:ext uri="{FF2B5EF4-FFF2-40B4-BE49-F238E27FC236}">
              <a16:creationId xmlns:a16="http://schemas.microsoft.com/office/drawing/2014/main" id="{E571FB69-5DEE-48EC-8375-CE8A97ACEC62}"/>
            </a:ext>
          </a:extLst>
        </xdr:cNvPr>
        <xdr:cNvCxnSpPr/>
      </xdr:nvCxnSpPr>
      <xdr:spPr>
        <a:xfrm>
          <a:off x="16519695" y="20310024"/>
          <a:ext cx="726687" cy="0"/>
        </a:xfrm>
        <a:prstGeom prst="straightConnector1">
          <a:avLst/>
        </a:prstGeom>
        <a:ln>
          <a:solidFill>
            <a:srgbClr val="00B0F0"/>
          </a:solidFill>
          <a:headEnd type="triangle"/>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58</xdr:col>
      <xdr:colOff>267911</xdr:colOff>
      <xdr:row>87</xdr:row>
      <xdr:rowOff>141774</xdr:rowOff>
    </xdr:from>
    <xdr:to>
      <xdr:col>61</xdr:col>
      <xdr:colOff>154156</xdr:colOff>
      <xdr:row>87</xdr:row>
      <xdr:rowOff>141774</xdr:rowOff>
    </xdr:to>
    <xdr:cxnSp macro="">
      <xdr:nvCxnSpPr>
        <xdr:cNvPr id="403" name="直線矢印コネクタ 402">
          <a:extLst>
            <a:ext uri="{FF2B5EF4-FFF2-40B4-BE49-F238E27FC236}">
              <a16:creationId xmlns:a16="http://schemas.microsoft.com/office/drawing/2014/main" id="{5788E892-1FE2-4746-9983-295F76A52B54}"/>
            </a:ext>
          </a:extLst>
        </xdr:cNvPr>
        <xdr:cNvCxnSpPr/>
      </xdr:nvCxnSpPr>
      <xdr:spPr>
        <a:xfrm>
          <a:off x="16516440" y="21085568"/>
          <a:ext cx="726687" cy="0"/>
        </a:xfrm>
        <a:prstGeom prst="straightConnector1">
          <a:avLst/>
        </a:prstGeom>
        <a:ln>
          <a:solidFill>
            <a:srgbClr val="00B0F0"/>
          </a:solidFill>
          <a:headEnd type="triangle"/>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58</xdr:col>
      <xdr:colOff>279105</xdr:colOff>
      <xdr:row>90</xdr:row>
      <xdr:rowOff>216944</xdr:rowOff>
    </xdr:from>
    <xdr:to>
      <xdr:col>61</xdr:col>
      <xdr:colOff>165350</xdr:colOff>
      <xdr:row>90</xdr:row>
      <xdr:rowOff>216944</xdr:rowOff>
    </xdr:to>
    <xdr:cxnSp macro="">
      <xdr:nvCxnSpPr>
        <xdr:cNvPr id="404" name="直線矢印コネクタ 403">
          <a:extLst>
            <a:ext uri="{FF2B5EF4-FFF2-40B4-BE49-F238E27FC236}">
              <a16:creationId xmlns:a16="http://schemas.microsoft.com/office/drawing/2014/main" id="{63EC5CB6-9FC0-4BAC-8F67-DFC439579524}"/>
            </a:ext>
          </a:extLst>
        </xdr:cNvPr>
        <xdr:cNvCxnSpPr/>
      </xdr:nvCxnSpPr>
      <xdr:spPr>
        <a:xfrm>
          <a:off x="16527634" y="21866709"/>
          <a:ext cx="726687" cy="0"/>
        </a:xfrm>
        <a:prstGeom prst="straightConnector1">
          <a:avLst/>
        </a:prstGeom>
        <a:ln>
          <a:solidFill>
            <a:srgbClr val="00B0F0"/>
          </a:solidFill>
          <a:headEnd type="triangle"/>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58</xdr:col>
      <xdr:colOff>275849</xdr:colOff>
      <xdr:row>94</xdr:row>
      <xdr:rowOff>33471</xdr:rowOff>
    </xdr:from>
    <xdr:to>
      <xdr:col>61</xdr:col>
      <xdr:colOff>162094</xdr:colOff>
      <xdr:row>94</xdr:row>
      <xdr:rowOff>33471</xdr:rowOff>
    </xdr:to>
    <xdr:cxnSp macro="">
      <xdr:nvCxnSpPr>
        <xdr:cNvPr id="405" name="直線矢印コネクタ 404">
          <a:extLst>
            <a:ext uri="{FF2B5EF4-FFF2-40B4-BE49-F238E27FC236}">
              <a16:creationId xmlns:a16="http://schemas.microsoft.com/office/drawing/2014/main" id="{A913BBCD-1895-455C-B9A5-6FE8FFDC45F1}"/>
            </a:ext>
          </a:extLst>
        </xdr:cNvPr>
        <xdr:cNvCxnSpPr/>
      </xdr:nvCxnSpPr>
      <xdr:spPr>
        <a:xfrm>
          <a:off x="16524378" y="22624530"/>
          <a:ext cx="726687" cy="0"/>
        </a:xfrm>
        <a:prstGeom prst="straightConnector1">
          <a:avLst/>
        </a:prstGeom>
        <a:ln>
          <a:solidFill>
            <a:srgbClr val="00B0F0"/>
          </a:solidFill>
          <a:headEnd type="triangle"/>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58</xdr:col>
      <xdr:colOff>275736</xdr:colOff>
      <xdr:row>97</xdr:row>
      <xdr:rowOff>115898</xdr:rowOff>
    </xdr:from>
    <xdr:to>
      <xdr:col>61</xdr:col>
      <xdr:colOff>161981</xdr:colOff>
      <xdr:row>97</xdr:row>
      <xdr:rowOff>115898</xdr:rowOff>
    </xdr:to>
    <xdr:cxnSp macro="">
      <xdr:nvCxnSpPr>
        <xdr:cNvPr id="406" name="直線矢印コネクタ 405">
          <a:extLst>
            <a:ext uri="{FF2B5EF4-FFF2-40B4-BE49-F238E27FC236}">
              <a16:creationId xmlns:a16="http://schemas.microsoft.com/office/drawing/2014/main" id="{CFC3A4AC-3D28-4794-B345-B5CC0E0B035B}"/>
            </a:ext>
          </a:extLst>
        </xdr:cNvPr>
        <xdr:cNvCxnSpPr/>
      </xdr:nvCxnSpPr>
      <xdr:spPr>
        <a:xfrm>
          <a:off x="16524265" y="23412927"/>
          <a:ext cx="726687" cy="0"/>
        </a:xfrm>
        <a:prstGeom prst="straightConnector1">
          <a:avLst/>
        </a:prstGeom>
        <a:ln>
          <a:solidFill>
            <a:srgbClr val="00B0F0"/>
          </a:solidFill>
          <a:headEnd type="triangle"/>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58</xdr:col>
      <xdr:colOff>272481</xdr:colOff>
      <xdr:row>100</xdr:row>
      <xdr:rowOff>185473</xdr:rowOff>
    </xdr:from>
    <xdr:to>
      <xdr:col>61</xdr:col>
      <xdr:colOff>158726</xdr:colOff>
      <xdr:row>100</xdr:row>
      <xdr:rowOff>185473</xdr:rowOff>
    </xdr:to>
    <xdr:cxnSp macro="">
      <xdr:nvCxnSpPr>
        <xdr:cNvPr id="407" name="直線矢印コネクタ 406">
          <a:extLst>
            <a:ext uri="{FF2B5EF4-FFF2-40B4-BE49-F238E27FC236}">
              <a16:creationId xmlns:a16="http://schemas.microsoft.com/office/drawing/2014/main" id="{E5C11A5C-5B57-404F-8266-1EE3D2DE5EA2}"/>
            </a:ext>
          </a:extLst>
        </xdr:cNvPr>
        <xdr:cNvCxnSpPr/>
      </xdr:nvCxnSpPr>
      <xdr:spPr>
        <a:xfrm>
          <a:off x="16521010" y="24188473"/>
          <a:ext cx="726687" cy="0"/>
        </a:xfrm>
        <a:prstGeom prst="straightConnector1">
          <a:avLst/>
        </a:prstGeom>
        <a:ln>
          <a:solidFill>
            <a:srgbClr val="00B0F0"/>
          </a:solidFill>
          <a:headEnd type="triangle"/>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69594</xdr:colOff>
      <xdr:row>77</xdr:row>
      <xdr:rowOff>36348</xdr:rowOff>
    </xdr:from>
    <xdr:to>
      <xdr:col>55</xdr:col>
      <xdr:colOff>2408</xdr:colOff>
      <xdr:row>77</xdr:row>
      <xdr:rowOff>36348</xdr:rowOff>
    </xdr:to>
    <xdr:cxnSp macro="">
      <xdr:nvCxnSpPr>
        <xdr:cNvPr id="409" name="直線矢印コネクタ 408">
          <a:extLst>
            <a:ext uri="{FF2B5EF4-FFF2-40B4-BE49-F238E27FC236}">
              <a16:creationId xmlns:a16="http://schemas.microsoft.com/office/drawing/2014/main" id="{5B2714AE-6862-4DBB-9A01-3B655B3FA1E9}"/>
            </a:ext>
          </a:extLst>
        </xdr:cNvPr>
        <xdr:cNvCxnSpPr/>
      </xdr:nvCxnSpPr>
      <xdr:spPr>
        <a:xfrm>
          <a:off x="15197535" y="18626907"/>
          <a:ext cx="212961" cy="0"/>
        </a:xfrm>
        <a:prstGeom prst="straightConnector1">
          <a:avLst/>
        </a:prstGeom>
        <a:ln>
          <a:solidFill>
            <a:srgbClr val="00B0F0"/>
          </a:solidFill>
          <a:headEnd type="triangle"/>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67213</xdr:colOff>
      <xdr:row>80</xdr:row>
      <xdr:rowOff>117391</xdr:rowOff>
    </xdr:from>
    <xdr:to>
      <xdr:col>55</xdr:col>
      <xdr:colOff>27</xdr:colOff>
      <xdr:row>80</xdr:row>
      <xdr:rowOff>117391</xdr:rowOff>
    </xdr:to>
    <xdr:cxnSp macro="">
      <xdr:nvCxnSpPr>
        <xdr:cNvPr id="410" name="直線矢印コネクタ 409">
          <a:extLst>
            <a:ext uri="{FF2B5EF4-FFF2-40B4-BE49-F238E27FC236}">
              <a16:creationId xmlns:a16="http://schemas.microsoft.com/office/drawing/2014/main" id="{FEAA4D90-B031-4466-84B6-FC97D6757806}"/>
            </a:ext>
          </a:extLst>
        </xdr:cNvPr>
        <xdr:cNvCxnSpPr/>
      </xdr:nvCxnSpPr>
      <xdr:spPr>
        <a:xfrm>
          <a:off x="15195154" y="19413920"/>
          <a:ext cx="212961" cy="0"/>
        </a:xfrm>
        <a:prstGeom prst="straightConnector1">
          <a:avLst/>
        </a:prstGeom>
        <a:ln>
          <a:solidFill>
            <a:srgbClr val="00B0F0"/>
          </a:solidFill>
          <a:headEnd type="triangle"/>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76738</xdr:colOff>
      <xdr:row>83</xdr:row>
      <xdr:rowOff>196822</xdr:rowOff>
    </xdr:from>
    <xdr:to>
      <xdr:col>55</xdr:col>
      <xdr:colOff>9552</xdr:colOff>
      <xdr:row>83</xdr:row>
      <xdr:rowOff>196822</xdr:rowOff>
    </xdr:to>
    <xdr:cxnSp macro="">
      <xdr:nvCxnSpPr>
        <xdr:cNvPr id="411" name="直線矢印コネクタ 410">
          <a:extLst>
            <a:ext uri="{FF2B5EF4-FFF2-40B4-BE49-F238E27FC236}">
              <a16:creationId xmlns:a16="http://schemas.microsoft.com/office/drawing/2014/main" id="{C835FD21-8F33-4455-836D-69E6AC53CAA4}"/>
            </a:ext>
          </a:extLst>
        </xdr:cNvPr>
        <xdr:cNvCxnSpPr/>
      </xdr:nvCxnSpPr>
      <xdr:spPr>
        <a:xfrm>
          <a:off x="15204679" y="20199322"/>
          <a:ext cx="212961" cy="0"/>
        </a:xfrm>
        <a:prstGeom prst="straightConnector1">
          <a:avLst/>
        </a:prstGeom>
        <a:ln>
          <a:solidFill>
            <a:srgbClr val="00B0F0"/>
          </a:solidFill>
          <a:headEnd type="triangle"/>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68404</xdr:colOff>
      <xdr:row>87</xdr:row>
      <xdr:rowOff>22061</xdr:rowOff>
    </xdr:from>
    <xdr:to>
      <xdr:col>55</xdr:col>
      <xdr:colOff>1218</xdr:colOff>
      <xdr:row>87</xdr:row>
      <xdr:rowOff>22061</xdr:rowOff>
    </xdr:to>
    <xdr:cxnSp macro="">
      <xdr:nvCxnSpPr>
        <xdr:cNvPr id="412" name="直線矢印コネクタ 411">
          <a:extLst>
            <a:ext uri="{FF2B5EF4-FFF2-40B4-BE49-F238E27FC236}">
              <a16:creationId xmlns:a16="http://schemas.microsoft.com/office/drawing/2014/main" id="{BA03724E-F39A-4305-9FB8-7100A80BA37A}"/>
            </a:ext>
          </a:extLst>
        </xdr:cNvPr>
        <xdr:cNvCxnSpPr/>
      </xdr:nvCxnSpPr>
      <xdr:spPr>
        <a:xfrm>
          <a:off x="15196345" y="20965855"/>
          <a:ext cx="212961" cy="0"/>
        </a:xfrm>
        <a:prstGeom prst="straightConnector1">
          <a:avLst/>
        </a:prstGeom>
        <a:ln>
          <a:solidFill>
            <a:srgbClr val="00B0F0"/>
          </a:solidFill>
          <a:headEnd type="triangle"/>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71976</xdr:colOff>
      <xdr:row>90</xdr:row>
      <xdr:rowOff>109057</xdr:rowOff>
    </xdr:from>
    <xdr:to>
      <xdr:col>55</xdr:col>
      <xdr:colOff>4790</xdr:colOff>
      <xdr:row>90</xdr:row>
      <xdr:rowOff>109057</xdr:rowOff>
    </xdr:to>
    <xdr:cxnSp macro="">
      <xdr:nvCxnSpPr>
        <xdr:cNvPr id="413" name="直線矢印コネクタ 412">
          <a:extLst>
            <a:ext uri="{FF2B5EF4-FFF2-40B4-BE49-F238E27FC236}">
              <a16:creationId xmlns:a16="http://schemas.microsoft.com/office/drawing/2014/main" id="{AA6F34A2-9C7B-4510-9EFB-2D5EBD2F0530}"/>
            </a:ext>
          </a:extLst>
        </xdr:cNvPr>
        <xdr:cNvCxnSpPr/>
      </xdr:nvCxnSpPr>
      <xdr:spPr>
        <a:xfrm>
          <a:off x="15199917" y="21758822"/>
          <a:ext cx="212961" cy="0"/>
        </a:xfrm>
        <a:prstGeom prst="straightConnector1">
          <a:avLst/>
        </a:prstGeom>
        <a:ln>
          <a:solidFill>
            <a:srgbClr val="00B0F0"/>
          </a:solidFill>
          <a:headEnd type="triangle"/>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69594</xdr:colOff>
      <xdr:row>93</xdr:row>
      <xdr:rowOff>138480</xdr:rowOff>
    </xdr:from>
    <xdr:to>
      <xdr:col>55</xdr:col>
      <xdr:colOff>2408</xdr:colOff>
      <xdr:row>93</xdr:row>
      <xdr:rowOff>138480</xdr:rowOff>
    </xdr:to>
    <xdr:cxnSp macro="">
      <xdr:nvCxnSpPr>
        <xdr:cNvPr id="414" name="直線矢印コネクタ 413">
          <a:extLst>
            <a:ext uri="{FF2B5EF4-FFF2-40B4-BE49-F238E27FC236}">
              <a16:creationId xmlns:a16="http://schemas.microsoft.com/office/drawing/2014/main" id="{A09982D1-7DE0-4540-9CB2-F6FB0D3F122A}"/>
            </a:ext>
          </a:extLst>
        </xdr:cNvPr>
        <xdr:cNvCxnSpPr/>
      </xdr:nvCxnSpPr>
      <xdr:spPr>
        <a:xfrm>
          <a:off x="15197535" y="22494215"/>
          <a:ext cx="212961" cy="0"/>
        </a:xfrm>
        <a:prstGeom prst="straightConnector1">
          <a:avLst/>
        </a:prstGeom>
        <a:ln>
          <a:solidFill>
            <a:srgbClr val="00B0F0"/>
          </a:solidFill>
          <a:headEnd type="triangle"/>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73166</xdr:colOff>
      <xdr:row>96</xdr:row>
      <xdr:rowOff>197163</xdr:rowOff>
    </xdr:from>
    <xdr:to>
      <xdr:col>55</xdr:col>
      <xdr:colOff>5980</xdr:colOff>
      <xdr:row>96</xdr:row>
      <xdr:rowOff>197163</xdr:rowOff>
    </xdr:to>
    <xdr:cxnSp macro="">
      <xdr:nvCxnSpPr>
        <xdr:cNvPr id="415" name="直線矢印コネクタ 414">
          <a:extLst>
            <a:ext uri="{FF2B5EF4-FFF2-40B4-BE49-F238E27FC236}">
              <a16:creationId xmlns:a16="http://schemas.microsoft.com/office/drawing/2014/main" id="{647694C7-07F2-47D5-8C11-5E5FE5863C82}"/>
            </a:ext>
          </a:extLst>
        </xdr:cNvPr>
        <xdr:cNvCxnSpPr/>
      </xdr:nvCxnSpPr>
      <xdr:spPr>
        <a:xfrm>
          <a:off x="15201107" y="23258869"/>
          <a:ext cx="212961" cy="0"/>
        </a:xfrm>
        <a:prstGeom prst="straightConnector1">
          <a:avLst/>
        </a:prstGeom>
        <a:ln>
          <a:solidFill>
            <a:srgbClr val="00B0F0"/>
          </a:solidFill>
          <a:headEnd type="triangle"/>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70785</xdr:colOff>
      <xdr:row>100</xdr:row>
      <xdr:rowOff>43573</xdr:rowOff>
    </xdr:from>
    <xdr:to>
      <xdr:col>55</xdr:col>
      <xdr:colOff>3599</xdr:colOff>
      <xdr:row>100</xdr:row>
      <xdr:rowOff>43573</xdr:rowOff>
    </xdr:to>
    <xdr:cxnSp macro="">
      <xdr:nvCxnSpPr>
        <xdr:cNvPr id="416" name="直線矢印コネクタ 415">
          <a:extLst>
            <a:ext uri="{FF2B5EF4-FFF2-40B4-BE49-F238E27FC236}">
              <a16:creationId xmlns:a16="http://schemas.microsoft.com/office/drawing/2014/main" id="{DCC77EF3-1A28-45B9-BE25-C779A4F7E4B0}"/>
            </a:ext>
          </a:extLst>
        </xdr:cNvPr>
        <xdr:cNvCxnSpPr/>
      </xdr:nvCxnSpPr>
      <xdr:spPr>
        <a:xfrm>
          <a:off x="15198726" y="24046573"/>
          <a:ext cx="212961" cy="0"/>
        </a:xfrm>
        <a:prstGeom prst="straightConnector1">
          <a:avLst/>
        </a:prstGeom>
        <a:ln>
          <a:solidFill>
            <a:srgbClr val="00B0F0"/>
          </a:solidFill>
          <a:headEnd type="triangle"/>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53797</xdr:colOff>
      <xdr:row>76</xdr:row>
      <xdr:rowOff>224118</xdr:rowOff>
    </xdr:from>
    <xdr:to>
      <xdr:col>54</xdr:col>
      <xdr:colOff>53797</xdr:colOff>
      <xdr:row>100</xdr:row>
      <xdr:rowOff>85725</xdr:rowOff>
    </xdr:to>
    <xdr:cxnSp macro="">
      <xdr:nvCxnSpPr>
        <xdr:cNvPr id="417" name="直線コネクタ 416">
          <a:extLst>
            <a:ext uri="{FF2B5EF4-FFF2-40B4-BE49-F238E27FC236}">
              <a16:creationId xmlns:a16="http://schemas.microsoft.com/office/drawing/2014/main" id="{A7730663-A1BF-4349-AC9F-272D0E789BC8}"/>
            </a:ext>
          </a:extLst>
        </xdr:cNvPr>
        <xdr:cNvCxnSpPr/>
      </xdr:nvCxnSpPr>
      <xdr:spPr>
        <a:xfrm>
          <a:off x="15181738" y="18579353"/>
          <a:ext cx="0" cy="5509372"/>
        </a:xfrm>
        <a:prstGeom prst="line">
          <a:avLst/>
        </a:prstGeom>
        <a:ln>
          <a:solidFill>
            <a:srgbClr val="00B0F0"/>
          </a:solidFill>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52</xdr:col>
      <xdr:colOff>46655</xdr:colOff>
      <xdr:row>78</xdr:row>
      <xdr:rowOff>17236</xdr:rowOff>
    </xdr:from>
    <xdr:to>
      <xdr:col>54</xdr:col>
      <xdr:colOff>49695</xdr:colOff>
      <xdr:row>78</xdr:row>
      <xdr:rowOff>17236</xdr:rowOff>
    </xdr:to>
    <xdr:cxnSp macro="">
      <xdr:nvCxnSpPr>
        <xdr:cNvPr id="419" name="直線矢印コネクタ 418">
          <a:extLst>
            <a:ext uri="{FF2B5EF4-FFF2-40B4-BE49-F238E27FC236}">
              <a16:creationId xmlns:a16="http://schemas.microsoft.com/office/drawing/2014/main" id="{C1F75073-7180-445F-843C-C8CB9A0C953A}"/>
            </a:ext>
          </a:extLst>
        </xdr:cNvPr>
        <xdr:cNvCxnSpPr/>
      </xdr:nvCxnSpPr>
      <xdr:spPr>
        <a:xfrm>
          <a:off x="14259612" y="19232888"/>
          <a:ext cx="549692" cy="0"/>
        </a:xfrm>
        <a:prstGeom prst="straightConnector1">
          <a:avLst/>
        </a:prstGeom>
        <a:ln>
          <a:solidFill>
            <a:srgbClr val="00B0F0"/>
          </a:solidFill>
          <a:headEnd type="triangle"/>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48</xdr:col>
      <xdr:colOff>23027</xdr:colOff>
      <xdr:row>66</xdr:row>
      <xdr:rowOff>146539</xdr:rowOff>
    </xdr:from>
    <xdr:to>
      <xdr:col>48</xdr:col>
      <xdr:colOff>23027</xdr:colOff>
      <xdr:row>76</xdr:row>
      <xdr:rowOff>212912</xdr:rowOff>
    </xdr:to>
    <xdr:cxnSp macro="">
      <xdr:nvCxnSpPr>
        <xdr:cNvPr id="421" name="直線矢印コネクタ 420">
          <a:extLst>
            <a:ext uri="{FF2B5EF4-FFF2-40B4-BE49-F238E27FC236}">
              <a16:creationId xmlns:a16="http://schemas.microsoft.com/office/drawing/2014/main" id="{52D17CFE-8C5D-47DE-944E-2BAECB28DE38}"/>
            </a:ext>
          </a:extLst>
        </xdr:cNvPr>
        <xdr:cNvCxnSpPr/>
      </xdr:nvCxnSpPr>
      <xdr:spPr>
        <a:xfrm>
          <a:off x="13470086" y="16148539"/>
          <a:ext cx="0" cy="2419608"/>
        </a:xfrm>
        <a:prstGeom prst="straightConnector1">
          <a:avLst/>
        </a:prstGeom>
        <a:ln>
          <a:solidFill>
            <a:srgbClr val="00B0F0"/>
          </a:solidFill>
          <a:headEnd type="triangle"/>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46</xdr:col>
      <xdr:colOff>45103</xdr:colOff>
      <xdr:row>66</xdr:row>
      <xdr:rowOff>11151</xdr:rowOff>
    </xdr:from>
    <xdr:to>
      <xdr:col>47</xdr:col>
      <xdr:colOff>124557</xdr:colOff>
      <xdr:row>66</xdr:row>
      <xdr:rowOff>11151</xdr:rowOff>
    </xdr:to>
    <xdr:cxnSp macro="">
      <xdr:nvCxnSpPr>
        <xdr:cNvPr id="427" name="直線矢印コネクタ 426">
          <a:extLst>
            <a:ext uri="{FF2B5EF4-FFF2-40B4-BE49-F238E27FC236}">
              <a16:creationId xmlns:a16="http://schemas.microsoft.com/office/drawing/2014/main" id="{619CBF7A-F4AB-42E6-B12B-2E35F5FEF709}"/>
            </a:ext>
          </a:extLst>
        </xdr:cNvPr>
        <xdr:cNvCxnSpPr/>
      </xdr:nvCxnSpPr>
      <xdr:spPr>
        <a:xfrm>
          <a:off x="12852565" y="16452766"/>
          <a:ext cx="357877" cy="0"/>
        </a:xfrm>
        <a:prstGeom prst="straightConnector1">
          <a:avLst/>
        </a:prstGeom>
        <a:ln>
          <a:solidFill>
            <a:srgbClr val="00B0F0"/>
          </a:solidFill>
          <a:headEnd type="triangle"/>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43</xdr:col>
      <xdr:colOff>249826</xdr:colOff>
      <xdr:row>67</xdr:row>
      <xdr:rowOff>93624</xdr:rowOff>
    </xdr:from>
    <xdr:to>
      <xdr:col>48</xdr:col>
      <xdr:colOff>55470</xdr:colOff>
      <xdr:row>69</xdr:row>
      <xdr:rowOff>183173</xdr:rowOff>
    </xdr:to>
    <xdr:sp macro="" textlink="">
      <xdr:nvSpPr>
        <xdr:cNvPr id="429" name="正方形/長方形 428">
          <a:extLst>
            <a:ext uri="{FF2B5EF4-FFF2-40B4-BE49-F238E27FC236}">
              <a16:creationId xmlns:a16="http://schemas.microsoft.com/office/drawing/2014/main" id="{660C78FC-ED2A-495C-B363-39E8A52B02FA}"/>
            </a:ext>
          </a:extLst>
        </xdr:cNvPr>
        <xdr:cNvSpPr/>
      </xdr:nvSpPr>
      <xdr:spPr>
        <a:xfrm>
          <a:off x="12222018" y="16777028"/>
          <a:ext cx="1197760" cy="57312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a:t>
          </a:r>
          <a:endParaRPr kumimoji="1" lang="en-US" altLang="ja-JP" sz="1100">
            <a:solidFill>
              <a:schemeClr val="tx1"/>
            </a:solidFill>
          </a:endParaRPr>
        </a:p>
        <a:p>
          <a:pPr algn="ctr"/>
          <a:r>
            <a:rPr kumimoji="1" lang="ja-JP" altLang="en-US" sz="1100">
              <a:solidFill>
                <a:schemeClr val="tx1"/>
              </a:solidFill>
            </a:rPr>
            <a:t>データ</a:t>
          </a:r>
        </a:p>
      </xdr:txBody>
    </xdr:sp>
    <xdr:clientData/>
  </xdr:twoCellAnchor>
  <xdr:twoCellAnchor>
    <xdr:from>
      <xdr:col>46</xdr:col>
      <xdr:colOff>225919</xdr:colOff>
      <xdr:row>66</xdr:row>
      <xdr:rowOff>20514</xdr:rowOff>
    </xdr:from>
    <xdr:to>
      <xdr:col>46</xdr:col>
      <xdr:colOff>258489</xdr:colOff>
      <xdr:row>67</xdr:row>
      <xdr:rowOff>166893</xdr:rowOff>
    </xdr:to>
    <xdr:cxnSp macro="">
      <xdr:nvCxnSpPr>
        <xdr:cNvPr id="430" name="直線コネクタ 429">
          <a:extLst>
            <a:ext uri="{FF2B5EF4-FFF2-40B4-BE49-F238E27FC236}">
              <a16:creationId xmlns:a16="http://schemas.microsoft.com/office/drawing/2014/main" id="{E0861480-67A5-4A6B-8672-687A7A68487C}"/>
            </a:ext>
          </a:extLst>
        </xdr:cNvPr>
        <xdr:cNvCxnSpPr/>
      </xdr:nvCxnSpPr>
      <xdr:spPr>
        <a:xfrm flipH="1">
          <a:off x="13033381" y="16462129"/>
          <a:ext cx="32570" cy="388168"/>
        </a:xfrm>
        <a:prstGeom prst="line">
          <a:avLst/>
        </a:prstGeom>
        <a:ln>
          <a:solidFill>
            <a:schemeClr val="tx1"/>
          </a:solidFill>
          <a:prstDash val="dash"/>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44</xdr:col>
      <xdr:colOff>41413</xdr:colOff>
      <xdr:row>88</xdr:row>
      <xdr:rowOff>153429</xdr:rowOff>
    </xdr:from>
    <xdr:to>
      <xdr:col>46</xdr:col>
      <xdr:colOff>212911</xdr:colOff>
      <xdr:row>88</xdr:row>
      <xdr:rowOff>153429</xdr:rowOff>
    </xdr:to>
    <xdr:cxnSp macro="">
      <xdr:nvCxnSpPr>
        <xdr:cNvPr id="431" name="直線矢印コネクタ 430">
          <a:extLst>
            <a:ext uri="{FF2B5EF4-FFF2-40B4-BE49-F238E27FC236}">
              <a16:creationId xmlns:a16="http://schemas.microsoft.com/office/drawing/2014/main" id="{477B5A17-CC3F-4EFE-BAB3-755F4C7C66F0}"/>
            </a:ext>
          </a:extLst>
        </xdr:cNvPr>
        <xdr:cNvCxnSpPr/>
      </xdr:nvCxnSpPr>
      <xdr:spPr>
        <a:xfrm>
          <a:off x="12367884" y="21332547"/>
          <a:ext cx="731792"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52</xdr:col>
      <xdr:colOff>253431</xdr:colOff>
      <xdr:row>81</xdr:row>
      <xdr:rowOff>186580</xdr:rowOff>
    </xdr:from>
    <xdr:to>
      <xdr:col>54</xdr:col>
      <xdr:colOff>256365</xdr:colOff>
      <xdr:row>81</xdr:row>
      <xdr:rowOff>186580</xdr:rowOff>
    </xdr:to>
    <xdr:cxnSp macro="">
      <xdr:nvCxnSpPr>
        <xdr:cNvPr id="433" name="直線矢印コネクタ 432">
          <a:extLst>
            <a:ext uri="{FF2B5EF4-FFF2-40B4-BE49-F238E27FC236}">
              <a16:creationId xmlns:a16="http://schemas.microsoft.com/office/drawing/2014/main" id="{FD17FA2D-F3DD-4697-BFE4-DBFF209AA56A}"/>
            </a:ext>
          </a:extLst>
        </xdr:cNvPr>
        <xdr:cNvCxnSpPr/>
      </xdr:nvCxnSpPr>
      <xdr:spPr>
        <a:xfrm>
          <a:off x="14821078" y="19718433"/>
          <a:ext cx="563228"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52</xdr:col>
      <xdr:colOff>261036</xdr:colOff>
      <xdr:row>78</xdr:row>
      <xdr:rowOff>124239</xdr:rowOff>
    </xdr:from>
    <xdr:to>
      <xdr:col>52</xdr:col>
      <xdr:colOff>261036</xdr:colOff>
      <xdr:row>101</xdr:row>
      <xdr:rowOff>182218</xdr:rowOff>
    </xdr:to>
    <xdr:cxnSp macro="">
      <xdr:nvCxnSpPr>
        <xdr:cNvPr id="436" name="直線コネクタ 435">
          <a:extLst>
            <a:ext uri="{FF2B5EF4-FFF2-40B4-BE49-F238E27FC236}">
              <a16:creationId xmlns:a16="http://schemas.microsoft.com/office/drawing/2014/main" id="{011D9B9D-FF95-4301-A634-2C812A86F857}"/>
            </a:ext>
          </a:extLst>
        </xdr:cNvPr>
        <xdr:cNvCxnSpPr/>
      </xdr:nvCxnSpPr>
      <xdr:spPr>
        <a:xfrm>
          <a:off x="14473993" y="19339891"/>
          <a:ext cx="0" cy="5582479"/>
        </a:xfrm>
        <a:prstGeom prst="line">
          <a:avLst/>
        </a:prstGeom>
        <a:ln>
          <a:solidFill>
            <a:schemeClr val="tx1"/>
          </a:solidFill>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52</xdr:col>
      <xdr:colOff>272481</xdr:colOff>
      <xdr:row>78</xdr:row>
      <xdr:rowOff>160489</xdr:rowOff>
    </xdr:from>
    <xdr:to>
      <xdr:col>55</xdr:col>
      <xdr:colOff>2089</xdr:colOff>
      <xdr:row>78</xdr:row>
      <xdr:rowOff>160489</xdr:rowOff>
    </xdr:to>
    <xdr:cxnSp macro="">
      <xdr:nvCxnSpPr>
        <xdr:cNvPr id="437" name="直線矢印コネクタ 436">
          <a:extLst>
            <a:ext uri="{FF2B5EF4-FFF2-40B4-BE49-F238E27FC236}">
              <a16:creationId xmlns:a16="http://schemas.microsoft.com/office/drawing/2014/main" id="{7938D188-32AF-44D8-9B3B-784B86EB6A50}"/>
            </a:ext>
          </a:extLst>
        </xdr:cNvPr>
        <xdr:cNvCxnSpPr/>
      </xdr:nvCxnSpPr>
      <xdr:spPr>
        <a:xfrm>
          <a:off x="14485438" y="19376141"/>
          <a:ext cx="549586"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60</xdr:col>
      <xdr:colOff>121353</xdr:colOff>
      <xdr:row>76</xdr:row>
      <xdr:rowOff>160322</xdr:rowOff>
    </xdr:from>
    <xdr:to>
      <xdr:col>64</xdr:col>
      <xdr:colOff>74653</xdr:colOff>
      <xdr:row>78</xdr:row>
      <xdr:rowOff>217373</xdr:rowOff>
    </xdr:to>
    <xdr:sp macro="" textlink="">
      <xdr:nvSpPr>
        <xdr:cNvPr id="391" name="正方形/長方形 390">
          <a:extLst>
            <a:ext uri="{FF2B5EF4-FFF2-40B4-BE49-F238E27FC236}">
              <a16:creationId xmlns:a16="http://schemas.microsoft.com/office/drawing/2014/main" id="{5F55EAD3-716F-4BAA-BCEB-4619B1223C60}"/>
            </a:ext>
          </a:extLst>
        </xdr:cNvPr>
        <xdr:cNvSpPr/>
      </xdr:nvSpPr>
      <xdr:spPr>
        <a:xfrm>
          <a:off x="16520918" y="18895583"/>
          <a:ext cx="1046605" cy="537442"/>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ADC</a:t>
          </a:r>
        </a:p>
        <a:p>
          <a:pPr algn="ctr"/>
          <a:r>
            <a:rPr kumimoji="1" lang="en-US" altLang="ja-JP" sz="1200">
              <a:solidFill>
                <a:schemeClr val="tx1"/>
              </a:solidFill>
            </a:rPr>
            <a:t>Tile</a:t>
          </a:r>
          <a:r>
            <a:rPr kumimoji="1" lang="en-US" altLang="ja-JP" sz="1200" baseline="0">
              <a:solidFill>
                <a:schemeClr val="tx1"/>
              </a:solidFill>
            </a:rPr>
            <a:t> 224   Ch 0</a:t>
          </a:r>
          <a:endParaRPr kumimoji="1" lang="ja-JP" altLang="en-US" sz="1400">
            <a:solidFill>
              <a:schemeClr val="tx1"/>
            </a:solidFill>
          </a:endParaRPr>
        </a:p>
      </xdr:txBody>
    </xdr:sp>
    <xdr:clientData/>
  </xdr:twoCellAnchor>
  <xdr:twoCellAnchor>
    <xdr:from>
      <xdr:col>60</xdr:col>
      <xdr:colOff>116384</xdr:colOff>
      <xdr:row>79</xdr:row>
      <xdr:rowOff>210541</xdr:rowOff>
    </xdr:from>
    <xdr:to>
      <xdr:col>64</xdr:col>
      <xdr:colOff>69684</xdr:colOff>
      <xdr:row>82</xdr:row>
      <xdr:rowOff>21907</xdr:rowOff>
    </xdr:to>
    <xdr:sp macro="" textlink="">
      <xdr:nvSpPr>
        <xdr:cNvPr id="392" name="正方形/長方形 391">
          <a:extLst>
            <a:ext uri="{FF2B5EF4-FFF2-40B4-BE49-F238E27FC236}">
              <a16:creationId xmlns:a16="http://schemas.microsoft.com/office/drawing/2014/main" id="{7ECB4D1A-3C5A-4FEF-9D90-B7F06BD29DA4}"/>
            </a:ext>
          </a:extLst>
        </xdr:cNvPr>
        <xdr:cNvSpPr/>
      </xdr:nvSpPr>
      <xdr:spPr>
        <a:xfrm>
          <a:off x="16670177" y="19365644"/>
          <a:ext cx="1056886" cy="520815"/>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ADC</a:t>
          </a:r>
        </a:p>
        <a:p>
          <a:pPr algn="ctr"/>
          <a:r>
            <a:rPr kumimoji="1" lang="en-US" altLang="ja-JP" sz="1200">
              <a:solidFill>
                <a:schemeClr val="tx1"/>
              </a:solidFill>
            </a:rPr>
            <a:t>Tile</a:t>
          </a:r>
          <a:r>
            <a:rPr kumimoji="1" lang="en-US" altLang="ja-JP" sz="1200" baseline="0">
              <a:solidFill>
                <a:schemeClr val="tx1"/>
              </a:solidFill>
            </a:rPr>
            <a:t> 224   Ch 1</a:t>
          </a:r>
          <a:endParaRPr kumimoji="1" lang="ja-JP" altLang="en-US" sz="1400">
            <a:solidFill>
              <a:schemeClr val="tx1"/>
            </a:solidFill>
          </a:endParaRPr>
        </a:p>
      </xdr:txBody>
    </xdr:sp>
    <xdr:clientData/>
  </xdr:twoCellAnchor>
  <xdr:twoCellAnchor>
    <xdr:from>
      <xdr:col>60</xdr:col>
      <xdr:colOff>119696</xdr:colOff>
      <xdr:row>83</xdr:row>
      <xdr:rowOff>39779</xdr:rowOff>
    </xdr:from>
    <xdr:to>
      <xdr:col>64</xdr:col>
      <xdr:colOff>72996</xdr:colOff>
      <xdr:row>85</xdr:row>
      <xdr:rowOff>101481</xdr:rowOff>
    </xdr:to>
    <xdr:sp macro="" textlink="">
      <xdr:nvSpPr>
        <xdr:cNvPr id="393" name="正方形/長方形 392">
          <a:extLst>
            <a:ext uri="{FF2B5EF4-FFF2-40B4-BE49-F238E27FC236}">
              <a16:creationId xmlns:a16="http://schemas.microsoft.com/office/drawing/2014/main" id="{BAE40AB6-528D-4393-9644-DCCCBB9FF6A4}"/>
            </a:ext>
          </a:extLst>
        </xdr:cNvPr>
        <xdr:cNvSpPr/>
      </xdr:nvSpPr>
      <xdr:spPr>
        <a:xfrm>
          <a:off x="16673489" y="20140813"/>
          <a:ext cx="1056886" cy="534668"/>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ADC</a:t>
          </a:r>
        </a:p>
        <a:p>
          <a:pPr algn="ctr"/>
          <a:r>
            <a:rPr kumimoji="1" lang="en-US" altLang="ja-JP" sz="1200">
              <a:solidFill>
                <a:schemeClr val="tx1"/>
              </a:solidFill>
            </a:rPr>
            <a:t>Tile</a:t>
          </a:r>
          <a:r>
            <a:rPr kumimoji="1" lang="en-US" altLang="ja-JP" sz="1200" baseline="0">
              <a:solidFill>
                <a:schemeClr val="tx1"/>
              </a:solidFill>
            </a:rPr>
            <a:t> 225   Ch 0</a:t>
          </a:r>
          <a:endParaRPr kumimoji="1" lang="ja-JP" altLang="en-US" sz="1400">
            <a:solidFill>
              <a:schemeClr val="tx1"/>
            </a:solidFill>
          </a:endParaRPr>
        </a:p>
      </xdr:txBody>
    </xdr:sp>
    <xdr:clientData/>
  </xdr:twoCellAnchor>
  <xdr:twoCellAnchor>
    <xdr:from>
      <xdr:col>60</xdr:col>
      <xdr:colOff>123009</xdr:colOff>
      <xdr:row>86</xdr:row>
      <xdr:rowOff>119848</xdr:rowOff>
    </xdr:from>
    <xdr:to>
      <xdr:col>64</xdr:col>
      <xdr:colOff>76309</xdr:colOff>
      <xdr:row>88</xdr:row>
      <xdr:rowOff>166425</xdr:rowOff>
    </xdr:to>
    <xdr:sp macro="" textlink="">
      <xdr:nvSpPr>
        <xdr:cNvPr id="394" name="正方形/長方形 393">
          <a:extLst>
            <a:ext uri="{FF2B5EF4-FFF2-40B4-BE49-F238E27FC236}">
              <a16:creationId xmlns:a16="http://schemas.microsoft.com/office/drawing/2014/main" id="{72656A75-8617-4EF3-B839-9A28BE10E6F9}"/>
            </a:ext>
          </a:extLst>
        </xdr:cNvPr>
        <xdr:cNvSpPr/>
      </xdr:nvSpPr>
      <xdr:spPr>
        <a:xfrm>
          <a:off x="16676802" y="20930331"/>
          <a:ext cx="1056886" cy="519542"/>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ADC</a:t>
          </a:r>
        </a:p>
        <a:p>
          <a:pPr algn="ctr"/>
          <a:r>
            <a:rPr kumimoji="1" lang="en-US" altLang="ja-JP" sz="1200">
              <a:solidFill>
                <a:schemeClr val="tx1"/>
              </a:solidFill>
            </a:rPr>
            <a:t>Tile</a:t>
          </a:r>
          <a:r>
            <a:rPr kumimoji="1" lang="en-US" altLang="ja-JP" sz="1200" baseline="0">
              <a:solidFill>
                <a:schemeClr val="tx1"/>
              </a:solidFill>
            </a:rPr>
            <a:t> 225   Ch 1</a:t>
          </a:r>
          <a:endParaRPr kumimoji="1" lang="ja-JP" altLang="en-US" sz="1400">
            <a:solidFill>
              <a:schemeClr val="tx1"/>
            </a:solidFill>
          </a:endParaRPr>
        </a:p>
      </xdr:txBody>
    </xdr:sp>
    <xdr:clientData/>
  </xdr:twoCellAnchor>
  <xdr:twoCellAnchor>
    <xdr:from>
      <xdr:col>60</xdr:col>
      <xdr:colOff>96676</xdr:colOff>
      <xdr:row>89</xdr:row>
      <xdr:rowOff>192156</xdr:rowOff>
    </xdr:from>
    <xdr:to>
      <xdr:col>64</xdr:col>
      <xdr:colOff>49976</xdr:colOff>
      <xdr:row>92</xdr:row>
      <xdr:rowOff>7851</xdr:rowOff>
    </xdr:to>
    <xdr:sp macro="" textlink="">
      <xdr:nvSpPr>
        <xdr:cNvPr id="395" name="正方形/長方形 394">
          <a:extLst>
            <a:ext uri="{FF2B5EF4-FFF2-40B4-BE49-F238E27FC236}">
              <a16:creationId xmlns:a16="http://schemas.microsoft.com/office/drawing/2014/main" id="{7E774EB9-13C0-47E5-A5C4-00FA09BC6ACE}"/>
            </a:ext>
          </a:extLst>
        </xdr:cNvPr>
        <xdr:cNvSpPr/>
      </xdr:nvSpPr>
      <xdr:spPr>
        <a:xfrm>
          <a:off x="16650469" y="21712087"/>
          <a:ext cx="1056886" cy="525143"/>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ADC</a:t>
          </a:r>
        </a:p>
        <a:p>
          <a:pPr algn="ctr"/>
          <a:r>
            <a:rPr kumimoji="1" lang="en-US" altLang="ja-JP" sz="1200">
              <a:solidFill>
                <a:schemeClr val="tx1"/>
              </a:solidFill>
            </a:rPr>
            <a:t>Tile</a:t>
          </a:r>
          <a:r>
            <a:rPr kumimoji="1" lang="en-US" altLang="ja-JP" sz="1200" baseline="0">
              <a:solidFill>
                <a:schemeClr val="tx1"/>
              </a:solidFill>
            </a:rPr>
            <a:t> 226   Ch 0</a:t>
          </a:r>
          <a:endParaRPr kumimoji="1" lang="ja-JP" altLang="en-US" sz="1400">
            <a:solidFill>
              <a:schemeClr val="tx1"/>
            </a:solidFill>
          </a:endParaRPr>
        </a:p>
      </xdr:txBody>
    </xdr:sp>
    <xdr:clientData/>
  </xdr:twoCellAnchor>
  <xdr:twoCellAnchor>
    <xdr:from>
      <xdr:col>60</xdr:col>
      <xdr:colOff>99488</xdr:colOff>
      <xdr:row>93</xdr:row>
      <xdr:rowOff>9630</xdr:rowOff>
    </xdr:from>
    <xdr:to>
      <xdr:col>64</xdr:col>
      <xdr:colOff>64714</xdr:colOff>
      <xdr:row>95</xdr:row>
      <xdr:rowOff>60167</xdr:rowOff>
    </xdr:to>
    <xdr:sp macro="" textlink="">
      <xdr:nvSpPr>
        <xdr:cNvPr id="396" name="正方形/長方形 395">
          <a:extLst>
            <a:ext uri="{FF2B5EF4-FFF2-40B4-BE49-F238E27FC236}">
              <a16:creationId xmlns:a16="http://schemas.microsoft.com/office/drawing/2014/main" id="{B3AC1219-F28B-42F6-8E3F-FC7319A8802D}"/>
            </a:ext>
          </a:extLst>
        </xdr:cNvPr>
        <xdr:cNvSpPr/>
      </xdr:nvSpPr>
      <xdr:spPr>
        <a:xfrm>
          <a:off x="16653281" y="22475492"/>
          <a:ext cx="1068812" cy="523503"/>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ADC</a:t>
          </a:r>
        </a:p>
        <a:p>
          <a:pPr algn="ctr"/>
          <a:r>
            <a:rPr kumimoji="1" lang="en-US" altLang="ja-JP" sz="1200">
              <a:solidFill>
                <a:schemeClr val="tx1"/>
              </a:solidFill>
            </a:rPr>
            <a:t>Tile</a:t>
          </a:r>
          <a:r>
            <a:rPr kumimoji="1" lang="en-US" altLang="ja-JP" sz="1200" baseline="0">
              <a:solidFill>
                <a:schemeClr val="tx1"/>
              </a:solidFill>
            </a:rPr>
            <a:t> 226   Ch 1</a:t>
          </a:r>
          <a:endParaRPr kumimoji="1" lang="ja-JP" altLang="en-US" sz="1400">
            <a:solidFill>
              <a:schemeClr val="tx1"/>
            </a:solidFill>
          </a:endParaRPr>
        </a:p>
      </xdr:txBody>
    </xdr:sp>
    <xdr:clientData/>
  </xdr:twoCellAnchor>
  <xdr:twoCellAnchor>
    <xdr:from>
      <xdr:col>60</xdr:col>
      <xdr:colOff>106722</xdr:colOff>
      <xdr:row>96</xdr:row>
      <xdr:rowOff>100040</xdr:rowOff>
    </xdr:from>
    <xdr:to>
      <xdr:col>64</xdr:col>
      <xdr:colOff>68026</xdr:colOff>
      <xdr:row>98</xdr:row>
      <xdr:rowOff>158942</xdr:rowOff>
    </xdr:to>
    <xdr:sp macro="" textlink="">
      <xdr:nvSpPr>
        <xdr:cNvPr id="397" name="正方形/長方形 396">
          <a:extLst>
            <a:ext uri="{FF2B5EF4-FFF2-40B4-BE49-F238E27FC236}">
              <a16:creationId xmlns:a16="http://schemas.microsoft.com/office/drawing/2014/main" id="{7C434337-267A-433F-A6D7-A9BB056D2276}"/>
            </a:ext>
          </a:extLst>
        </xdr:cNvPr>
        <xdr:cNvSpPr/>
      </xdr:nvSpPr>
      <xdr:spPr>
        <a:xfrm>
          <a:off x="16660515" y="23275350"/>
          <a:ext cx="1064890" cy="531868"/>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ADC</a:t>
          </a:r>
        </a:p>
        <a:p>
          <a:pPr algn="ctr"/>
          <a:r>
            <a:rPr kumimoji="1" lang="en-US" altLang="ja-JP" sz="1200">
              <a:solidFill>
                <a:schemeClr val="tx1"/>
              </a:solidFill>
            </a:rPr>
            <a:t>Tile</a:t>
          </a:r>
          <a:r>
            <a:rPr kumimoji="1" lang="en-US" altLang="ja-JP" sz="1200" baseline="0">
              <a:solidFill>
                <a:schemeClr val="tx1"/>
              </a:solidFill>
            </a:rPr>
            <a:t> 227   Ch 0</a:t>
          </a:r>
          <a:endParaRPr kumimoji="1" lang="ja-JP" altLang="en-US" sz="1400">
            <a:solidFill>
              <a:schemeClr val="tx1"/>
            </a:solidFill>
          </a:endParaRPr>
        </a:p>
      </xdr:txBody>
    </xdr:sp>
    <xdr:clientData/>
  </xdr:twoCellAnchor>
  <xdr:twoCellAnchor>
    <xdr:from>
      <xdr:col>60</xdr:col>
      <xdr:colOff>118039</xdr:colOff>
      <xdr:row>99</xdr:row>
      <xdr:rowOff>148811</xdr:rowOff>
    </xdr:from>
    <xdr:to>
      <xdr:col>64</xdr:col>
      <xdr:colOff>71339</xdr:colOff>
      <xdr:row>101</xdr:row>
      <xdr:rowOff>205863</xdr:rowOff>
    </xdr:to>
    <xdr:sp macro="" textlink="">
      <xdr:nvSpPr>
        <xdr:cNvPr id="398" name="正方形/長方形 397">
          <a:extLst>
            <a:ext uri="{FF2B5EF4-FFF2-40B4-BE49-F238E27FC236}">
              <a16:creationId xmlns:a16="http://schemas.microsoft.com/office/drawing/2014/main" id="{BDA210CE-AC03-47C2-8459-3F6D66915270}"/>
            </a:ext>
          </a:extLst>
        </xdr:cNvPr>
        <xdr:cNvSpPr/>
      </xdr:nvSpPr>
      <xdr:spPr>
        <a:xfrm>
          <a:off x="16671832" y="24033570"/>
          <a:ext cx="1056886" cy="530017"/>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ADC</a:t>
          </a:r>
        </a:p>
        <a:p>
          <a:pPr algn="ctr"/>
          <a:r>
            <a:rPr kumimoji="1" lang="en-US" altLang="ja-JP" sz="1200">
              <a:solidFill>
                <a:schemeClr val="tx1"/>
              </a:solidFill>
            </a:rPr>
            <a:t>Tile</a:t>
          </a:r>
          <a:r>
            <a:rPr kumimoji="1" lang="en-US" altLang="ja-JP" sz="1200" baseline="0">
              <a:solidFill>
                <a:schemeClr val="tx1"/>
              </a:solidFill>
            </a:rPr>
            <a:t> 227   Ch 1</a:t>
          </a:r>
          <a:endParaRPr kumimoji="1" lang="ja-JP" altLang="en-US" sz="1400">
            <a:solidFill>
              <a:schemeClr val="tx1"/>
            </a:solidFill>
          </a:endParaRPr>
        </a:p>
      </xdr:txBody>
    </xdr:sp>
    <xdr:clientData/>
  </xdr:twoCellAnchor>
  <xdr:twoCellAnchor>
    <xdr:from>
      <xdr:col>53</xdr:col>
      <xdr:colOff>3491</xdr:colOff>
      <xdr:row>85</xdr:row>
      <xdr:rowOff>22390</xdr:rowOff>
    </xdr:from>
    <xdr:to>
      <xdr:col>55</xdr:col>
      <xdr:colOff>6425</xdr:colOff>
      <xdr:row>85</xdr:row>
      <xdr:rowOff>22390</xdr:rowOff>
    </xdr:to>
    <xdr:cxnSp macro="">
      <xdr:nvCxnSpPr>
        <xdr:cNvPr id="446" name="直線矢印コネクタ 445">
          <a:extLst>
            <a:ext uri="{FF2B5EF4-FFF2-40B4-BE49-F238E27FC236}">
              <a16:creationId xmlns:a16="http://schemas.microsoft.com/office/drawing/2014/main" id="{19324BB6-DA97-43F5-A9A7-B42227C8CFF2}"/>
            </a:ext>
          </a:extLst>
        </xdr:cNvPr>
        <xdr:cNvCxnSpPr/>
      </xdr:nvCxnSpPr>
      <xdr:spPr>
        <a:xfrm>
          <a:off x="14489774" y="20919412"/>
          <a:ext cx="549586"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52</xdr:col>
      <xdr:colOff>271848</xdr:colOff>
      <xdr:row>88</xdr:row>
      <xdr:rowOff>108529</xdr:rowOff>
    </xdr:from>
    <xdr:to>
      <xdr:col>55</xdr:col>
      <xdr:colOff>1456</xdr:colOff>
      <xdr:row>88</xdr:row>
      <xdr:rowOff>108529</xdr:rowOff>
    </xdr:to>
    <xdr:cxnSp macro="">
      <xdr:nvCxnSpPr>
        <xdr:cNvPr id="447" name="直線矢印コネクタ 446">
          <a:extLst>
            <a:ext uri="{FF2B5EF4-FFF2-40B4-BE49-F238E27FC236}">
              <a16:creationId xmlns:a16="http://schemas.microsoft.com/office/drawing/2014/main" id="{27591DC0-09E6-4BA9-8283-56D4B08284B4}"/>
            </a:ext>
          </a:extLst>
        </xdr:cNvPr>
        <xdr:cNvCxnSpPr/>
      </xdr:nvCxnSpPr>
      <xdr:spPr>
        <a:xfrm>
          <a:off x="14484805" y="21726138"/>
          <a:ext cx="549586"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53</xdr:col>
      <xdr:colOff>1835</xdr:colOff>
      <xdr:row>91</xdr:row>
      <xdr:rowOff>178103</xdr:rowOff>
    </xdr:from>
    <xdr:to>
      <xdr:col>55</xdr:col>
      <xdr:colOff>4769</xdr:colOff>
      <xdr:row>91</xdr:row>
      <xdr:rowOff>178103</xdr:rowOff>
    </xdr:to>
    <xdr:cxnSp macro="">
      <xdr:nvCxnSpPr>
        <xdr:cNvPr id="448" name="直線矢印コネクタ 447">
          <a:extLst>
            <a:ext uri="{FF2B5EF4-FFF2-40B4-BE49-F238E27FC236}">
              <a16:creationId xmlns:a16="http://schemas.microsoft.com/office/drawing/2014/main" id="{8EFAD0C7-4C89-4ECC-81E8-124BDFFBB506}"/>
            </a:ext>
          </a:extLst>
        </xdr:cNvPr>
        <xdr:cNvCxnSpPr/>
      </xdr:nvCxnSpPr>
      <xdr:spPr>
        <a:xfrm>
          <a:off x="14488118" y="22516299"/>
          <a:ext cx="549586"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52</xdr:col>
      <xdr:colOff>261909</xdr:colOff>
      <xdr:row>94</xdr:row>
      <xdr:rowOff>206264</xdr:rowOff>
    </xdr:from>
    <xdr:to>
      <xdr:col>54</xdr:col>
      <xdr:colOff>264843</xdr:colOff>
      <xdr:row>94</xdr:row>
      <xdr:rowOff>206264</xdr:rowOff>
    </xdr:to>
    <xdr:cxnSp macro="">
      <xdr:nvCxnSpPr>
        <xdr:cNvPr id="449" name="直線矢印コネクタ 448">
          <a:extLst>
            <a:ext uri="{FF2B5EF4-FFF2-40B4-BE49-F238E27FC236}">
              <a16:creationId xmlns:a16="http://schemas.microsoft.com/office/drawing/2014/main" id="{D5C12DAF-C2A1-46C1-8B88-E413BEAEC971}"/>
            </a:ext>
          </a:extLst>
        </xdr:cNvPr>
        <xdr:cNvCxnSpPr/>
      </xdr:nvCxnSpPr>
      <xdr:spPr>
        <a:xfrm>
          <a:off x="14474866" y="23265047"/>
          <a:ext cx="549586"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53</xdr:col>
      <xdr:colOff>178</xdr:colOff>
      <xdr:row>98</xdr:row>
      <xdr:rowOff>60490</xdr:rowOff>
    </xdr:from>
    <xdr:to>
      <xdr:col>55</xdr:col>
      <xdr:colOff>3112</xdr:colOff>
      <xdr:row>98</xdr:row>
      <xdr:rowOff>60490</xdr:rowOff>
    </xdr:to>
    <xdr:cxnSp macro="">
      <xdr:nvCxnSpPr>
        <xdr:cNvPr id="450" name="直線矢印コネクタ 449">
          <a:extLst>
            <a:ext uri="{FF2B5EF4-FFF2-40B4-BE49-F238E27FC236}">
              <a16:creationId xmlns:a16="http://schemas.microsoft.com/office/drawing/2014/main" id="{6E44A319-5CCE-40FF-B2DC-2CE9D6C6FC14}"/>
            </a:ext>
          </a:extLst>
        </xdr:cNvPr>
        <xdr:cNvCxnSpPr/>
      </xdr:nvCxnSpPr>
      <xdr:spPr>
        <a:xfrm>
          <a:off x="14486461" y="24080055"/>
          <a:ext cx="549586"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53</xdr:col>
      <xdr:colOff>20056</xdr:colOff>
      <xdr:row>101</xdr:row>
      <xdr:rowOff>121781</xdr:rowOff>
    </xdr:from>
    <xdr:to>
      <xdr:col>55</xdr:col>
      <xdr:colOff>22990</xdr:colOff>
      <xdr:row>101</xdr:row>
      <xdr:rowOff>121781</xdr:rowOff>
    </xdr:to>
    <xdr:cxnSp macro="">
      <xdr:nvCxnSpPr>
        <xdr:cNvPr id="452" name="直線矢印コネクタ 451">
          <a:extLst>
            <a:ext uri="{FF2B5EF4-FFF2-40B4-BE49-F238E27FC236}">
              <a16:creationId xmlns:a16="http://schemas.microsoft.com/office/drawing/2014/main" id="{81D387D6-3E57-44E3-BB84-3D723B3BA726}"/>
            </a:ext>
          </a:extLst>
        </xdr:cNvPr>
        <xdr:cNvCxnSpPr/>
      </xdr:nvCxnSpPr>
      <xdr:spPr>
        <a:xfrm>
          <a:off x="14506339" y="24861933"/>
          <a:ext cx="549586"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51</xdr:col>
      <xdr:colOff>212912</xdr:colOff>
      <xdr:row>87</xdr:row>
      <xdr:rowOff>142249</xdr:rowOff>
    </xdr:from>
    <xdr:to>
      <xdr:col>52</xdr:col>
      <xdr:colOff>265043</xdr:colOff>
      <xdr:row>87</xdr:row>
      <xdr:rowOff>142249</xdr:rowOff>
    </xdr:to>
    <xdr:cxnSp macro="">
      <xdr:nvCxnSpPr>
        <xdr:cNvPr id="454" name="直線矢印コネクタ 453">
          <a:extLst>
            <a:ext uri="{FF2B5EF4-FFF2-40B4-BE49-F238E27FC236}">
              <a16:creationId xmlns:a16="http://schemas.microsoft.com/office/drawing/2014/main" id="{4588E271-3AE3-4C09-8B24-8136AEB373B8}"/>
            </a:ext>
          </a:extLst>
        </xdr:cNvPr>
        <xdr:cNvCxnSpPr/>
      </xdr:nvCxnSpPr>
      <xdr:spPr>
        <a:xfrm>
          <a:off x="14500412" y="21086043"/>
          <a:ext cx="332278"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45</xdr:col>
      <xdr:colOff>27469</xdr:colOff>
      <xdr:row>87</xdr:row>
      <xdr:rowOff>16594</xdr:rowOff>
    </xdr:from>
    <xdr:to>
      <xdr:col>46</xdr:col>
      <xdr:colOff>224117</xdr:colOff>
      <xdr:row>87</xdr:row>
      <xdr:rowOff>16594</xdr:rowOff>
    </xdr:to>
    <xdr:cxnSp macro="">
      <xdr:nvCxnSpPr>
        <xdr:cNvPr id="463" name="直線矢印コネクタ 462">
          <a:extLst>
            <a:ext uri="{FF2B5EF4-FFF2-40B4-BE49-F238E27FC236}">
              <a16:creationId xmlns:a16="http://schemas.microsoft.com/office/drawing/2014/main" id="{FD20C9C9-BF65-4B83-9D50-3018FD7B9EB2}"/>
            </a:ext>
          </a:extLst>
        </xdr:cNvPr>
        <xdr:cNvCxnSpPr/>
      </xdr:nvCxnSpPr>
      <xdr:spPr>
        <a:xfrm>
          <a:off x="12634087" y="20960388"/>
          <a:ext cx="476795"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45</xdr:col>
      <xdr:colOff>2176</xdr:colOff>
      <xdr:row>83</xdr:row>
      <xdr:rowOff>5012</xdr:rowOff>
    </xdr:from>
    <xdr:to>
      <xdr:col>50</xdr:col>
      <xdr:colOff>145676</xdr:colOff>
      <xdr:row>84</xdr:row>
      <xdr:rowOff>117419</xdr:rowOff>
    </xdr:to>
    <xdr:sp macro="" textlink="">
      <xdr:nvSpPr>
        <xdr:cNvPr id="469" name="正方形/長方形 468">
          <a:extLst>
            <a:ext uri="{FF2B5EF4-FFF2-40B4-BE49-F238E27FC236}">
              <a16:creationId xmlns:a16="http://schemas.microsoft.com/office/drawing/2014/main" id="{1BAFD364-093A-4C23-8A29-8FE5A4A41CEF}"/>
            </a:ext>
          </a:extLst>
        </xdr:cNvPr>
        <xdr:cNvSpPr/>
      </xdr:nvSpPr>
      <xdr:spPr>
        <a:xfrm>
          <a:off x="12608794" y="20007512"/>
          <a:ext cx="1544235" cy="34773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キャプチャ開始信号</a:t>
          </a:r>
        </a:p>
      </xdr:txBody>
    </xdr:sp>
    <xdr:clientData/>
  </xdr:twoCellAnchor>
  <xdr:twoCellAnchor>
    <xdr:from>
      <xdr:col>45</xdr:col>
      <xdr:colOff>224117</xdr:colOff>
      <xdr:row>84</xdr:row>
      <xdr:rowOff>85767</xdr:rowOff>
    </xdr:from>
    <xdr:to>
      <xdr:col>46</xdr:col>
      <xdr:colOff>239697</xdr:colOff>
      <xdr:row>87</xdr:row>
      <xdr:rowOff>22412</xdr:rowOff>
    </xdr:to>
    <xdr:cxnSp macro="">
      <xdr:nvCxnSpPr>
        <xdr:cNvPr id="470" name="直線コネクタ 469">
          <a:extLst>
            <a:ext uri="{FF2B5EF4-FFF2-40B4-BE49-F238E27FC236}">
              <a16:creationId xmlns:a16="http://schemas.microsoft.com/office/drawing/2014/main" id="{BCC6DB87-5614-4345-8FA1-3FA54CFBCA39}"/>
            </a:ext>
          </a:extLst>
        </xdr:cNvPr>
        <xdr:cNvCxnSpPr/>
      </xdr:nvCxnSpPr>
      <xdr:spPr>
        <a:xfrm flipH="1">
          <a:off x="12830735" y="20323591"/>
          <a:ext cx="295727" cy="642615"/>
        </a:xfrm>
        <a:prstGeom prst="line">
          <a:avLst/>
        </a:prstGeom>
        <a:ln>
          <a:solidFill>
            <a:schemeClr val="tx1"/>
          </a:solidFill>
          <a:prstDash val="dash"/>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157737</xdr:colOff>
      <xdr:row>71</xdr:row>
      <xdr:rowOff>33618</xdr:rowOff>
    </xdr:from>
    <xdr:to>
      <xdr:col>26</xdr:col>
      <xdr:colOff>40619</xdr:colOff>
      <xdr:row>104</xdr:row>
      <xdr:rowOff>82826</xdr:rowOff>
    </xdr:to>
    <xdr:sp macro="" textlink="">
      <xdr:nvSpPr>
        <xdr:cNvPr id="451" name="正方形/長方形 450">
          <a:extLst>
            <a:ext uri="{FF2B5EF4-FFF2-40B4-BE49-F238E27FC236}">
              <a16:creationId xmlns:a16="http://schemas.microsoft.com/office/drawing/2014/main" id="{DA132837-D47C-46BB-B3F6-B1CEEB618D92}"/>
            </a:ext>
          </a:extLst>
        </xdr:cNvPr>
        <xdr:cNvSpPr/>
      </xdr:nvSpPr>
      <xdr:spPr>
        <a:xfrm>
          <a:off x="1524367" y="17087509"/>
          <a:ext cx="5622730" cy="7975665"/>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400">
              <a:solidFill>
                <a:schemeClr val="tx1"/>
              </a:solidFill>
            </a:rPr>
            <a:t>e7awg_hw</a:t>
          </a:r>
          <a:endParaRPr kumimoji="1" lang="ja-JP" altLang="en-US" sz="1400">
            <a:solidFill>
              <a:schemeClr val="tx1"/>
            </a:solidFill>
          </a:endParaRPr>
        </a:p>
      </xdr:txBody>
    </xdr:sp>
    <xdr:clientData/>
  </xdr:twoCellAnchor>
  <xdr:twoCellAnchor>
    <xdr:from>
      <xdr:col>14</xdr:col>
      <xdr:colOff>46379</xdr:colOff>
      <xdr:row>78</xdr:row>
      <xdr:rowOff>1382</xdr:rowOff>
    </xdr:from>
    <xdr:to>
      <xdr:col>15</xdr:col>
      <xdr:colOff>37114</xdr:colOff>
      <xdr:row>80</xdr:row>
      <xdr:rowOff>64773</xdr:rowOff>
    </xdr:to>
    <xdr:sp macro="" textlink="">
      <xdr:nvSpPr>
        <xdr:cNvPr id="453" name="正方形/長方形 452">
          <a:extLst>
            <a:ext uri="{FF2B5EF4-FFF2-40B4-BE49-F238E27FC236}">
              <a16:creationId xmlns:a16="http://schemas.microsoft.com/office/drawing/2014/main" id="{EF95338E-9333-483B-A83B-0FB9A1F6F4FF}"/>
            </a:ext>
          </a:extLst>
        </xdr:cNvPr>
        <xdr:cNvSpPr/>
      </xdr:nvSpPr>
      <xdr:spPr>
        <a:xfrm rot="5400000">
          <a:off x="3733084" y="18876503"/>
          <a:ext cx="543782" cy="26406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chemeClr val="tx1"/>
              </a:solidFill>
            </a:rPr>
            <a:t>・・・</a:t>
          </a:r>
        </a:p>
      </xdr:txBody>
    </xdr:sp>
    <xdr:clientData/>
  </xdr:twoCellAnchor>
  <xdr:twoCellAnchor>
    <xdr:from>
      <xdr:col>5</xdr:col>
      <xdr:colOff>158606</xdr:colOff>
      <xdr:row>76</xdr:row>
      <xdr:rowOff>141419</xdr:rowOff>
    </xdr:from>
    <xdr:to>
      <xdr:col>11</xdr:col>
      <xdr:colOff>4906</xdr:colOff>
      <xdr:row>85</xdr:row>
      <xdr:rowOff>207066</xdr:rowOff>
    </xdr:to>
    <xdr:sp macro="" textlink="">
      <xdr:nvSpPr>
        <xdr:cNvPr id="455" name="正方形/長方形 454">
          <a:extLst>
            <a:ext uri="{FF2B5EF4-FFF2-40B4-BE49-F238E27FC236}">
              <a16:creationId xmlns:a16="http://schemas.microsoft.com/office/drawing/2014/main" id="{06602F39-90DE-49C3-8CE0-6B484D8EC743}"/>
            </a:ext>
          </a:extLst>
        </xdr:cNvPr>
        <xdr:cNvSpPr/>
      </xdr:nvSpPr>
      <xdr:spPr>
        <a:xfrm>
          <a:off x="1525236" y="18396289"/>
          <a:ext cx="1486257" cy="2227407"/>
        </a:xfrm>
        <a:prstGeom prst="rect">
          <a:avLst/>
        </a:prstGeom>
        <a:solidFill>
          <a:schemeClr val="accent1">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awg ctrl</a:t>
          </a:r>
        </a:p>
        <a:p>
          <a:pPr algn="ctr"/>
          <a:endParaRPr kumimoji="1" lang="en-US" altLang="ja-JP" sz="1100">
            <a:solidFill>
              <a:schemeClr val="tx1"/>
            </a:solidFill>
          </a:endParaRPr>
        </a:p>
        <a:p>
          <a:pPr algn="ctr"/>
          <a:r>
            <a:rPr kumimoji="1" lang="en-US" altLang="ja-JP" sz="1100">
              <a:solidFill>
                <a:schemeClr val="tx1"/>
              </a:solidFill>
            </a:rPr>
            <a:t>(UDP</a:t>
          </a:r>
          <a:r>
            <a:rPr kumimoji="1" lang="ja-JP" altLang="en-US" sz="1100">
              <a:solidFill>
                <a:schemeClr val="tx1"/>
              </a:solidFill>
            </a:rPr>
            <a:t>ポート </a:t>
          </a:r>
          <a:r>
            <a:rPr kumimoji="1" lang="en-US" altLang="ja-JP" sz="1100">
              <a:solidFill>
                <a:schemeClr val="tx1"/>
              </a:solidFill>
            </a:rPr>
            <a:t>: 16385)</a:t>
          </a:r>
        </a:p>
      </xdr:txBody>
    </xdr:sp>
    <xdr:clientData/>
  </xdr:twoCellAnchor>
  <xdr:twoCellAnchor>
    <xdr:from>
      <xdr:col>16</xdr:col>
      <xdr:colOff>129117</xdr:colOff>
      <xdr:row>76</xdr:row>
      <xdr:rowOff>13549</xdr:rowOff>
    </xdr:from>
    <xdr:to>
      <xdr:col>20</xdr:col>
      <xdr:colOff>77867</xdr:colOff>
      <xdr:row>77</xdr:row>
      <xdr:rowOff>20118</xdr:rowOff>
    </xdr:to>
    <xdr:sp macro="" textlink="">
      <xdr:nvSpPr>
        <xdr:cNvPr id="456" name="正方形/長方形 455">
          <a:extLst>
            <a:ext uri="{FF2B5EF4-FFF2-40B4-BE49-F238E27FC236}">
              <a16:creationId xmlns:a16="http://schemas.microsoft.com/office/drawing/2014/main" id="{3C38B0AA-C507-4349-AEE8-4810B8AF193B}"/>
            </a:ext>
          </a:extLst>
        </xdr:cNvPr>
        <xdr:cNvSpPr/>
      </xdr:nvSpPr>
      <xdr:spPr>
        <a:xfrm>
          <a:off x="4611470" y="17898137"/>
          <a:ext cx="1069338" cy="24189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baseline="0">
              <a:solidFill>
                <a:schemeClr val="tx1"/>
              </a:solidFill>
            </a:rPr>
            <a:t>サンプルデータ</a:t>
          </a:r>
          <a:endParaRPr kumimoji="1" lang="en-US" altLang="ja-JP" sz="900">
            <a:solidFill>
              <a:schemeClr val="tx1"/>
            </a:solidFill>
          </a:endParaRPr>
        </a:p>
      </xdr:txBody>
    </xdr:sp>
    <xdr:clientData/>
  </xdr:twoCellAnchor>
  <xdr:twoCellAnchor>
    <xdr:from>
      <xdr:col>16</xdr:col>
      <xdr:colOff>60260</xdr:colOff>
      <xdr:row>77</xdr:row>
      <xdr:rowOff>196061</xdr:rowOff>
    </xdr:from>
    <xdr:to>
      <xdr:col>26</xdr:col>
      <xdr:colOff>33131</xdr:colOff>
      <xdr:row>77</xdr:row>
      <xdr:rowOff>196061</xdr:rowOff>
    </xdr:to>
    <xdr:cxnSp macro="">
      <xdr:nvCxnSpPr>
        <xdr:cNvPr id="457" name="直線矢印コネクタ 456">
          <a:extLst>
            <a:ext uri="{FF2B5EF4-FFF2-40B4-BE49-F238E27FC236}">
              <a16:creationId xmlns:a16="http://schemas.microsoft.com/office/drawing/2014/main" id="{43C0590F-A6FC-4D92-92A4-A09CA8C3A9EC}"/>
            </a:ext>
          </a:extLst>
        </xdr:cNvPr>
        <xdr:cNvCxnSpPr/>
      </xdr:nvCxnSpPr>
      <xdr:spPr>
        <a:xfrm>
          <a:off x="4433477" y="18691126"/>
          <a:ext cx="2706132" cy="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54783</xdr:colOff>
      <xdr:row>81</xdr:row>
      <xdr:rowOff>67869</xdr:rowOff>
    </xdr:from>
    <xdr:to>
      <xdr:col>26</xdr:col>
      <xdr:colOff>30361</xdr:colOff>
      <xdr:row>81</xdr:row>
      <xdr:rowOff>67869</xdr:rowOff>
    </xdr:to>
    <xdr:cxnSp macro="">
      <xdr:nvCxnSpPr>
        <xdr:cNvPr id="458" name="直線矢印コネクタ 457">
          <a:extLst>
            <a:ext uri="{FF2B5EF4-FFF2-40B4-BE49-F238E27FC236}">
              <a16:creationId xmlns:a16="http://schemas.microsoft.com/office/drawing/2014/main" id="{89A3F9D5-506E-4CCA-83BD-E75E4CA10813}"/>
            </a:ext>
          </a:extLst>
        </xdr:cNvPr>
        <xdr:cNvCxnSpPr/>
      </xdr:nvCxnSpPr>
      <xdr:spPr>
        <a:xfrm>
          <a:off x="4537136" y="19129075"/>
          <a:ext cx="2777049" cy="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21</xdr:col>
      <xdr:colOff>46046</xdr:colOff>
      <xdr:row>76</xdr:row>
      <xdr:rowOff>194637</xdr:rowOff>
    </xdr:from>
    <xdr:to>
      <xdr:col>25</xdr:col>
      <xdr:colOff>116000</xdr:colOff>
      <xdr:row>77</xdr:row>
      <xdr:rowOff>196100</xdr:rowOff>
    </xdr:to>
    <xdr:sp macro="" textlink="">
      <xdr:nvSpPr>
        <xdr:cNvPr id="459" name="正方形/長方形 458">
          <a:extLst>
            <a:ext uri="{FF2B5EF4-FFF2-40B4-BE49-F238E27FC236}">
              <a16:creationId xmlns:a16="http://schemas.microsoft.com/office/drawing/2014/main" id="{5453097B-BC57-4C13-B81C-01E1A0FABEA9}"/>
            </a:ext>
          </a:extLst>
        </xdr:cNvPr>
        <xdr:cNvSpPr/>
      </xdr:nvSpPr>
      <xdr:spPr>
        <a:xfrm>
          <a:off x="5929134" y="18079225"/>
          <a:ext cx="1190542" cy="23678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chemeClr val="tx1"/>
              </a:solidFill>
            </a:rPr>
            <a:t>出力波形データ </a:t>
          </a:r>
          <a:r>
            <a:rPr kumimoji="1" lang="en-US" altLang="ja-JP" sz="900">
              <a:solidFill>
                <a:schemeClr val="tx1"/>
              </a:solidFill>
            </a:rPr>
            <a:t>0</a:t>
          </a:r>
        </a:p>
      </xdr:txBody>
    </xdr:sp>
    <xdr:clientData/>
  </xdr:twoCellAnchor>
  <xdr:twoCellAnchor>
    <xdr:from>
      <xdr:col>13</xdr:col>
      <xdr:colOff>80791</xdr:colOff>
      <xdr:row>76</xdr:row>
      <xdr:rowOff>111608</xdr:rowOff>
    </xdr:from>
    <xdr:to>
      <xdr:col>16</xdr:col>
      <xdr:colOff>46976</xdr:colOff>
      <xdr:row>78</xdr:row>
      <xdr:rowOff>77068</xdr:rowOff>
    </xdr:to>
    <xdr:sp macro="" textlink="">
      <xdr:nvSpPr>
        <xdr:cNvPr id="460" name="正方形/長方形 459">
          <a:extLst>
            <a:ext uri="{FF2B5EF4-FFF2-40B4-BE49-F238E27FC236}">
              <a16:creationId xmlns:a16="http://schemas.microsoft.com/office/drawing/2014/main" id="{4E58BE15-D726-4ABA-9D56-CD3268297F32}"/>
            </a:ext>
          </a:extLst>
        </xdr:cNvPr>
        <xdr:cNvSpPr/>
      </xdr:nvSpPr>
      <xdr:spPr>
        <a:xfrm>
          <a:off x="3722703" y="17996196"/>
          <a:ext cx="806626" cy="436107"/>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AWG</a:t>
          </a:r>
          <a:r>
            <a:rPr kumimoji="1" lang="en-US" altLang="ja-JP" sz="1100" baseline="0">
              <a:solidFill>
                <a:schemeClr val="tx1"/>
              </a:solidFill>
            </a:rPr>
            <a:t> 0</a:t>
          </a:r>
          <a:endParaRPr kumimoji="1" lang="en-US" altLang="ja-JP" sz="1100">
            <a:solidFill>
              <a:schemeClr val="tx1"/>
            </a:solidFill>
          </a:endParaRPr>
        </a:p>
      </xdr:txBody>
    </xdr:sp>
    <xdr:clientData/>
  </xdr:twoCellAnchor>
  <xdr:twoCellAnchor>
    <xdr:from>
      <xdr:col>13</xdr:col>
      <xdr:colOff>80790</xdr:colOff>
      <xdr:row>79</xdr:row>
      <xdr:rowOff>204597</xdr:rowOff>
    </xdr:from>
    <xdr:to>
      <xdr:col>16</xdr:col>
      <xdr:colOff>46976</xdr:colOff>
      <xdr:row>81</xdr:row>
      <xdr:rowOff>190476</xdr:rowOff>
    </xdr:to>
    <xdr:sp macro="" textlink="">
      <xdr:nvSpPr>
        <xdr:cNvPr id="461" name="正方形/長方形 460">
          <a:extLst>
            <a:ext uri="{FF2B5EF4-FFF2-40B4-BE49-F238E27FC236}">
              <a16:creationId xmlns:a16="http://schemas.microsoft.com/office/drawing/2014/main" id="{9A19BDB8-8130-47D9-9097-21AEE319A67A}"/>
            </a:ext>
          </a:extLst>
        </xdr:cNvPr>
        <xdr:cNvSpPr/>
      </xdr:nvSpPr>
      <xdr:spPr>
        <a:xfrm>
          <a:off x="3722702" y="18795156"/>
          <a:ext cx="806627" cy="456526"/>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AWG</a:t>
          </a:r>
          <a:r>
            <a:rPr kumimoji="1" lang="en-US" altLang="ja-JP" sz="1100" baseline="0">
              <a:solidFill>
                <a:schemeClr val="tx1"/>
              </a:solidFill>
            </a:rPr>
            <a:t> 3</a:t>
          </a:r>
          <a:endParaRPr kumimoji="1" lang="en-US" altLang="ja-JP" sz="1100">
            <a:solidFill>
              <a:schemeClr val="tx1"/>
            </a:solidFill>
          </a:endParaRPr>
        </a:p>
      </xdr:txBody>
    </xdr:sp>
    <xdr:clientData/>
  </xdr:twoCellAnchor>
  <xdr:twoCellAnchor>
    <xdr:from>
      <xdr:col>11</xdr:col>
      <xdr:colOff>1949</xdr:colOff>
      <xdr:row>76</xdr:row>
      <xdr:rowOff>190298</xdr:rowOff>
    </xdr:from>
    <xdr:to>
      <xdr:col>13</xdr:col>
      <xdr:colOff>70036</xdr:colOff>
      <xdr:row>76</xdr:row>
      <xdr:rowOff>190298</xdr:rowOff>
    </xdr:to>
    <xdr:cxnSp macro="">
      <xdr:nvCxnSpPr>
        <xdr:cNvPr id="462" name="直線矢印コネクタ 461">
          <a:extLst>
            <a:ext uri="{FF2B5EF4-FFF2-40B4-BE49-F238E27FC236}">
              <a16:creationId xmlns:a16="http://schemas.microsoft.com/office/drawing/2014/main" id="{B2E71028-EBE9-4AE2-98A6-02FC5BCD96BB}"/>
            </a:ext>
          </a:extLst>
        </xdr:cNvPr>
        <xdr:cNvCxnSpPr/>
      </xdr:nvCxnSpPr>
      <xdr:spPr>
        <a:xfrm>
          <a:off x="3083567" y="18074886"/>
          <a:ext cx="628381"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158606</xdr:colOff>
      <xdr:row>72</xdr:row>
      <xdr:rowOff>184266</xdr:rowOff>
    </xdr:from>
    <xdr:to>
      <xdr:col>11</xdr:col>
      <xdr:colOff>24183</xdr:colOff>
      <xdr:row>75</xdr:row>
      <xdr:rowOff>177897</xdr:rowOff>
    </xdr:to>
    <xdr:sp macro="" textlink="">
      <xdr:nvSpPr>
        <xdr:cNvPr id="465" name="正方形/長方形 464">
          <a:extLst>
            <a:ext uri="{FF2B5EF4-FFF2-40B4-BE49-F238E27FC236}">
              <a16:creationId xmlns:a16="http://schemas.microsoft.com/office/drawing/2014/main" id="{A4F9800C-0206-43DE-9E23-D29A62ECF4A6}"/>
            </a:ext>
          </a:extLst>
        </xdr:cNvPr>
        <xdr:cNvSpPr/>
      </xdr:nvSpPr>
      <xdr:spPr>
        <a:xfrm>
          <a:off x="1559341" y="17127560"/>
          <a:ext cx="1546460" cy="699602"/>
        </a:xfrm>
        <a:prstGeom prst="rect">
          <a:avLst/>
        </a:prstGeom>
        <a:solidFill>
          <a:schemeClr val="accent1">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upl axi rw</a:t>
          </a:r>
        </a:p>
        <a:p>
          <a:pPr algn="ctr"/>
          <a:endParaRPr kumimoji="1" lang="en-US" altLang="ja-JP" sz="1100">
            <a:solidFill>
              <a:schemeClr val="tx1"/>
            </a:solidFill>
          </a:endParaRPr>
        </a:p>
        <a:p>
          <a:pPr algn="ctr"/>
          <a:r>
            <a:rPr kumimoji="1" lang="en-US" altLang="ja-JP" sz="1100">
              <a:solidFill>
                <a:schemeClr val="tx1"/>
              </a:solidFill>
            </a:rPr>
            <a:t>(UDP</a:t>
          </a:r>
          <a:r>
            <a:rPr kumimoji="1" lang="ja-JP" altLang="en-US" sz="1100">
              <a:solidFill>
                <a:schemeClr val="tx1"/>
              </a:solidFill>
            </a:rPr>
            <a:t>ポート </a:t>
          </a:r>
          <a:r>
            <a:rPr kumimoji="1" lang="en-US" altLang="ja-JP" sz="1100">
              <a:solidFill>
                <a:schemeClr val="tx1"/>
              </a:solidFill>
            </a:rPr>
            <a:t>: 16384)</a:t>
          </a:r>
        </a:p>
      </xdr:txBody>
    </xdr:sp>
    <xdr:clientData/>
  </xdr:twoCellAnchor>
  <xdr:twoCellAnchor>
    <xdr:from>
      <xdr:col>11</xdr:col>
      <xdr:colOff>13748</xdr:colOff>
      <xdr:row>74</xdr:row>
      <xdr:rowOff>89572</xdr:rowOff>
    </xdr:from>
    <xdr:to>
      <xdr:col>20</xdr:col>
      <xdr:colOff>76047</xdr:colOff>
      <xdr:row>74</xdr:row>
      <xdr:rowOff>89572</xdr:rowOff>
    </xdr:to>
    <xdr:cxnSp macro="">
      <xdr:nvCxnSpPr>
        <xdr:cNvPr id="466" name="直線矢印コネクタ 465">
          <a:extLst>
            <a:ext uri="{FF2B5EF4-FFF2-40B4-BE49-F238E27FC236}">
              <a16:creationId xmlns:a16="http://schemas.microsoft.com/office/drawing/2014/main" id="{BCC3FE55-C8BC-4224-8F2E-D684FAC5F903}"/>
            </a:ext>
          </a:extLst>
        </xdr:cNvPr>
        <xdr:cNvCxnSpPr/>
      </xdr:nvCxnSpPr>
      <xdr:spPr>
        <a:xfrm>
          <a:off x="3095366" y="17503513"/>
          <a:ext cx="2583622"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202524</xdr:colOff>
      <xdr:row>93</xdr:row>
      <xdr:rowOff>53974</xdr:rowOff>
    </xdr:from>
    <xdr:to>
      <xdr:col>5</xdr:col>
      <xdr:colOff>143679</xdr:colOff>
      <xdr:row>93</xdr:row>
      <xdr:rowOff>53974</xdr:rowOff>
    </xdr:to>
    <xdr:cxnSp macro="">
      <xdr:nvCxnSpPr>
        <xdr:cNvPr id="467" name="直線矢印コネクタ 466">
          <a:extLst>
            <a:ext uri="{FF2B5EF4-FFF2-40B4-BE49-F238E27FC236}">
              <a16:creationId xmlns:a16="http://schemas.microsoft.com/office/drawing/2014/main" id="{7B8F30C1-D4D2-4078-AA46-C7DB8C24CD77}"/>
            </a:ext>
          </a:extLst>
        </xdr:cNvPr>
        <xdr:cNvCxnSpPr/>
      </xdr:nvCxnSpPr>
      <xdr:spPr>
        <a:xfrm>
          <a:off x="1031199" y="22199599"/>
          <a:ext cx="493605"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208385</xdr:colOff>
      <xdr:row>74</xdr:row>
      <xdr:rowOff>71560</xdr:rowOff>
    </xdr:from>
    <xdr:to>
      <xdr:col>5</xdr:col>
      <xdr:colOff>157058</xdr:colOff>
      <xdr:row>74</xdr:row>
      <xdr:rowOff>71560</xdr:rowOff>
    </xdr:to>
    <xdr:cxnSp macro="">
      <xdr:nvCxnSpPr>
        <xdr:cNvPr id="468" name="直線矢印コネクタ 467">
          <a:extLst>
            <a:ext uri="{FF2B5EF4-FFF2-40B4-BE49-F238E27FC236}">
              <a16:creationId xmlns:a16="http://schemas.microsoft.com/office/drawing/2014/main" id="{372F414E-AE67-48AD-BC27-A414A553D933}"/>
            </a:ext>
          </a:extLst>
        </xdr:cNvPr>
        <xdr:cNvCxnSpPr/>
      </xdr:nvCxnSpPr>
      <xdr:spPr>
        <a:xfrm>
          <a:off x="1048826" y="17485501"/>
          <a:ext cx="508967"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218476</xdr:colOff>
      <xdr:row>78</xdr:row>
      <xdr:rowOff>194156</xdr:rowOff>
    </xdr:from>
    <xdr:to>
      <xdr:col>5</xdr:col>
      <xdr:colOff>152471</xdr:colOff>
      <xdr:row>78</xdr:row>
      <xdr:rowOff>194156</xdr:rowOff>
    </xdr:to>
    <xdr:cxnSp macro="">
      <xdr:nvCxnSpPr>
        <xdr:cNvPr id="471" name="直線矢印コネクタ 470">
          <a:extLst>
            <a:ext uri="{FF2B5EF4-FFF2-40B4-BE49-F238E27FC236}">
              <a16:creationId xmlns:a16="http://schemas.microsoft.com/office/drawing/2014/main" id="{96A09F25-B844-434A-8300-C4F6515F9475}"/>
            </a:ext>
          </a:extLst>
        </xdr:cNvPr>
        <xdr:cNvCxnSpPr/>
      </xdr:nvCxnSpPr>
      <xdr:spPr>
        <a:xfrm>
          <a:off x="1058917" y="18549391"/>
          <a:ext cx="494289"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201705</xdr:colOff>
      <xdr:row>87</xdr:row>
      <xdr:rowOff>125562</xdr:rowOff>
    </xdr:from>
    <xdr:to>
      <xdr:col>3</xdr:col>
      <xdr:colOff>184725</xdr:colOff>
      <xdr:row>89</xdr:row>
      <xdr:rowOff>1866</xdr:rowOff>
    </xdr:to>
    <xdr:sp macro="" textlink="">
      <xdr:nvSpPr>
        <xdr:cNvPr id="472" name="矢印: 左右 471">
          <a:extLst>
            <a:ext uri="{FF2B5EF4-FFF2-40B4-BE49-F238E27FC236}">
              <a16:creationId xmlns:a16="http://schemas.microsoft.com/office/drawing/2014/main" id="{63A1A86E-48AC-46A4-ACD5-53C5F2AB9D2D}"/>
            </a:ext>
          </a:extLst>
        </xdr:cNvPr>
        <xdr:cNvSpPr/>
      </xdr:nvSpPr>
      <xdr:spPr>
        <a:xfrm>
          <a:off x="201705" y="20842437"/>
          <a:ext cx="811695" cy="352554"/>
        </a:xfrm>
        <a:prstGeom prst="leftRightArrow">
          <a:avLst>
            <a:gd name="adj1" fmla="val 54651"/>
            <a:gd name="adj2" fmla="val 47764"/>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ja-JP"/>
            <a:t>10GbE</a:t>
          </a:r>
          <a:endParaRPr kumimoji="1" lang="ja-JP" altLang="en-US" sz="1100">
            <a:solidFill>
              <a:schemeClr val="bg1"/>
            </a:solidFill>
          </a:endParaRPr>
        </a:p>
      </xdr:txBody>
    </xdr:sp>
    <xdr:clientData/>
  </xdr:twoCellAnchor>
  <xdr:twoCellAnchor>
    <xdr:from>
      <xdr:col>3</xdr:col>
      <xdr:colOff>208273</xdr:colOff>
      <xdr:row>74</xdr:row>
      <xdr:rowOff>36724</xdr:rowOff>
    </xdr:from>
    <xdr:to>
      <xdr:col>3</xdr:col>
      <xdr:colOff>208273</xdr:colOff>
      <xdr:row>102</xdr:row>
      <xdr:rowOff>59531</xdr:rowOff>
    </xdr:to>
    <xdr:cxnSp macro="">
      <xdr:nvCxnSpPr>
        <xdr:cNvPr id="473" name="直線コネクタ 472">
          <a:extLst>
            <a:ext uri="{FF2B5EF4-FFF2-40B4-BE49-F238E27FC236}">
              <a16:creationId xmlns:a16="http://schemas.microsoft.com/office/drawing/2014/main" id="{16617610-38F0-4248-8542-3AD3100A67FA}"/>
            </a:ext>
          </a:extLst>
        </xdr:cNvPr>
        <xdr:cNvCxnSpPr/>
      </xdr:nvCxnSpPr>
      <xdr:spPr>
        <a:xfrm>
          <a:off x="1029804" y="17657974"/>
          <a:ext cx="0" cy="6690307"/>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21</xdr:col>
      <xdr:colOff>45809</xdr:colOff>
      <xdr:row>80</xdr:row>
      <xdr:rowOff>59719</xdr:rowOff>
    </xdr:from>
    <xdr:to>
      <xdr:col>25</xdr:col>
      <xdr:colOff>115763</xdr:colOff>
      <xdr:row>81</xdr:row>
      <xdr:rowOff>67983</xdr:rowOff>
    </xdr:to>
    <xdr:sp macro="" textlink="">
      <xdr:nvSpPr>
        <xdr:cNvPr id="474" name="正方形/長方形 473">
          <a:extLst>
            <a:ext uri="{FF2B5EF4-FFF2-40B4-BE49-F238E27FC236}">
              <a16:creationId xmlns:a16="http://schemas.microsoft.com/office/drawing/2014/main" id="{33DC2E2F-B539-4304-9D29-7B014205384B}"/>
            </a:ext>
          </a:extLst>
        </xdr:cNvPr>
        <xdr:cNvSpPr/>
      </xdr:nvSpPr>
      <xdr:spPr>
        <a:xfrm>
          <a:off x="5928897" y="18885601"/>
          <a:ext cx="1190542" cy="24358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chemeClr val="tx1"/>
              </a:solidFill>
            </a:rPr>
            <a:t>出力波形データ </a:t>
          </a:r>
          <a:r>
            <a:rPr kumimoji="1" lang="en-US" altLang="ja-JP" sz="900">
              <a:solidFill>
                <a:schemeClr val="tx1"/>
              </a:solidFill>
            </a:rPr>
            <a:t>3</a:t>
          </a:r>
        </a:p>
      </xdr:txBody>
    </xdr:sp>
    <xdr:clientData/>
  </xdr:twoCellAnchor>
  <xdr:twoCellAnchor>
    <xdr:from>
      <xdr:col>26</xdr:col>
      <xdr:colOff>9470</xdr:colOff>
      <xdr:row>77</xdr:row>
      <xdr:rowOff>60121</xdr:rowOff>
    </xdr:from>
    <xdr:to>
      <xdr:col>29</xdr:col>
      <xdr:colOff>5958</xdr:colOff>
      <xdr:row>78</xdr:row>
      <xdr:rowOff>144919</xdr:rowOff>
    </xdr:to>
    <xdr:sp macro="" textlink="">
      <xdr:nvSpPr>
        <xdr:cNvPr id="475" name="正方形/長方形 474">
          <a:extLst>
            <a:ext uri="{FF2B5EF4-FFF2-40B4-BE49-F238E27FC236}">
              <a16:creationId xmlns:a16="http://schemas.microsoft.com/office/drawing/2014/main" id="{D8F526EC-F7E2-46B6-9748-BF0CE5F763A2}"/>
            </a:ext>
          </a:extLst>
        </xdr:cNvPr>
        <xdr:cNvSpPr/>
      </xdr:nvSpPr>
      <xdr:spPr>
        <a:xfrm>
          <a:off x="7293294" y="18180033"/>
          <a:ext cx="836929" cy="320121"/>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a:solidFill>
                <a:schemeClr val="tx1"/>
              </a:solidFill>
            </a:rPr>
            <a:t>AXI4</a:t>
          </a:r>
          <a:r>
            <a:rPr kumimoji="1" lang="en-US" altLang="ja-JP" sz="900" baseline="0">
              <a:solidFill>
                <a:schemeClr val="tx1"/>
              </a:solidFill>
            </a:rPr>
            <a:t>-Stream</a:t>
          </a:r>
          <a:endParaRPr kumimoji="1" lang="en-US" altLang="ja-JP" sz="900">
            <a:solidFill>
              <a:schemeClr val="tx1"/>
            </a:solidFill>
          </a:endParaRPr>
        </a:p>
      </xdr:txBody>
    </xdr:sp>
    <xdr:clientData/>
  </xdr:twoCellAnchor>
  <xdr:twoCellAnchor>
    <xdr:from>
      <xdr:col>26</xdr:col>
      <xdr:colOff>749</xdr:colOff>
      <xdr:row>80</xdr:row>
      <xdr:rowOff>142088</xdr:rowOff>
    </xdr:from>
    <xdr:to>
      <xdr:col>29</xdr:col>
      <xdr:colOff>5958</xdr:colOff>
      <xdr:row>81</xdr:row>
      <xdr:rowOff>203890</xdr:rowOff>
    </xdr:to>
    <xdr:sp macro="" textlink="">
      <xdr:nvSpPr>
        <xdr:cNvPr id="476" name="正方形/長方形 475">
          <a:extLst>
            <a:ext uri="{FF2B5EF4-FFF2-40B4-BE49-F238E27FC236}">
              <a16:creationId xmlns:a16="http://schemas.microsoft.com/office/drawing/2014/main" id="{AA065E0A-1C67-4645-A603-C23364FAD4D9}"/>
            </a:ext>
          </a:extLst>
        </xdr:cNvPr>
        <xdr:cNvSpPr/>
      </xdr:nvSpPr>
      <xdr:spPr>
        <a:xfrm>
          <a:off x="7284573" y="18967970"/>
          <a:ext cx="845650" cy="297126"/>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baseline="0">
              <a:solidFill>
                <a:schemeClr val="tx1"/>
              </a:solidFill>
            </a:rPr>
            <a:t>AXI4-Stream</a:t>
          </a:r>
          <a:endParaRPr kumimoji="1" lang="en-US" altLang="ja-JP" sz="900">
            <a:solidFill>
              <a:schemeClr val="tx1"/>
            </a:solidFill>
          </a:endParaRPr>
        </a:p>
      </xdr:txBody>
    </xdr:sp>
    <xdr:clientData/>
  </xdr:twoCellAnchor>
  <xdr:twoCellAnchor>
    <xdr:from>
      <xdr:col>21</xdr:col>
      <xdr:colOff>236622</xdr:colOff>
      <xdr:row>73</xdr:row>
      <xdr:rowOff>51048</xdr:rowOff>
    </xdr:from>
    <xdr:to>
      <xdr:col>25</xdr:col>
      <xdr:colOff>55359</xdr:colOff>
      <xdr:row>75</xdr:row>
      <xdr:rowOff>134525</xdr:rowOff>
    </xdr:to>
    <xdr:sp macro="" textlink="">
      <xdr:nvSpPr>
        <xdr:cNvPr id="477" name="正方形/長方形 476">
          <a:extLst>
            <a:ext uri="{FF2B5EF4-FFF2-40B4-BE49-F238E27FC236}">
              <a16:creationId xmlns:a16="http://schemas.microsoft.com/office/drawing/2014/main" id="{07AA703B-6385-4D56-8B22-F89232FDBD0D}"/>
            </a:ext>
          </a:extLst>
        </xdr:cNvPr>
        <xdr:cNvSpPr/>
      </xdr:nvSpPr>
      <xdr:spPr>
        <a:xfrm>
          <a:off x="6119710" y="17229666"/>
          <a:ext cx="939325" cy="554124"/>
        </a:xfrm>
        <a:prstGeom prst="rect">
          <a:avLst/>
        </a:prstGeom>
        <a:solidFill>
          <a:schemeClr val="accent1">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波形データ</a:t>
          </a:r>
          <a:endParaRPr kumimoji="1" lang="en-US" altLang="ja-JP" sz="1100">
            <a:solidFill>
              <a:schemeClr val="tx1"/>
            </a:solidFill>
          </a:endParaRPr>
        </a:p>
        <a:p>
          <a:pPr algn="ctr"/>
          <a:r>
            <a:rPr kumimoji="1" lang="en-US" altLang="ja-JP" sz="1100">
              <a:solidFill>
                <a:schemeClr val="tx1"/>
              </a:solidFill>
            </a:rPr>
            <a:t>RAM(s)</a:t>
          </a:r>
        </a:p>
      </xdr:txBody>
    </xdr:sp>
    <xdr:clientData/>
  </xdr:twoCellAnchor>
  <xdr:twoCellAnchor>
    <xdr:from>
      <xdr:col>20</xdr:col>
      <xdr:colOff>85700</xdr:colOff>
      <xdr:row>74</xdr:row>
      <xdr:rowOff>40623</xdr:rowOff>
    </xdr:from>
    <xdr:to>
      <xdr:col>20</xdr:col>
      <xdr:colOff>85700</xdr:colOff>
      <xdr:row>102</xdr:row>
      <xdr:rowOff>168088</xdr:rowOff>
    </xdr:to>
    <xdr:cxnSp macro="">
      <xdr:nvCxnSpPr>
        <xdr:cNvPr id="478" name="直線コネクタ 477">
          <a:extLst>
            <a:ext uri="{FF2B5EF4-FFF2-40B4-BE49-F238E27FC236}">
              <a16:creationId xmlns:a16="http://schemas.microsoft.com/office/drawing/2014/main" id="{3CB95346-0C69-4351-AFCC-EA30A042B83A}"/>
            </a:ext>
          </a:extLst>
        </xdr:cNvPr>
        <xdr:cNvCxnSpPr/>
      </xdr:nvCxnSpPr>
      <xdr:spPr>
        <a:xfrm>
          <a:off x="5688641" y="17454564"/>
          <a:ext cx="0" cy="6716524"/>
        </a:xfrm>
        <a:prstGeom prst="line">
          <a:avLst/>
        </a:prstGeom>
        <a:ln w="15875">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59292</xdr:colOff>
      <xdr:row>76</xdr:row>
      <xdr:rowOff>218111</xdr:rowOff>
    </xdr:from>
    <xdr:to>
      <xdr:col>20</xdr:col>
      <xdr:colOff>83316</xdr:colOff>
      <xdr:row>76</xdr:row>
      <xdr:rowOff>218111</xdr:rowOff>
    </xdr:to>
    <xdr:cxnSp macro="">
      <xdr:nvCxnSpPr>
        <xdr:cNvPr id="479" name="直線矢印コネクタ 478">
          <a:extLst>
            <a:ext uri="{FF2B5EF4-FFF2-40B4-BE49-F238E27FC236}">
              <a16:creationId xmlns:a16="http://schemas.microsoft.com/office/drawing/2014/main" id="{BE1DE844-3067-4215-8EE4-E7C6CB2E74B0}"/>
            </a:ext>
          </a:extLst>
        </xdr:cNvPr>
        <xdr:cNvCxnSpPr/>
      </xdr:nvCxnSpPr>
      <xdr:spPr>
        <a:xfrm flipH="1">
          <a:off x="4541645" y="18102699"/>
          <a:ext cx="1144612" cy="0"/>
        </a:xfrm>
        <a:prstGeom prst="straightConnector1">
          <a:avLst/>
        </a:prstGeom>
        <a:ln>
          <a:solidFill>
            <a:schemeClr val="tx1"/>
          </a:solidFill>
          <a:headEnd type="non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48776</xdr:colOff>
      <xdr:row>80</xdr:row>
      <xdr:rowOff>112604</xdr:rowOff>
    </xdr:from>
    <xdr:to>
      <xdr:col>20</xdr:col>
      <xdr:colOff>92024</xdr:colOff>
      <xdr:row>80</xdr:row>
      <xdr:rowOff>112604</xdr:rowOff>
    </xdr:to>
    <xdr:cxnSp macro="">
      <xdr:nvCxnSpPr>
        <xdr:cNvPr id="480" name="直線矢印コネクタ 479">
          <a:extLst>
            <a:ext uri="{FF2B5EF4-FFF2-40B4-BE49-F238E27FC236}">
              <a16:creationId xmlns:a16="http://schemas.microsoft.com/office/drawing/2014/main" id="{5AC6238E-4DEC-464C-AE66-ECBE83E74E41}"/>
            </a:ext>
          </a:extLst>
        </xdr:cNvPr>
        <xdr:cNvCxnSpPr/>
      </xdr:nvCxnSpPr>
      <xdr:spPr>
        <a:xfrm flipH="1" flipV="1">
          <a:off x="4531129" y="18938486"/>
          <a:ext cx="1163836" cy="0"/>
        </a:xfrm>
        <a:prstGeom prst="straightConnector1">
          <a:avLst/>
        </a:prstGeom>
        <a:ln>
          <a:solidFill>
            <a:schemeClr val="tx1"/>
          </a:solidFill>
          <a:headEnd type="non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80289</xdr:colOff>
      <xdr:row>74</xdr:row>
      <xdr:rowOff>89482</xdr:rowOff>
    </xdr:from>
    <xdr:to>
      <xdr:col>21</xdr:col>
      <xdr:colOff>222586</xdr:colOff>
      <xdr:row>74</xdr:row>
      <xdr:rowOff>89482</xdr:rowOff>
    </xdr:to>
    <xdr:cxnSp macro="">
      <xdr:nvCxnSpPr>
        <xdr:cNvPr id="481" name="直線矢印コネクタ 480">
          <a:extLst>
            <a:ext uri="{FF2B5EF4-FFF2-40B4-BE49-F238E27FC236}">
              <a16:creationId xmlns:a16="http://schemas.microsoft.com/office/drawing/2014/main" id="{47BE3CEE-337B-4EA2-9E31-6FED5A49374A}"/>
            </a:ext>
          </a:extLst>
        </xdr:cNvPr>
        <xdr:cNvCxnSpPr/>
      </xdr:nvCxnSpPr>
      <xdr:spPr>
        <a:xfrm>
          <a:off x="5683230" y="17503423"/>
          <a:ext cx="422444"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162454</xdr:colOff>
      <xdr:row>90</xdr:row>
      <xdr:rowOff>219789</xdr:rowOff>
    </xdr:from>
    <xdr:to>
      <xdr:col>11</xdr:col>
      <xdr:colOff>8754</xdr:colOff>
      <xdr:row>95</xdr:row>
      <xdr:rowOff>130608</xdr:rowOff>
    </xdr:to>
    <xdr:sp macro="" textlink="">
      <xdr:nvSpPr>
        <xdr:cNvPr id="482" name="正方形/長方形 481">
          <a:extLst>
            <a:ext uri="{FF2B5EF4-FFF2-40B4-BE49-F238E27FC236}">
              <a16:creationId xmlns:a16="http://schemas.microsoft.com/office/drawing/2014/main" id="{FF16B4D5-9BA8-4E4A-BE6C-013620289CDD}"/>
            </a:ext>
          </a:extLst>
        </xdr:cNvPr>
        <xdr:cNvSpPr/>
      </xdr:nvSpPr>
      <xdr:spPr>
        <a:xfrm>
          <a:off x="1543579" y="21651039"/>
          <a:ext cx="1503650" cy="1101444"/>
        </a:xfrm>
        <a:prstGeom prst="rect">
          <a:avLst/>
        </a:prstGeom>
        <a:solidFill>
          <a:schemeClr val="accent1">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digital out ctrl</a:t>
          </a:r>
        </a:p>
        <a:p>
          <a:pPr algn="ctr"/>
          <a:endParaRPr kumimoji="1" lang="en-US" altLang="ja-JP" sz="1100">
            <a:solidFill>
              <a:schemeClr val="tx1"/>
            </a:solidFill>
          </a:endParaRPr>
        </a:p>
        <a:p>
          <a:pPr algn="ctr"/>
          <a:r>
            <a:rPr kumimoji="1" lang="en-US" altLang="ja-JP" sz="1100">
              <a:solidFill>
                <a:schemeClr val="tx1"/>
              </a:solidFill>
            </a:rPr>
            <a:t>(UDP</a:t>
          </a:r>
          <a:r>
            <a:rPr kumimoji="1" lang="ja-JP" altLang="en-US" sz="1100">
              <a:solidFill>
                <a:schemeClr val="tx1"/>
              </a:solidFill>
            </a:rPr>
            <a:t>ポート </a:t>
          </a:r>
          <a:r>
            <a:rPr kumimoji="1" lang="en-US" altLang="ja-JP" sz="1100">
              <a:solidFill>
                <a:schemeClr val="tx1"/>
              </a:solidFill>
            </a:rPr>
            <a:t>: 16385)</a:t>
          </a:r>
        </a:p>
      </xdr:txBody>
    </xdr:sp>
    <xdr:clientData/>
  </xdr:twoCellAnchor>
  <xdr:twoCellAnchor>
    <xdr:from>
      <xdr:col>14</xdr:col>
      <xdr:colOff>2114</xdr:colOff>
      <xdr:row>92</xdr:row>
      <xdr:rowOff>38124</xdr:rowOff>
    </xdr:from>
    <xdr:to>
      <xdr:col>14</xdr:col>
      <xdr:colOff>272996</xdr:colOff>
      <xdr:row>94</xdr:row>
      <xdr:rowOff>98713</xdr:rowOff>
    </xdr:to>
    <xdr:sp macro="" textlink="">
      <xdr:nvSpPr>
        <xdr:cNvPr id="483" name="正方形/長方形 482">
          <a:extLst>
            <a:ext uri="{FF2B5EF4-FFF2-40B4-BE49-F238E27FC236}">
              <a16:creationId xmlns:a16="http://schemas.microsoft.com/office/drawing/2014/main" id="{C000158C-C6B5-42EB-83EE-1497A2837FB5}"/>
            </a:ext>
          </a:extLst>
        </xdr:cNvPr>
        <xdr:cNvSpPr/>
      </xdr:nvSpPr>
      <xdr:spPr>
        <a:xfrm rot="5400000">
          <a:off x="3736285" y="22078603"/>
          <a:ext cx="536839" cy="27088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chemeClr val="tx1"/>
              </a:solidFill>
            </a:rPr>
            <a:t>・・・</a:t>
          </a:r>
        </a:p>
      </xdr:txBody>
    </xdr:sp>
    <xdr:clientData/>
  </xdr:twoCellAnchor>
  <xdr:twoCellAnchor>
    <xdr:from>
      <xdr:col>11</xdr:col>
      <xdr:colOff>16917</xdr:colOff>
      <xdr:row>91</xdr:row>
      <xdr:rowOff>149326</xdr:rowOff>
    </xdr:from>
    <xdr:to>
      <xdr:col>12</xdr:col>
      <xdr:colOff>180794</xdr:colOff>
      <xdr:row>91</xdr:row>
      <xdr:rowOff>149326</xdr:rowOff>
    </xdr:to>
    <xdr:cxnSp macro="">
      <xdr:nvCxnSpPr>
        <xdr:cNvPr id="484" name="直線矢印コネクタ 483">
          <a:extLst>
            <a:ext uri="{FF2B5EF4-FFF2-40B4-BE49-F238E27FC236}">
              <a16:creationId xmlns:a16="http://schemas.microsoft.com/office/drawing/2014/main" id="{7F067D98-1F0E-4746-A972-60BBE5E10C30}"/>
            </a:ext>
          </a:extLst>
        </xdr:cNvPr>
        <xdr:cNvCxnSpPr/>
      </xdr:nvCxnSpPr>
      <xdr:spPr>
        <a:xfrm>
          <a:off x="3055392" y="21818701"/>
          <a:ext cx="440102"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10349</xdr:colOff>
      <xdr:row>94</xdr:row>
      <xdr:rowOff>220118</xdr:rowOff>
    </xdr:from>
    <xdr:to>
      <xdr:col>12</xdr:col>
      <xdr:colOff>174225</xdr:colOff>
      <xdr:row>94</xdr:row>
      <xdr:rowOff>220118</xdr:rowOff>
    </xdr:to>
    <xdr:cxnSp macro="">
      <xdr:nvCxnSpPr>
        <xdr:cNvPr id="485" name="直線矢印コネクタ 484">
          <a:extLst>
            <a:ext uri="{FF2B5EF4-FFF2-40B4-BE49-F238E27FC236}">
              <a16:creationId xmlns:a16="http://schemas.microsoft.com/office/drawing/2014/main" id="{4C9A5812-0EE9-4828-BCE0-5DDC0F8C5A41}"/>
            </a:ext>
          </a:extLst>
        </xdr:cNvPr>
        <xdr:cNvCxnSpPr/>
      </xdr:nvCxnSpPr>
      <xdr:spPr>
        <a:xfrm>
          <a:off x="3048824" y="22603868"/>
          <a:ext cx="440101"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233617</xdr:colOff>
      <xdr:row>77</xdr:row>
      <xdr:rowOff>169490</xdr:rowOff>
    </xdr:from>
    <xdr:to>
      <xdr:col>11</xdr:col>
      <xdr:colOff>233617</xdr:colOff>
      <xdr:row>98</xdr:row>
      <xdr:rowOff>130969</xdr:rowOff>
    </xdr:to>
    <xdr:cxnSp macro="">
      <xdr:nvCxnSpPr>
        <xdr:cNvPr id="486" name="直線コネクタ 485">
          <a:extLst>
            <a:ext uri="{FF2B5EF4-FFF2-40B4-BE49-F238E27FC236}">
              <a16:creationId xmlns:a16="http://schemas.microsoft.com/office/drawing/2014/main" id="{FA78E5E7-1EA9-4B61-9299-8C09F845B91B}"/>
            </a:ext>
          </a:extLst>
        </xdr:cNvPr>
        <xdr:cNvCxnSpPr/>
      </xdr:nvCxnSpPr>
      <xdr:spPr>
        <a:xfrm>
          <a:off x="3245898" y="18505115"/>
          <a:ext cx="0" cy="4962104"/>
        </a:xfrm>
        <a:prstGeom prst="line">
          <a:avLst/>
        </a:prstGeom>
        <a:ln w="15875">
          <a:solidFill>
            <a:srgbClr val="00B05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224052</xdr:colOff>
      <xdr:row>77</xdr:row>
      <xdr:rowOff>202423</xdr:rowOff>
    </xdr:from>
    <xdr:to>
      <xdr:col>13</xdr:col>
      <xdr:colOff>85838</xdr:colOff>
      <xdr:row>77</xdr:row>
      <xdr:rowOff>202423</xdr:rowOff>
    </xdr:to>
    <xdr:cxnSp macro="">
      <xdr:nvCxnSpPr>
        <xdr:cNvPr id="487" name="直線矢印コネクタ 486">
          <a:extLst>
            <a:ext uri="{FF2B5EF4-FFF2-40B4-BE49-F238E27FC236}">
              <a16:creationId xmlns:a16="http://schemas.microsoft.com/office/drawing/2014/main" id="{B78AABC9-44B1-4C4F-B132-B6B5FECB0D45}"/>
            </a:ext>
          </a:extLst>
        </xdr:cNvPr>
        <xdr:cNvCxnSpPr/>
      </xdr:nvCxnSpPr>
      <xdr:spPr>
        <a:xfrm flipH="1">
          <a:off x="3305670" y="18322335"/>
          <a:ext cx="422080" cy="0"/>
        </a:xfrm>
        <a:prstGeom prst="straightConnector1">
          <a:avLst/>
        </a:prstGeom>
        <a:ln>
          <a:solidFill>
            <a:srgbClr val="00B050"/>
          </a:solidFill>
          <a:headEnd type="non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222155</xdr:colOff>
      <xdr:row>81</xdr:row>
      <xdr:rowOff>115017</xdr:rowOff>
    </xdr:from>
    <xdr:to>
      <xdr:col>13</xdr:col>
      <xdr:colOff>70150</xdr:colOff>
      <xdr:row>81</xdr:row>
      <xdr:rowOff>115017</xdr:rowOff>
    </xdr:to>
    <xdr:cxnSp macro="">
      <xdr:nvCxnSpPr>
        <xdr:cNvPr id="488" name="直線矢印コネクタ 487">
          <a:extLst>
            <a:ext uri="{FF2B5EF4-FFF2-40B4-BE49-F238E27FC236}">
              <a16:creationId xmlns:a16="http://schemas.microsoft.com/office/drawing/2014/main" id="{75AD2498-7F61-4683-A6B8-6A09ECE0ED93}"/>
            </a:ext>
          </a:extLst>
        </xdr:cNvPr>
        <xdr:cNvCxnSpPr/>
      </xdr:nvCxnSpPr>
      <xdr:spPr>
        <a:xfrm flipH="1">
          <a:off x="3303773" y="19176223"/>
          <a:ext cx="408289" cy="0"/>
        </a:xfrm>
        <a:prstGeom prst="straightConnector1">
          <a:avLst/>
        </a:prstGeom>
        <a:ln>
          <a:solidFill>
            <a:srgbClr val="00B050"/>
          </a:solidFill>
          <a:headEnd type="non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82803</xdr:colOff>
      <xdr:row>89</xdr:row>
      <xdr:rowOff>157105</xdr:rowOff>
    </xdr:from>
    <xdr:to>
      <xdr:col>11</xdr:col>
      <xdr:colOff>243256</xdr:colOff>
      <xdr:row>90</xdr:row>
      <xdr:rowOff>219789</xdr:rowOff>
    </xdr:to>
    <xdr:cxnSp macro="">
      <xdr:nvCxnSpPr>
        <xdr:cNvPr id="489" name="コネクタ: カギ線 488">
          <a:extLst>
            <a:ext uri="{FF2B5EF4-FFF2-40B4-BE49-F238E27FC236}">
              <a16:creationId xmlns:a16="http://schemas.microsoft.com/office/drawing/2014/main" id="{F4F1A651-21C5-4B95-8B20-2656C995973B}"/>
            </a:ext>
          </a:extLst>
        </xdr:cNvPr>
        <xdr:cNvCxnSpPr>
          <a:endCxn id="482" idx="0"/>
        </xdr:cNvCxnSpPr>
      </xdr:nvCxnSpPr>
      <xdr:spPr>
        <a:xfrm rot="10800000" flipV="1">
          <a:off x="2292603" y="21350230"/>
          <a:ext cx="989128" cy="300809"/>
        </a:xfrm>
        <a:prstGeom prst="bentConnector2">
          <a:avLst/>
        </a:prstGeom>
        <a:ln>
          <a:solidFill>
            <a:srgbClr val="00B05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68252</xdr:colOff>
      <xdr:row>87</xdr:row>
      <xdr:rowOff>169726</xdr:rowOff>
    </xdr:from>
    <xdr:to>
      <xdr:col>11</xdr:col>
      <xdr:colOff>29995</xdr:colOff>
      <xdr:row>89</xdr:row>
      <xdr:rowOff>191776</xdr:rowOff>
    </xdr:to>
    <xdr:sp macro="" textlink="">
      <xdr:nvSpPr>
        <xdr:cNvPr id="490" name="正方形/長方形 489">
          <a:extLst>
            <a:ext uri="{FF2B5EF4-FFF2-40B4-BE49-F238E27FC236}">
              <a16:creationId xmlns:a16="http://schemas.microsoft.com/office/drawing/2014/main" id="{6A48FD35-5614-4EC8-8551-2104A306D71A}"/>
            </a:ext>
          </a:extLst>
        </xdr:cNvPr>
        <xdr:cNvSpPr/>
      </xdr:nvSpPr>
      <xdr:spPr>
        <a:xfrm>
          <a:off x="2001827" y="20886601"/>
          <a:ext cx="1066643" cy="4983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chemeClr val="tx1"/>
              </a:solidFill>
            </a:rPr>
            <a:t>ディジタル出力</a:t>
          </a:r>
          <a:endParaRPr kumimoji="1" lang="en-US" altLang="ja-JP" sz="900">
            <a:solidFill>
              <a:schemeClr val="tx1"/>
            </a:solidFill>
          </a:endParaRPr>
        </a:p>
        <a:p>
          <a:pPr algn="ctr"/>
          <a:r>
            <a:rPr kumimoji="1" lang="ja-JP" altLang="en-US" sz="900">
              <a:solidFill>
                <a:schemeClr val="tx1"/>
              </a:solidFill>
            </a:rPr>
            <a:t>制御信号</a:t>
          </a:r>
          <a:endParaRPr kumimoji="1" lang="en-US" altLang="ja-JP" sz="900">
            <a:solidFill>
              <a:schemeClr val="tx1"/>
            </a:solidFill>
          </a:endParaRPr>
        </a:p>
      </xdr:txBody>
    </xdr:sp>
    <xdr:clientData/>
  </xdr:twoCellAnchor>
  <xdr:twoCellAnchor>
    <xdr:from>
      <xdr:col>16</xdr:col>
      <xdr:colOff>63573</xdr:colOff>
      <xdr:row>91</xdr:row>
      <xdr:rowOff>117376</xdr:rowOff>
    </xdr:from>
    <xdr:to>
      <xdr:col>26</xdr:col>
      <xdr:colOff>23034</xdr:colOff>
      <xdr:row>91</xdr:row>
      <xdr:rowOff>117376</xdr:rowOff>
    </xdr:to>
    <xdr:cxnSp macro="">
      <xdr:nvCxnSpPr>
        <xdr:cNvPr id="491" name="直線矢印コネクタ 490">
          <a:extLst>
            <a:ext uri="{FF2B5EF4-FFF2-40B4-BE49-F238E27FC236}">
              <a16:creationId xmlns:a16="http://schemas.microsoft.com/office/drawing/2014/main" id="{898694B0-4F76-4C28-8FCE-3EB73A1D36BF}"/>
            </a:ext>
          </a:extLst>
        </xdr:cNvPr>
        <xdr:cNvCxnSpPr/>
      </xdr:nvCxnSpPr>
      <xdr:spPr>
        <a:xfrm>
          <a:off x="4483173" y="21786751"/>
          <a:ext cx="2721711" cy="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55197</xdr:colOff>
      <xdr:row>94</xdr:row>
      <xdr:rowOff>203386</xdr:rowOff>
    </xdr:from>
    <xdr:to>
      <xdr:col>26</xdr:col>
      <xdr:colOff>30361</xdr:colOff>
      <xdr:row>94</xdr:row>
      <xdr:rowOff>203386</xdr:rowOff>
    </xdr:to>
    <xdr:cxnSp macro="">
      <xdr:nvCxnSpPr>
        <xdr:cNvPr id="492" name="直線矢印コネクタ 491">
          <a:extLst>
            <a:ext uri="{FF2B5EF4-FFF2-40B4-BE49-F238E27FC236}">
              <a16:creationId xmlns:a16="http://schemas.microsoft.com/office/drawing/2014/main" id="{D9CDD714-B192-44BE-90C2-ED2870A4EC57}"/>
            </a:ext>
          </a:extLst>
        </xdr:cNvPr>
        <xdr:cNvCxnSpPr/>
      </xdr:nvCxnSpPr>
      <xdr:spPr>
        <a:xfrm>
          <a:off x="4474797" y="22587136"/>
          <a:ext cx="2737414" cy="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158842</xdr:colOff>
      <xdr:row>90</xdr:row>
      <xdr:rowOff>104357</xdr:rowOff>
    </xdr:from>
    <xdr:to>
      <xdr:col>25</xdr:col>
      <xdr:colOff>119313</xdr:colOff>
      <xdr:row>91</xdr:row>
      <xdr:rowOff>117415</xdr:rowOff>
    </xdr:to>
    <xdr:sp macro="" textlink="">
      <xdr:nvSpPr>
        <xdr:cNvPr id="493" name="正方形/長方形 492">
          <a:extLst>
            <a:ext uri="{FF2B5EF4-FFF2-40B4-BE49-F238E27FC236}">
              <a16:creationId xmlns:a16="http://schemas.microsoft.com/office/drawing/2014/main" id="{FC8E2861-F2EB-4988-ADBC-F4C385F44297}"/>
            </a:ext>
          </a:extLst>
        </xdr:cNvPr>
        <xdr:cNvSpPr/>
      </xdr:nvSpPr>
      <xdr:spPr>
        <a:xfrm>
          <a:off x="5683342" y="21535607"/>
          <a:ext cx="1341596" cy="25118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900">
              <a:solidFill>
                <a:schemeClr val="tx1"/>
              </a:solidFill>
            </a:rPr>
            <a:t>16-bit  </a:t>
          </a:r>
          <a:r>
            <a:rPr kumimoji="1" lang="ja-JP" altLang="en-US" sz="900">
              <a:solidFill>
                <a:schemeClr val="tx1"/>
              </a:solidFill>
            </a:rPr>
            <a:t>ディジタル値 </a:t>
          </a:r>
          <a:r>
            <a:rPr kumimoji="1" lang="en-US" altLang="ja-JP" sz="900">
              <a:solidFill>
                <a:schemeClr val="tx1"/>
              </a:solidFill>
            </a:rPr>
            <a:t>0</a:t>
          </a:r>
        </a:p>
      </xdr:txBody>
    </xdr:sp>
    <xdr:clientData/>
  </xdr:twoCellAnchor>
  <xdr:twoCellAnchor>
    <xdr:from>
      <xdr:col>20</xdr:col>
      <xdr:colOff>111217</xdr:colOff>
      <xdr:row>93</xdr:row>
      <xdr:rowOff>195237</xdr:rowOff>
    </xdr:from>
    <xdr:to>
      <xdr:col>25</xdr:col>
      <xdr:colOff>119076</xdr:colOff>
      <xdr:row>94</xdr:row>
      <xdr:rowOff>203500</xdr:rowOff>
    </xdr:to>
    <xdr:sp macro="" textlink="">
      <xdr:nvSpPr>
        <xdr:cNvPr id="494" name="正方形/長方形 493">
          <a:extLst>
            <a:ext uri="{FF2B5EF4-FFF2-40B4-BE49-F238E27FC236}">
              <a16:creationId xmlns:a16="http://schemas.microsoft.com/office/drawing/2014/main" id="{4DDB83D9-CF52-476B-85E2-68A3168F8B9B}"/>
            </a:ext>
          </a:extLst>
        </xdr:cNvPr>
        <xdr:cNvSpPr/>
      </xdr:nvSpPr>
      <xdr:spPr>
        <a:xfrm>
          <a:off x="5635717" y="22340862"/>
          <a:ext cx="1388984" cy="24638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a:solidFill>
                <a:schemeClr val="tx1"/>
              </a:solidFill>
            </a:rPr>
            <a:t>16-bit  </a:t>
          </a:r>
          <a:r>
            <a:rPr kumimoji="1" lang="ja-JP" altLang="en-US" sz="900">
              <a:solidFill>
                <a:schemeClr val="tx1"/>
              </a:solidFill>
            </a:rPr>
            <a:t>ディジタル値 </a:t>
          </a:r>
          <a:r>
            <a:rPr kumimoji="1" lang="en-US" altLang="ja-JP" sz="900">
              <a:solidFill>
                <a:schemeClr val="tx1"/>
              </a:solidFill>
            </a:rPr>
            <a:t>33</a:t>
          </a:r>
        </a:p>
      </xdr:txBody>
    </xdr:sp>
    <xdr:clientData/>
  </xdr:twoCellAnchor>
  <xdr:twoCellAnchor>
    <xdr:from>
      <xdr:col>12</xdr:col>
      <xdr:colOff>200971</xdr:colOff>
      <xdr:row>90</xdr:row>
      <xdr:rowOff>137228</xdr:rowOff>
    </xdr:from>
    <xdr:to>
      <xdr:col>16</xdr:col>
      <xdr:colOff>63592</xdr:colOff>
      <xdr:row>92</xdr:row>
      <xdr:rowOff>99885</xdr:rowOff>
    </xdr:to>
    <xdr:sp macro="" textlink="">
      <xdr:nvSpPr>
        <xdr:cNvPr id="495" name="正方形/長方形 494">
          <a:extLst>
            <a:ext uri="{FF2B5EF4-FFF2-40B4-BE49-F238E27FC236}">
              <a16:creationId xmlns:a16="http://schemas.microsoft.com/office/drawing/2014/main" id="{64C99250-A87E-4717-B01D-4DF4697E6A10}"/>
            </a:ext>
          </a:extLst>
        </xdr:cNvPr>
        <xdr:cNvSpPr/>
      </xdr:nvSpPr>
      <xdr:spPr>
        <a:xfrm>
          <a:off x="3515671" y="21568478"/>
          <a:ext cx="967521" cy="438907"/>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baseline="0">
              <a:solidFill>
                <a:schemeClr val="tx1"/>
              </a:solidFill>
            </a:rPr>
            <a:t>digital out 0</a:t>
          </a:r>
          <a:endParaRPr kumimoji="1" lang="en-US" altLang="ja-JP" sz="1100">
            <a:solidFill>
              <a:schemeClr val="tx1"/>
            </a:solidFill>
          </a:endParaRPr>
        </a:p>
      </xdr:txBody>
    </xdr:sp>
    <xdr:clientData/>
  </xdr:twoCellAnchor>
  <xdr:twoCellAnchor>
    <xdr:from>
      <xdr:col>12</xdr:col>
      <xdr:colOff>200970</xdr:colOff>
      <xdr:row>94</xdr:row>
      <xdr:rowOff>4418</xdr:rowOff>
    </xdr:from>
    <xdr:to>
      <xdr:col>16</xdr:col>
      <xdr:colOff>73117</xdr:colOff>
      <xdr:row>95</xdr:row>
      <xdr:rowOff>228422</xdr:rowOff>
    </xdr:to>
    <xdr:sp macro="" textlink="">
      <xdr:nvSpPr>
        <xdr:cNvPr id="496" name="正方形/長方形 495">
          <a:extLst>
            <a:ext uri="{FF2B5EF4-FFF2-40B4-BE49-F238E27FC236}">
              <a16:creationId xmlns:a16="http://schemas.microsoft.com/office/drawing/2014/main" id="{3190318A-4434-4E6D-9667-714B9EDF1174}"/>
            </a:ext>
          </a:extLst>
        </xdr:cNvPr>
        <xdr:cNvSpPr/>
      </xdr:nvSpPr>
      <xdr:spPr>
        <a:xfrm>
          <a:off x="3515670" y="22388168"/>
          <a:ext cx="977047" cy="462129"/>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baseline="0">
              <a:solidFill>
                <a:schemeClr val="tx1"/>
              </a:solidFill>
            </a:rPr>
            <a:t>digital out 33</a:t>
          </a:r>
          <a:endParaRPr kumimoji="1" lang="en-US" altLang="ja-JP" sz="1100">
            <a:solidFill>
              <a:schemeClr val="tx1"/>
            </a:solidFill>
          </a:endParaRPr>
        </a:p>
      </xdr:txBody>
    </xdr:sp>
    <xdr:clientData/>
  </xdr:twoCellAnchor>
  <xdr:twoCellAnchor>
    <xdr:from>
      <xdr:col>5</xdr:col>
      <xdr:colOff>160731</xdr:colOff>
      <xdr:row>99</xdr:row>
      <xdr:rowOff>144922</xdr:rowOff>
    </xdr:from>
    <xdr:to>
      <xdr:col>11</xdr:col>
      <xdr:colOff>7031</xdr:colOff>
      <xdr:row>103</xdr:row>
      <xdr:rowOff>115957</xdr:rowOff>
    </xdr:to>
    <xdr:sp macro="" textlink="">
      <xdr:nvSpPr>
        <xdr:cNvPr id="497" name="正方形/長方形 496">
          <a:extLst>
            <a:ext uri="{FF2B5EF4-FFF2-40B4-BE49-F238E27FC236}">
              <a16:creationId xmlns:a16="http://schemas.microsoft.com/office/drawing/2014/main" id="{EBA54515-E601-4770-BEB0-50D1A4A3DE51}"/>
            </a:ext>
          </a:extLst>
        </xdr:cNvPr>
        <xdr:cNvSpPr/>
      </xdr:nvSpPr>
      <xdr:spPr>
        <a:xfrm>
          <a:off x="1527361" y="23924292"/>
          <a:ext cx="1486257" cy="931817"/>
        </a:xfrm>
        <a:prstGeom prst="rect">
          <a:avLst/>
        </a:prstGeom>
        <a:solidFill>
          <a:schemeClr val="accent1">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capture ctrl</a:t>
          </a:r>
        </a:p>
        <a:p>
          <a:pPr algn="ctr"/>
          <a:endParaRPr kumimoji="1" lang="en-US" altLang="ja-JP" sz="1100">
            <a:solidFill>
              <a:schemeClr val="tx1"/>
            </a:solidFill>
          </a:endParaRPr>
        </a:p>
        <a:p>
          <a:pPr algn="ctr"/>
          <a:r>
            <a:rPr kumimoji="1" lang="en-US" altLang="ja-JP" sz="1100">
              <a:solidFill>
                <a:schemeClr val="tx1"/>
              </a:solidFill>
            </a:rPr>
            <a:t>(UDP</a:t>
          </a:r>
          <a:r>
            <a:rPr kumimoji="1" lang="ja-JP" altLang="en-US" sz="1100">
              <a:solidFill>
                <a:schemeClr val="tx1"/>
              </a:solidFill>
            </a:rPr>
            <a:t>ポート </a:t>
          </a:r>
          <a:r>
            <a:rPr kumimoji="1" lang="en-US" altLang="ja-JP" sz="1100">
              <a:solidFill>
                <a:schemeClr val="tx1"/>
              </a:solidFill>
            </a:rPr>
            <a:t>: 16385)</a:t>
          </a:r>
        </a:p>
      </xdr:txBody>
    </xdr:sp>
    <xdr:clientData/>
  </xdr:twoCellAnchor>
  <xdr:twoCellAnchor>
    <xdr:from>
      <xdr:col>11</xdr:col>
      <xdr:colOff>10546</xdr:colOff>
      <xdr:row>100</xdr:row>
      <xdr:rowOff>71951</xdr:rowOff>
    </xdr:from>
    <xdr:to>
      <xdr:col>12</xdr:col>
      <xdr:colOff>174423</xdr:colOff>
      <xdr:row>100</xdr:row>
      <xdr:rowOff>71951</xdr:rowOff>
    </xdr:to>
    <xdr:cxnSp macro="">
      <xdr:nvCxnSpPr>
        <xdr:cNvPr id="499" name="直線矢印コネクタ 498">
          <a:extLst>
            <a:ext uri="{FF2B5EF4-FFF2-40B4-BE49-F238E27FC236}">
              <a16:creationId xmlns:a16="http://schemas.microsoft.com/office/drawing/2014/main" id="{8CEB4D28-830B-4105-A4A0-DCE36E143D18}"/>
            </a:ext>
          </a:extLst>
        </xdr:cNvPr>
        <xdr:cNvCxnSpPr/>
      </xdr:nvCxnSpPr>
      <xdr:spPr>
        <a:xfrm>
          <a:off x="3049021" y="23884451"/>
          <a:ext cx="440102"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3978</xdr:colOff>
      <xdr:row>102</xdr:row>
      <xdr:rowOff>195083</xdr:rowOff>
    </xdr:from>
    <xdr:to>
      <xdr:col>12</xdr:col>
      <xdr:colOff>167854</xdr:colOff>
      <xdr:row>102</xdr:row>
      <xdr:rowOff>195083</xdr:rowOff>
    </xdr:to>
    <xdr:cxnSp macro="">
      <xdr:nvCxnSpPr>
        <xdr:cNvPr id="500" name="直線矢印コネクタ 499">
          <a:extLst>
            <a:ext uri="{FF2B5EF4-FFF2-40B4-BE49-F238E27FC236}">
              <a16:creationId xmlns:a16="http://schemas.microsoft.com/office/drawing/2014/main" id="{15154D58-901D-42D5-B320-C04DBB3BE514}"/>
            </a:ext>
          </a:extLst>
        </xdr:cNvPr>
        <xdr:cNvCxnSpPr/>
      </xdr:nvCxnSpPr>
      <xdr:spPr>
        <a:xfrm>
          <a:off x="3016259" y="24483833"/>
          <a:ext cx="437720"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149317</xdr:colOff>
      <xdr:row>100</xdr:row>
      <xdr:rowOff>162936</xdr:rowOff>
    </xdr:from>
    <xdr:to>
      <xdr:col>26</xdr:col>
      <xdr:colOff>30361</xdr:colOff>
      <xdr:row>100</xdr:row>
      <xdr:rowOff>162936</xdr:rowOff>
    </xdr:to>
    <xdr:cxnSp macro="">
      <xdr:nvCxnSpPr>
        <xdr:cNvPr id="501" name="直線矢印コネクタ 500">
          <a:extLst>
            <a:ext uri="{FF2B5EF4-FFF2-40B4-BE49-F238E27FC236}">
              <a16:creationId xmlns:a16="http://schemas.microsoft.com/office/drawing/2014/main" id="{C4CC0CD3-F8E3-4E6C-BDF6-46CB1549DF80}"/>
            </a:ext>
          </a:extLst>
        </xdr:cNvPr>
        <xdr:cNvCxnSpPr/>
      </xdr:nvCxnSpPr>
      <xdr:spPr>
        <a:xfrm>
          <a:off x="4568917" y="23975436"/>
          <a:ext cx="2643294" cy="0"/>
        </a:xfrm>
        <a:prstGeom prst="straightConnector1">
          <a:avLst/>
        </a:prstGeom>
        <a:ln>
          <a:solidFill>
            <a:srgbClr val="FF0000"/>
          </a:solidFill>
          <a:headEnd type="triangle"/>
          <a:tailEnd type="non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170024</xdr:colOff>
      <xdr:row>103</xdr:row>
      <xdr:rowOff>92209</xdr:rowOff>
    </xdr:from>
    <xdr:to>
      <xdr:col>26</xdr:col>
      <xdr:colOff>23034</xdr:colOff>
      <xdr:row>103</xdr:row>
      <xdr:rowOff>92209</xdr:rowOff>
    </xdr:to>
    <xdr:cxnSp macro="">
      <xdr:nvCxnSpPr>
        <xdr:cNvPr id="502" name="直線矢印コネクタ 501">
          <a:extLst>
            <a:ext uri="{FF2B5EF4-FFF2-40B4-BE49-F238E27FC236}">
              <a16:creationId xmlns:a16="http://schemas.microsoft.com/office/drawing/2014/main" id="{3D6FF68B-7414-4C82-A4F3-AC34A002AD0F}"/>
            </a:ext>
          </a:extLst>
        </xdr:cNvPr>
        <xdr:cNvCxnSpPr/>
      </xdr:nvCxnSpPr>
      <xdr:spPr>
        <a:xfrm>
          <a:off x="4551524" y="24619084"/>
          <a:ext cx="2591448" cy="0"/>
        </a:xfrm>
        <a:prstGeom prst="straightConnector1">
          <a:avLst/>
        </a:prstGeom>
        <a:ln>
          <a:solidFill>
            <a:srgbClr val="FF0000"/>
          </a:solidFill>
          <a:headEnd type="triangle"/>
          <a:tailEnd type="non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21</xdr:col>
      <xdr:colOff>74817</xdr:colOff>
      <xdr:row>99</xdr:row>
      <xdr:rowOff>161512</xdr:rowOff>
    </xdr:from>
    <xdr:to>
      <xdr:col>25</xdr:col>
      <xdr:colOff>137950</xdr:colOff>
      <xdr:row>100</xdr:row>
      <xdr:rowOff>162975</xdr:rowOff>
    </xdr:to>
    <xdr:sp macro="" textlink="">
      <xdr:nvSpPr>
        <xdr:cNvPr id="503" name="正方形/長方形 502">
          <a:extLst>
            <a:ext uri="{FF2B5EF4-FFF2-40B4-BE49-F238E27FC236}">
              <a16:creationId xmlns:a16="http://schemas.microsoft.com/office/drawing/2014/main" id="{DCD69C43-DFF3-44E1-80E9-11C76452A766}"/>
            </a:ext>
          </a:extLst>
        </xdr:cNvPr>
        <xdr:cNvSpPr/>
      </xdr:nvSpPr>
      <xdr:spPr>
        <a:xfrm>
          <a:off x="5875542" y="23735887"/>
          <a:ext cx="1168033" cy="23958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chemeClr val="tx1"/>
              </a:solidFill>
            </a:rPr>
            <a:t>入力波形データ </a:t>
          </a:r>
          <a:r>
            <a:rPr kumimoji="1" lang="en-US" altLang="ja-JP" sz="900">
              <a:solidFill>
                <a:schemeClr val="tx1"/>
              </a:solidFill>
            </a:rPr>
            <a:t>0</a:t>
          </a:r>
        </a:p>
      </xdr:txBody>
    </xdr:sp>
    <xdr:clientData/>
  </xdr:twoCellAnchor>
  <xdr:twoCellAnchor>
    <xdr:from>
      <xdr:col>21</xdr:col>
      <xdr:colOff>74580</xdr:colOff>
      <xdr:row>102</xdr:row>
      <xdr:rowOff>84058</xdr:rowOff>
    </xdr:from>
    <xdr:to>
      <xdr:col>25</xdr:col>
      <xdr:colOff>137713</xdr:colOff>
      <xdr:row>103</xdr:row>
      <xdr:rowOff>92323</xdr:rowOff>
    </xdr:to>
    <xdr:sp macro="" textlink="">
      <xdr:nvSpPr>
        <xdr:cNvPr id="504" name="正方形/長方形 503">
          <a:extLst>
            <a:ext uri="{FF2B5EF4-FFF2-40B4-BE49-F238E27FC236}">
              <a16:creationId xmlns:a16="http://schemas.microsoft.com/office/drawing/2014/main" id="{96064093-A0BA-4926-94C1-E71AB261D746}"/>
            </a:ext>
          </a:extLst>
        </xdr:cNvPr>
        <xdr:cNvSpPr/>
      </xdr:nvSpPr>
      <xdr:spPr>
        <a:xfrm>
          <a:off x="5825299" y="24372808"/>
          <a:ext cx="1158508" cy="24639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chemeClr val="tx1"/>
              </a:solidFill>
            </a:rPr>
            <a:t>入力波形データ </a:t>
          </a:r>
          <a:r>
            <a:rPr kumimoji="1" lang="en-US" altLang="ja-JP" sz="900">
              <a:solidFill>
                <a:schemeClr val="tx1"/>
              </a:solidFill>
            </a:rPr>
            <a:t>1</a:t>
          </a:r>
        </a:p>
      </xdr:txBody>
    </xdr:sp>
    <xdr:clientData/>
  </xdr:twoCellAnchor>
  <xdr:twoCellAnchor>
    <xdr:from>
      <xdr:col>26</xdr:col>
      <xdr:colOff>16381</xdr:colOff>
      <xdr:row>100</xdr:row>
      <xdr:rowOff>24925</xdr:rowOff>
    </xdr:from>
    <xdr:to>
      <xdr:col>29</xdr:col>
      <xdr:colOff>12869</xdr:colOff>
      <xdr:row>101</xdr:row>
      <xdr:rowOff>111794</xdr:rowOff>
    </xdr:to>
    <xdr:sp macro="" textlink="">
      <xdr:nvSpPr>
        <xdr:cNvPr id="505" name="正方形/長方形 504">
          <a:extLst>
            <a:ext uri="{FF2B5EF4-FFF2-40B4-BE49-F238E27FC236}">
              <a16:creationId xmlns:a16="http://schemas.microsoft.com/office/drawing/2014/main" id="{7ADD8AB4-3821-4418-8666-4BA443CAE54A}"/>
            </a:ext>
          </a:extLst>
        </xdr:cNvPr>
        <xdr:cNvSpPr/>
      </xdr:nvSpPr>
      <xdr:spPr>
        <a:xfrm>
          <a:off x="7198231" y="23837425"/>
          <a:ext cx="825163" cy="324994"/>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a:solidFill>
                <a:schemeClr val="tx1"/>
              </a:solidFill>
            </a:rPr>
            <a:t>AXI4</a:t>
          </a:r>
          <a:r>
            <a:rPr kumimoji="1" lang="en-US" altLang="ja-JP" sz="900" baseline="0">
              <a:solidFill>
                <a:schemeClr val="tx1"/>
              </a:solidFill>
            </a:rPr>
            <a:t>-Stream</a:t>
          </a:r>
          <a:endParaRPr kumimoji="1" lang="en-US" altLang="ja-JP" sz="900">
            <a:solidFill>
              <a:schemeClr val="tx1"/>
            </a:solidFill>
          </a:endParaRPr>
        </a:p>
      </xdr:txBody>
    </xdr:sp>
    <xdr:clientData/>
  </xdr:twoCellAnchor>
  <xdr:twoCellAnchor>
    <xdr:from>
      <xdr:col>26</xdr:col>
      <xdr:colOff>7660</xdr:colOff>
      <xdr:row>102</xdr:row>
      <xdr:rowOff>168498</xdr:rowOff>
    </xdr:from>
    <xdr:to>
      <xdr:col>29</xdr:col>
      <xdr:colOff>12869</xdr:colOff>
      <xdr:row>103</xdr:row>
      <xdr:rowOff>230300</xdr:rowOff>
    </xdr:to>
    <xdr:sp macro="" textlink="">
      <xdr:nvSpPr>
        <xdr:cNvPr id="506" name="正方形/長方形 505">
          <a:extLst>
            <a:ext uri="{FF2B5EF4-FFF2-40B4-BE49-F238E27FC236}">
              <a16:creationId xmlns:a16="http://schemas.microsoft.com/office/drawing/2014/main" id="{BEB84E28-38AB-4B51-968D-E903135A2409}"/>
            </a:ext>
          </a:extLst>
        </xdr:cNvPr>
        <xdr:cNvSpPr/>
      </xdr:nvSpPr>
      <xdr:spPr>
        <a:xfrm>
          <a:off x="7127598" y="24457248"/>
          <a:ext cx="826740" cy="299927"/>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baseline="0">
              <a:solidFill>
                <a:schemeClr val="tx1"/>
              </a:solidFill>
            </a:rPr>
            <a:t>AXI4-Stream</a:t>
          </a:r>
          <a:endParaRPr kumimoji="1" lang="en-US" altLang="ja-JP" sz="900">
            <a:solidFill>
              <a:schemeClr val="tx1"/>
            </a:solidFill>
          </a:endParaRPr>
        </a:p>
      </xdr:txBody>
    </xdr:sp>
    <xdr:clientData/>
  </xdr:twoCellAnchor>
  <xdr:twoCellAnchor>
    <xdr:from>
      <xdr:col>6</xdr:col>
      <xdr:colOff>202366</xdr:colOff>
      <xdr:row>97</xdr:row>
      <xdr:rowOff>74827</xdr:rowOff>
    </xdr:from>
    <xdr:to>
      <xdr:col>11</xdr:col>
      <xdr:colOff>107585</xdr:colOff>
      <xdr:row>98</xdr:row>
      <xdr:rowOff>93210</xdr:rowOff>
    </xdr:to>
    <xdr:sp macro="" textlink="">
      <xdr:nvSpPr>
        <xdr:cNvPr id="507" name="正方形/長方形 506">
          <a:extLst>
            <a:ext uri="{FF2B5EF4-FFF2-40B4-BE49-F238E27FC236}">
              <a16:creationId xmlns:a16="http://schemas.microsoft.com/office/drawing/2014/main" id="{29435550-6084-4301-91BC-40060C0F03C3}"/>
            </a:ext>
          </a:extLst>
        </xdr:cNvPr>
        <xdr:cNvSpPr/>
      </xdr:nvSpPr>
      <xdr:spPr>
        <a:xfrm>
          <a:off x="1859716" y="23172952"/>
          <a:ext cx="1286344" cy="25650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chemeClr val="tx1"/>
              </a:solidFill>
            </a:rPr>
            <a:t>キャプチャ開始信号</a:t>
          </a:r>
          <a:endParaRPr kumimoji="1" lang="en-US" altLang="ja-JP" sz="900">
            <a:solidFill>
              <a:schemeClr val="tx1"/>
            </a:solidFill>
          </a:endParaRPr>
        </a:p>
      </xdr:txBody>
    </xdr:sp>
    <xdr:clientData/>
  </xdr:twoCellAnchor>
  <xdr:twoCellAnchor>
    <xdr:from>
      <xdr:col>8</xdr:col>
      <xdr:colOff>83882</xdr:colOff>
      <xdr:row>98</xdr:row>
      <xdr:rowOff>88756</xdr:rowOff>
    </xdr:from>
    <xdr:to>
      <xdr:col>11</xdr:col>
      <xdr:colOff>229921</xdr:colOff>
      <xdr:row>99</xdr:row>
      <xdr:rowOff>144922</xdr:rowOff>
    </xdr:to>
    <xdr:cxnSp macro="">
      <xdr:nvCxnSpPr>
        <xdr:cNvPr id="508" name="コネクタ: カギ線 507">
          <a:extLst>
            <a:ext uri="{FF2B5EF4-FFF2-40B4-BE49-F238E27FC236}">
              <a16:creationId xmlns:a16="http://schemas.microsoft.com/office/drawing/2014/main" id="{C6DC05D6-90C6-4386-A209-5AF2423F7055}"/>
            </a:ext>
          </a:extLst>
        </xdr:cNvPr>
        <xdr:cNvCxnSpPr>
          <a:endCxn id="497" idx="0"/>
        </xdr:cNvCxnSpPr>
      </xdr:nvCxnSpPr>
      <xdr:spPr>
        <a:xfrm rot="10800000" flipV="1">
          <a:off x="2270491" y="23627930"/>
          <a:ext cx="966017" cy="296362"/>
        </a:xfrm>
        <a:prstGeom prst="bentConnector2">
          <a:avLst/>
        </a:prstGeom>
        <a:ln>
          <a:solidFill>
            <a:srgbClr val="00B05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21</xdr:col>
      <xdr:colOff>153458</xdr:colOff>
      <xdr:row>96</xdr:row>
      <xdr:rowOff>98941</xdr:rowOff>
    </xdr:from>
    <xdr:to>
      <xdr:col>25</xdr:col>
      <xdr:colOff>194871</xdr:colOff>
      <xdr:row>98</xdr:row>
      <xdr:rowOff>212827</xdr:rowOff>
    </xdr:to>
    <xdr:sp macro="" textlink="">
      <xdr:nvSpPr>
        <xdr:cNvPr id="509" name="正方形/長方形 508">
          <a:extLst>
            <a:ext uri="{FF2B5EF4-FFF2-40B4-BE49-F238E27FC236}">
              <a16:creationId xmlns:a16="http://schemas.microsoft.com/office/drawing/2014/main" id="{0D7A38AA-FB69-4C1F-A4AB-84322C971EE1}"/>
            </a:ext>
          </a:extLst>
        </xdr:cNvPr>
        <xdr:cNvSpPr/>
      </xdr:nvSpPr>
      <xdr:spPr>
        <a:xfrm>
          <a:off x="5954183" y="22958941"/>
          <a:ext cx="1146313" cy="590136"/>
        </a:xfrm>
        <a:prstGeom prst="rect">
          <a:avLst/>
        </a:prstGeom>
        <a:solidFill>
          <a:schemeClr val="accent1">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chemeClr val="tx1"/>
              </a:solidFill>
            </a:rPr>
            <a:t>キャプチャデータ</a:t>
          </a:r>
          <a:endParaRPr kumimoji="1" lang="en-US" altLang="ja-JP" sz="900">
            <a:solidFill>
              <a:schemeClr val="tx1"/>
            </a:solidFill>
          </a:endParaRPr>
        </a:p>
        <a:p>
          <a:pPr algn="ctr"/>
          <a:r>
            <a:rPr kumimoji="1" lang="en-US" altLang="ja-JP" sz="1100">
              <a:solidFill>
                <a:schemeClr val="tx1"/>
              </a:solidFill>
            </a:rPr>
            <a:t>RAMs</a:t>
          </a:r>
        </a:p>
      </xdr:txBody>
    </xdr:sp>
    <xdr:clientData/>
  </xdr:twoCellAnchor>
  <xdr:twoCellAnchor>
    <xdr:from>
      <xdr:col>20</xdr:col>
      <xdr:colOff>87197</xdr:colOff>
      <xdr:row>97</xdr:row>
      <xdr:rowOff>155809</xdr:rowOff>
    </xdr:from>
    <xdr:to>
      <xdr:col>21</xdr:col>
      <xdr:colOff>136893</xdr:colOff>
      <xdr:row>97</xdr:row>
      <xdr:rowOff>155809</xdr:rowOff>
    </xdr:to>
    <xdr:cxnSp macro="">
      <xdr:nvCxnSpPr>
        <xdr:cNvPr id="510" name="直線矢印コネクタ 509">
          <a:extLst>
            <a:ext uri="{FF2B5EF4-FFF2-40B4-BE49-F238E27FC236}">
              <a16:creationId xmlns:a16="http://schemas.microsoft.com/office/drawing/2014/main" id="{3CDDE542-ABC1-41D8-852E-BAA53794DEAF}"/>
            </a:ext>
          </a:extLst>
        </xdr:cNvPr>
        <xdr:cNvCxnSpPr/>
      </xdr:nvCxnSpPr>
      <xdr:spPr>
        <a:xfrm>
          <a:off x="5611697" y="23253934"/>
          <a:ext cx="325921"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145683</xdr:colOff>
      <xdr:row>98</xdr:row>
      <xdr:rowOff>168119</xdr:rowOff>
    </xdr:from>
    <xdr:to>
      <xdr:col>20</xdr:col>
      <xdr:colOff>94433</xdr:colOff>
      <xdr:row>99</xdr:row>
      <xdr:rowOff>174689</xdr:rowOff>
    </xdr:to>
    <xdr:sp macro="" textlink="">
      <xdr:nvSpPr>
        <xdr:cNvPr id="511" name="正方形/長方形 510">
          <a:extLst>
            <a:ext uri="{FF2B5EF4-FFF2-40B4-BE49-F238E27FC236}">
              <a16:creationId xmlns:a16="http://schemas.microsoft.com/office/drawing/2014/main" id="{CFA4CD23-B441-4ECB-A511-46594CEE9519}"/>
            </a:ext>
          </a:extLst>
        </xdr:cNvPr>
        <xdr:cNvSpPr/>
      </xdr:nvSpPr>
      <xdr:spPr>
        <a:xfrm>
          <a:off x="4565283" y="23504369"/>
          <a:ext cx="1053650" cy="24469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baseline="0">
              <a:solidFill>
                <a:schemeClr val="tx1"/>
              </a:solidFill>
            </a:rPr>
            <a:t>サンプルデータ</a:t>
          </a:r>
          <a:endParaRPr kumimoji="1" lang="en-US" altLang="ja-JP" sz="900">
            <a:solidFill>
              <a:schemeClr val="tx1"/>
            </a:solidFill>
          </a:endParaRPr>
        </a:p>
      </xdr:txBody>
    </xdr:sp>
    <xdr:clientData/>
  </xdr:twoCellAnchor>
  <xdr:twoCellAnchor>
    <xdr:from>
      <xdr:col>16</xdr:col>
      <xdr:colOff>133835</xdr:colOff>
      <xdr:row>99</xdr:row>
      <xdr:rowOff>168417</xdr:rowOff>
    </xdr:from>
    <xdr:to>
      <xdr:col>20</xdr:col>
      <xdr:colOff>70632</xdr:colOff>
      <xdr:row>99</xdr:row>
      <xdr:rowOff>168417</xdr:rowOff>
    </xdr:to>
    <xdr:cxnSp macro="">
      <xdr:nvCxnSpPr>
        <xdr:cNvPr id="105" name="直線矢印コネクタ 104">
          <a:extLst>
            <a:ext uri="{FF2B5EF4-FFF2-40B4-BE49-F238E27FC236}">
              <a16:creationId xmlns:a16="http://schemas.microsoft.com/office/drawing/2014/main" id="{137B6649-2229-48B0-AB06-AA37A8985C40}"/>
            </a:ext>
          </a:extLst>
        </xdr:cNvPr>
        <xdr:cNvCxnSpPr/>
      </xdr:nvCxnSpPr>
      <xdr:spPr>
        <a:xfrm flipH="1">
          <a:off x="4553435" y="23742792"/>
          <a:ext cx="1041697" cy="0"/>
        </a:xfrm>
        <a:prstGeom prst="straightConnector1">
          <a:avLst/>
        </a:prstGeom>
        <a:ln>
          <a:solidFill>
            <a:schemeClr val="tx1"/>
          </a:solidFill>
          <a:headEnd type="triangle"/>
          <a:tailEnd type="non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145431</xdr:colOff>
      <xdr:row>102</xdr:row>
      <xdr:rowOff>109828</xdr:rowOff>
    </xdr:from>
    <xdr:to>
      <xdr:col>20</xdr:col>
      <xdr:colOff>82228</xdr:colOff>
      <xdr:row>102</xdr:row>
      <xdr:rowOff>109828</xdr:rowOff>
    </xdr:to>
    <xdr:cxnSp macro="">
      <xdr:nvCxnSpPr>
        <xdr:cNvPr id="371" name="直線矢印コネクタ 370">
          <a:extLst>
            <a:ext uri="{FF2B5EF4-FFF2-40B4-BE49-F238E27FC236}">
              <a16:creationId xmlns:a16="http://schemas.microsoft.com/office/drawing/2014/main" id="{0F881D15-276A-41D9-ABCF-77BCCF995502}"/>
            </a:ext>
          </a:extLst>
        </xdr:cNvPr>
        <xdr:cNvCxnSpPr/>
      </xdr:nvCxnSpPr>
      <xdr:spPr>
        <a:xfrm flipH="1">
          <a:off x="4526931" y="24398578"/>
          <a:ext cx="1032172" cy="0"/>
        </a:xfrm>
        <a:prstGeom prst="straightConnector1">
          <a:avLst/>
        </a:prstGeom>
        <a:ln>
          <a:solidFill>
            <a:schemeClr val="tx1"/>
          </a:solidFill>
          <a:headEnd type="triangle"/>
          <a:tailEnd type="non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192577</xdr:colOff>
      <xdr:row>99</xdr:row>
      <xdr:rowOff>76301</xdr:rowOff>
    </xdr:from>
    <xdr:to>
      <xdr:col>16</xdr:col>
      <xdr:colOff>143872</xdr:colOff>
      <xdr:row>101</xdr:row>
      <xdr:rowOff>35296</xdr:rowOff>
    </xdr:to>
    <xdr:sp macro="" textlink="">
      <xdr:nvSpPr>
        <xdr:cNvPr id="372" name="正方形/長方形 371">
          <a:extLst>
            <a:ext uri="{FF2B5EF4-FFF2-40B4-BE49-F238E27FC236}">
              <a16:creationId xmlns:a16="http://schemas.microsoft.com/office/drawing/2014/main" id="{BDA92F69-EBAB-4B34-A6BC-B537117CDB44}"/>
            </a:ext>
          </a:extLst>
        </xdr:cNvPr>
        <xdr:cNvSpPr/>
      </xdr:nvSpPr>
      <xdr:spPr>
        <a:xfrm>
          <a:off x="3507277" y="23650676"/>
          <a:ext cx="1056195" cy="435245"/>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baseline="0">
              <a:solidFill>
                <a:schemeClr val="tx1"/>
              </a:solidFill>
            </a:rPr>
            <a:t>capture unit 0</a:t>
          </a:r>
          <a:endParaRPr kumimoji="1" lang="en-US" altLang="ja-JP" sz="1100">
            <a:solidFill>
              <a:schemeClr val="tx1"/>
            </a:solidFill>
          </a:endParaRPr>
        </a:p>
      </xdr:txBody>
    </xdr:sp>
    <xdr:clientData/>
  </xdr:twoCellAnchor>
  <xdr:twoCellAnchor>
    <xdr:from>
      <xdr:col>12</xdr:col>
      <xdr:colOff>187835</xdr:colOff>
      <xdr:row>101</xdr:row>
      <xdr:rowOff>224430</xdr:rowOff>
    </xdr:from>
    <xdr:to>
      <xdr:col>16</xdr:col>
      <xdr:colOff>158528</xdr:colOff>
      <xdr:row>103</xdr:row>
      <xdr:rowOff>210310</xdr:rowOff>
    </xdr:to>
    <xdr:sp macro="" textlink="">
      <xdr:nvSpPr>
        <xdr:cNvPr id="373" name="正方形/長方形 372">
          <a:extLst>
            <a:ext uri="{FF2B5EF4-FFF2-40B4-BE49-F238E27FC236}">
              <a16:creationId xmlns:a16="http://schemas.microsoft.com/office/drawing/2014/main" id="{B35F5019-3BCD-424C-B8AA-3196587F0FFA}"/>
            </a:ext>
          </a:extLst>
        </xdr:cNvPr>
        <xdr:cNvSpPr/>
      </xdr:nvSpPr>
      <xdr:spPr>
        <a:xfrm>
          <a:off x="3473960" y="24275055"/>
          <a:ext cx="1066068" cy="462130"/>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capture unit 1</a:t>
          </a:r>
        </a:p>
      </xdr:txBody>
    </xdr:sp>
    <xdr:clientData/>
  </xdr:twoCellAnchor>
  <xdr:twoCellAnchor>
    <xdr:from>
      <xdr:col>3</xdr:col>
      <xdr:colOff>212049</xdr:colOff>
      <xdr:row>101</xdr:row>
      <xdr:rowOff>225424</xdr:rowOff>
    </xdr:from>
    <xdr:to>
      <xdr:col>5</xdr:col>
      <xdr:colOff>153204</xdr:colOff>
      <xdr:row>101</xdr:row>
      <xdr:rowOff>225424</xdr:rowOff>
    </xdr:to>
    <xdr:cxnSp macro="">
      <xdr:nvCxnSpPr>
        <xdr:cNvPr id="374" name="直線矢印コネクタ 373">
          <a:extLst>
            <a:ext uri="{FF2B5EF4-FFF2-40B4-BE49-F238E27FC236}">
              <a16:creationId xmlns:a16="http://schemas.microsoft.com/office/drawing/2014/main" id="{961531C0-CD73-4A9C-8867-0EAD74E52CC5}"/>
            </a:ext>
          </a:extLst>
        </xdr:cNvPr>
        <xdr:cNvCxnSpPr/>
      </xdr:nvCxnSpPr>
      <xdr:spPr>
        <a:xfrm>
          <a:off x="1040724" y="24276049"/>
          <a:ext cx="493605"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236723</xdr:colOff>
      <xdr:row>83</xdr:row>
      <xdr:rowOff>211948</xdr:rowOff>
    </xdr:from>
    <xdr:to>
      <xdr:col>13</xdr:col>
      <xdr:colOff>84718</xdr:colOff>
      <xdr:row>83</xdr:row>
      <xdr:rowOff>211948</xdr:rowOff>
    </xdr:to>
    <xdr:cxnSp macro="">
      <xdr:nvCxnSpPr>
        <xdr:cNvPr id="377" name="直線矢印コネクタ 376">
          <a:extLst>
            <a:ext uri="{FF2B5EF4-FFF2-40B4-BE49-F238E27FC236}">
              <a16:creationId xmlns:a16="http://schemas.microsoft.com/office/drawing/2014/main" id="{86CD9DE6-8DE1-49F2-83AF-537EF072C12A}"/>
            </a:ext>
          </a:extLst>
        </xdr:cNvPr>
        <xdr:cNvCxnSpPr/>
      </xdr:nvCxnSpPr>
      <xdr:spPr>
        <a:xfrm flipH="1">
          <a:off x="3275198" y="19976323"/>
          <a:ext cx="400445" cy="0"/>
        </a:xfrm>
        <a:prstGeom prst="straightConnector1">
          <a:avLst/>
        </a:prstGeom>
        <a:ln>
          <a:solidFill>
            <a:srgbClr val="00B050"/>
          </a:solidFill>
          <a:headEnd type="non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80141</xdr:colOff>
      <xdr:row>82</xdr:row>
      <xdr:rowOff>88056</xdr:rowOff>
    </xdr:from>
    <xdr:to>
      <xdr:col>16</xdr:col>
      <xdr:colOff>46327</xdr:colOff>
      <xdr:row>84</xdr:row>
      <xdr:rowOff>73935</xdr:rowOff>
    </xdr:to>
    <xdr:sp macro="" textlink="">
      <xdr:nvSpPr>
        <xdr:cNvPr id="375" name="正方形/長方形 374">
          <a:extLst>
            <a:ext uri="{FF2B5EF4-FFF2-40B4-BE49-F238E27FC236}">
              <a16:creationId xmlns:a16="http://schemas.microsoft.com/office/drawing/2014/main" id="{D38D58FE-4B4F-44DB-A7CB-FE84664298DF}"/>
            </a:ext>
          </a:extLst>
        </xdr:cNvPr>
        <xdr:cNvSpPr/>
      </xdr:nvSpPr>
      <xdr:spPr>
        <a:xfrm>
          <a:off x="3664549" y="19819845"/>
          <a:ext cx="793357" cy="467143"/>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AWG</a:t>
          </a:r>
          <a:r>
            <a:rPr kumimoji="1" lang="en-US" altLang="ja-JP" sz="1100" baseline="0">
              <a:solidFill>
                <a:schemeClr val="tx1"/>
              </a:solidFill>
            </a:rPr>
            <a:t> 6</a:t>
          </a:r>
          <a:endParaRPr kumimoji="1" lang="en-US" altLang="ja-JP" sz="1100">
            <a:solidFill>
              <a:schemeClr val="tx1"/>
            </a:solidFill>
          </a:endParaRPr>
        </a:p>
      </xdr:txBody>
    </xdr:sp>
    <xdr:clientData/>
  </xdr:twoCellAnchor>
  <xdr:twoCellAnchor>
    <xdr:from>
      <xdr:col>11</xdr:col>
      <xdr:colOff>232211</xdr:colOff>
      <xdr:row>86</xdr:row>
      <xdr:rowOff>119204</xdr:rowOff>
    </xdr:from>
    <xdr:to>
      <xdr:col>13</xdr:col>
      <xdr:colOff>80206</xdr:colOff>
      <xdr:row>86</xdr:row>
      <xdr:rowOff>119204</xdr:rowOff>
    </xdr:to>
    <xdr:cxnSp macro="">
      <xdr:nvCxnSpPr>
        <xdr:cNvPr id="378" name="直線矢印コネクタ 377">
          <a:extLst>
            <a:ext uri="{FF2B5EF4-FFF2-40B4-BE49-F238E27FC236}">
              <a16:creationId xmlns:a16="http://schemas.microsoft.com/office/drawing/2014/main" id="{0B6877AC-3DD3-4736-9252-606DBD6300C0}"/>
            </a:ext>
          </a:extLst>
        </xdr:cNvPr>
        <xdr:cNvCxnSpPr/>
      </xdr:nvCxnSpPr>
      <xdr:spPr>
        <a:xfrm flipH="1">
          <a:off x="3265172" y="20813520"/>
          <a:ext cx="399442" cy="0"/>
        </a:xfrm>
        <a:prstGeom prst="straightConnector1">
          <a:avLst/>
        </a:prstGeom>
        <a:ln>
          <a:solidFill>
            <a:srgbClr val="00B050"/>
          </a:solidFill>
          <a:headEnd type="non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89666</xdr:colOff>
      <xdr:row>84</xdr:row>
      <xdr:rowOff>221406</xdr:rowOff>
    </xdr:from>
    <xdr:to>
      <xdr:col>16</xdr:col>
      <xdr:colOff>55852</xdr:colOff>
      <xdr:row>86</xdr:row>
      <xdr:rowOff>207285</xdr:rowOff>
    </xdr:to>
    <xdr:sp macro="" textlink="">
      <xdr:nvSpPr>
        <xdr:cNvPr id="376" name="正方形/長方形 375">
          <a:extLst>
            <a:ext uri="{FF2B5EF4-FFF2-40B4-BE49-F238E27FC236}">
              <a16:creationId xmlns:a16="http://schemas.microsoft.com/office/drawing/2014/main" id="{681028E8-EB8C-40A9-ADB6-E49755C3D2B0}"/>
            </a:ext>
          </a:extLst>
        </xdr:cNvPr>
        <xdr:cNvSpPr/>
      </xdr:nvSpPr>
      <xdr:spPr>
        <a:xfrm>
          <a:off x="3674074" y="20434459"/>
          <a:ext cx="793357" cy="467142"/>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AWG</a:t>
          </a:r>
          <a:r>
            <a:rPr kumimoji="1" lang="en-US" altLang="ja-JP" sz="1100" baseline="0">
              <a:solidFill>
                <a:schemeClr val="tx1"/>
              </a:solidFill>
            </a:rPr>
            <a:t> 7</a:t>
          </a:r>
          <a:endParaRPr kumimoji="1" lang="en-US" altLang="ja-JP" sz="1100">
            <a:solidFill>
              <a:schemeClr val="tx1"/>
            </a:solidFill>
          </a:endParaRPr>
        </a:p>
      </xdr:txBody>
    </xdr:sp>
    <xdr:clientData/>
  </xdr:twoCellAnchor>
  <xdr:twoCellAnchor>
    <xdr:from>
      <xdr:col>11</xdr:col>
      <xdr:colOff>6587</xdr:colOff>
      <xdr:row>80</xdr:row>
      <xdr:rowOff>78996</xdr:rowOff>
    </xdr:from>
    <xdr:to>
      <xdr:col>13</xdr:col>
      <xdr:colOff>81242</xdr:colOff>
      <xdr:row>80</xdr:row>
      <xdr:rowOff>78996</xdr:rowOff>
    </xdr:to>
    <xdr:cxnSp macro="">
      <xdr:nvCxnSpPr>
        <xdr:cNvPr id="464" name="直線矢印コネクタ 463">
          <a:extLst>
            <a:ext uri="{FF2B5EF4-FFF2-40B4-BE49-F238E27FC236}">
              <a16:creationId xmlns:a16="http://schemas.microsoft.com/office/drawing/2014/main" id="{821C52D5-2C39-46AB-B21D-D4785F8F3AB3}"/>
            </a:ext>
          </a:extLst>
        </xdr:cNvPr>
        <xdr:cNvCxnSpPr/>
      </xdr:nvCxnSpPr>
      <xdr:spPr>
        <a:xfrm>
          <a:off x="3088205" y="18904878"/>
          <a:ext cx="634949"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5112</xdr:colOff>
      <xdr:row>82</xdr:row>
      <xdr:rowOff>220839</xdr:rowOff>
    </xdr:from>
    <xdr:to>
      <xdr:col>13</xdr:col>
      <xdr:colOff>79767</xdr:colOff>
      <xdr:row>82</xdr:row>
      <xdr:rowOff>220839</xdr:rowOff>
    </xdr:to>
    <xdr:cxnSp macro="">
      <xdr:nvCxnSpPr>
        <xdr:cNvPr id="386" name="直線矢印コネクタ 385">
          <a:extLst>
            <a:ext uri="{FF2B5EF4-FFF2-40B4-BE49-F238E27FC236}">
              <a16:creationId xmlns:a16="http://schemas.microsoft.com/office/drawing/2014/main" id="{F6E9030C-574E-4484-8B40-F244D8398C77}"/>
            </a:ext>
          </a:extLst>
        </xdr:cNvPr>
        <xdr:cNvCxnSpPr/>
      </xdr:nvCxnSpPr>
      <xdr:spPr>
        <a:xfrm>
          <a:off x="3038073" y="19952628"/>
          <a:ext cx="626102"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17144</xdr:colOff>
      <xdr:row>85</xdr:row>
      <xdr:rowOff>127594</xdr:rowOff>
    </xdr:from>
    <xdr:to>
      <xdr:col>13</xdr:col>
      <xdr:colOff>91799</xdr:colOff>
      <xdr:row>85</xdr:row>
      <xdr:rowOff>127594</xdr:rowOff>
    </xdr:to>
    <xdr:cxnSp macro="">
      <xdr:nvCxnSpPr>
        <xdr:cNvPr id="400" name="直線矢印コネクタ 399">
          <a:extLst>
            <a:ext uri="{FF2B5EF4-FFF2-40B4-BE49-F238E27FC236}">
              <a16:creationId xmlns:a16="http://schemas.microsoft.com/office/drawing/2014/main" id="{4516937D-B9F7-4AE7-AB1A-34A4C97F27F1}"/>
            </a:ext>
          </a:extLst>
        </xdr:cNvPr>
        <xdr:cNvCxnSpPr/>
      </xdr:nvCxnSpPr>
      <xdr:spPr>
        <a:xfrm>
          <a:off x="3050105" y="20581278"/>
          <a:ext cx="626102"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50237</xdr:colOff>
      <xdr:row>82</xdr:row>
      <xdr:rowOff>211509</xdr:rowOff>
    </xdr:from>
    <xdr:to>
      <xdr:col>20</xdr:col>
      <xdr:colOff>75197</xdr:colOff>
      <xdr:row>82</xdr:row>
      <xdr:rowOff>211509</xdr:rowOff>
    </xdr:to>
    <xdr:cxnSp macro="">
      <xdr:nvCxnSpPr>
        <xdr:cNvPr id="423" name="直線矢印コネクタ 422">
          <a:extLst>
            <a:ext uri="{FF2B5EF4-FFF2-40B4-BE49-F238E27FC236}">
              <a16:creationId xmlns:a16="http://schemas.microsoft.com/office/drawing/2014/main" id="{329AD73A-A1F9-4AC8-BEFE-7EFAC0058359}"/>
            </a:ext>
          </a:extLst>
        </xdr:cNvPr>
        <xdr:cNvCxnSpPr/>
      </xdr:nvCxnSpPr>
      <xdr:spPr>
        <a:xfrm flipH="1">
          <a:off x="4461816" y="19943298"/>
          <a:ext cx="1127855" cy="0"/>
        </a:xfrm>
        <a:prstGeom prst="straightConnector1">
          <a:avLst/>
        </a:prstGeom>
        <a:ln>
          <a:solidFill>
            <a:schemeClr val="tx1"/>
          </a:solidFill>
          <a:headEnd type="non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53860</xdr:colOff>
      <xdr:row>85</xdr:row>
      <xdr:rowOff>101505</xdr:rowOff>
    </xdr:from>
    <xdr:to>
      <xdr:col>20</xdr:col>
      <xdr:colOff>85223</xdr:colOff>
      <xdr:row>85</xdr:row>
      <xdr:rowOff>101505</xdr:rowOff>
    </xdr:to>
    <xdr:cxnSp macro="">
      <xdr:nvCxnSpPr>
        <xdr:cNvPr id="424" name="直線矢印コネクタ 423">
          <a:extLst>
            <a:ext uri="{FF2B5EF4-FFF2-40B4-BE49-F238E27FC236}">
              <a16:creationId xmlns:a16="http://schemas.microsoft.com/office/drawing/2014/main" id="{78EA28BE-8957-435C-8529-1BA1CF80A3A1}"/>
            </a:ext>
          </a:extLst>
        </xdr:cNvPr>
        <xdr:cNvCxnSpPr/>
      </xdr:nvCxnSpPr>
      <xdr:spPr>
        <a:xfrm flipH="1">
          <a:off x="4465439" y="20555189"/>
          <a:ext cx="1134258" cy="0"/>
        </a:xfrm>
        <a:prstGeom prst="straightConnector1">
          <a:avLst/>
        </a:prstGeom>
        <a:ln>
          <a:solidFill>
            <a:schemeClr val="tx1"/>
          </a:solidFill>
          <a:headEnd type="non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48480</xdr:colOff>
      <xdr:row>83</xdr:row>
      <xdr:rowOff>200938</xdr:rowOff>
    </xdr:from>
    <xdr:to>
      <xdr:col>26</xdr:col>
      <xdr:colOff>24058</xdr:colOff>
      <xdr:row>83</xdr:row>
      <xdr:rowOff>200938</xdr:rowOff>
    </xdr:to>
    <xdr:cxnSp macro="">
      <xdr:nvCxnSpPr>
        <xdr:cNvPr id="425" name="直線矢印コネクタ 424">
          <a:extLst>
            <a:ext uri="{FF2B5EF4-FFF2-40B4-BE49-F238E27FC236}">
              <a16:creationId xmlns:a16="http://schemas.microsoft.com/office/drawing/2014/main" id="{5CCC9690-81A1-46D6-97C9-4422AA78483A}"/>
            </a:ext>
          </a:extLst>
        </xdr:cNvPr>
        <xdr:cNvCxnSpPr/>
      </xdr:nvCxnSpPr>
      <xdr:spPr>
        <a:xfrm>
          <a:off x="4429980" y="19965313"/>
          <a:ext cx="2714016" cy="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21</xdr:col>
      <xdr:colOff>39506</xdr:colOff>
      <xdr:row>82</xdr:row>
      <xdr:rowOff>192788</xdr:rowOff>
    </xdr:from>
    <xdr:to>
      <xdr:col>25</xdr:col>
      <xdr:colOff>109460</xdr:colOff>
      <xdr:row>83</xdr:row>
      <xdr:rowOff>201052</xdr:rowOff>
    </xdr:to>
    <xdr:sp macro="" textlink="">
      <xdr:nvSpPr>
        <xdr:cNvPr id="426" name="正方形/長方形 425">
          <a:extLst>
            <a:ext uri="{FF2B5EF4-FFF2-40B4-BE49-F238E27FC236}">
              <a16:creationId xmlns:a16="http://schemas.microsoft.com/office/drawing/2014/main" id="{54C5D35C-9EC7-444A-8245-78175CE6CC4C}"/>
            </a:ext>
          </a:extLst>
        </xdr:cNvPr>
        <xdr:cNvSpPr/>
      </xdr:nvSpPr>
      <xdr:spPr>
        <a:xfrm>
          <a:off x="5790225" y="19719038"/>
          <a:ext cx="1165329" cy="24638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chemeClr val="tx1"/>
              </a:solidFill>
            </a:rPr>
            <a:t>出力波形データ </a:t>
          </a:r>
          <a:r>
            <a:rPr kumimoji="1" lang="en-US" altLang="ja-JP" sz="900">
              <a:solidFill>
                <a:schemeClr val="tx1"/>
              </a:solidFill>
            </a:rPr>
            <a:t>6</a:t>
          </a:r>
        </a:p>
      </xdr:txBody>
    </xdr:sp>
    <xdr:clientData/>
  </xdr:twoCellAnchor>
  <xdr:twoCellAnchor>
    <xdr:from>
      <xdr:col>25</xdr:col>
      <xdr:colOff>268290</xdr:colOff>
      <xdr:row>83</xdr:row>
      <xdr:rowOff>37032</xdr:rowOff>
    </xdr:from>
    <xdr:to>
      <xdr:col>28</xdr:col>
      <xdr:colOff>273499</xdr:colOff>
      <xdr:row>84</xdr:row>
      <xdr:rowOff>98834</xdr:rowOff>
    </xdr:to>
    <xdr:sp macro="" textlink="">
      <xdr:nvSpPr>
        <xdr:cNvPr id="428" name="正方形/長方形 427">
          <a:extLst>
            <a:ext uri="{FF2B5EF4-FFF2-40B4-BE49-F238E27FC236}">
              <a16:creationId xmlns:a16="http://schemas.microsoft.com/office/drawing/2014/main" id="{98966F31-E742-4BBD-B36A-116878F12533}"/>
            </a:ext>
          </a:extLst>
        </xdr:cNvPr>
        <xdr:cNvSpPr/>
      </xdr:nvSpPr>
      <xdr:spPr>
        <a:xfrm>
          <a:off x="7114384" y="19801407"/>
          <a:ext cx="826740" cy="299927"/>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baseline="0">
              <a:solidFill>
                <a:schemeClr val="tx1"/>
              </a:solidFill>
            </a:rPr>
            <a:t>AXI4-Stream</a:t>
          </a:r>
          <a:endParaRPr kumimoji="1" lang="en-US" altLang="ja-JP" sz="900">
            <a:solidFill>
              <a:schemeClr val="tx1"/>
            </a:solidFill>
          </a:endParaRPr>
        </a:p>
      </xdr:txBody>
    </xdr:sp>
    <xdr:clientData/>
  </xdr:twoCellAnchor>
  <xdr:twoCellAnchor>
    <xdr:from>
      <xdr:col>16</xdr:col>
      <xdr:colOff>54429</xdr:colOff>
      <xdr:row>86</xdr:row>
      <xdr:rowOff>104327</xdr:rowOff>
    </xdr:from>
    <xdr:to>
      <xdr:col>26</xdr:col>
      <xdr:colOff>21677</xdr:colOff>
      <xdr:row>86</xdr:row>
      <xdr:rowOff>104327</xdr:rowOff>
    </xdr:to>
    <xdr:cxnSp macro="">
      <xdr:nvCxnSpPr>
        <xdr:cNvPr id="432" name="直線矢印コネクタ 431">
          <a:extLst>
            <a:ext uri="{FF2B5EF4-FFF2-40B4-BE49-F238E27FC236}">
              <a16:creationId xmlns:a16="http://schemas.microsoft.com/office/drawing/2014/main" id="{36F1AE5F-8AC9-49BB-869F-0DBC2E98E5EC}"/>
            </a:ext>
          </a:extLst>
        </xdr:cNvPr>
        <xdr:cNvCxnSpPr/>
      </xdr:nvCxnSpPr>
      <xdr:spPr>
        <a:xfrm>
          <a:off x="4495800" y="20700098"/>
          <a:ext cx="2743106" cy="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21</xdr:col>
      <xdr:colOff>37125</xdr:colOff>
      <xdr:row>85</xdr:row>
      <xdr:rowOff>96177</xdr:rowOff>
    </xdr:from>
    <xdr:to>
      <xdr:col>25</xdr:col>
      <xdr:colOff>107079</xdr:colOff>
      <xdr:row>86</xdr:row>
      <xdr:rowOff>104441</xdr:rowOff>
    </xdr:to>
    <xdr:sp macro="" textlink="">
      <xdr:nvSpPr>
        <xdr:cNvPr id="434" name="正方形/長方形 433">
          <a:extLst>
            <a:ext uri="{FF2B5EF4-FFF2-40B4-BE49-F238E27FC236}">
              <a16:creationId xmlns:a16="http://schemas.microsoft.com/office/drawing/2014/main" id="{11EB8FC7-7EE6-467E-8F44-CC49D3111CAC}"/>
            </a:ext>
          </a:extLst>
        </xdr:cNvPr>
        <xdr:cNvSpPr/>
      </xdr:nvSpPr>
      <xdr:spPr>
        <a:xfrm>
          <a:off x="5866425" y="20452463"/>
          <a:ext cx="1180297" cy="24774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chemeClr val="tx1"/>
              </a:solidFill>
            </a:rPr>
            <a:t>出力波形データ </a:t>
          </a:r>
          <a:r>
            <a:rPr kumimoji="1" lang="en-US" altLang="ja-JP" sz="900">
              <a:solidFill>
                <a:schemeClr val="tx1"/>
              </a:solidFill>
            </a:rPr>
            <a:t>7</a:t>
          </a:r>
        </a:p>
      </xdr:txBody>
    </xdr:sp>
    <xdr:clientData/>
  </xdr:twoCellAnchor>
  <xdr:twoCellAnchor>
    <xdr:from>
      <xdr:col>25</xdr:col>
      <xdr:colOff>265909</xdr:colOff>
      <xdr:row>85</xdr:row>
      <xdr:rowOff>178546</xdr:rowOff>
    </xdr:from>
    <xdr:to>
      <xdr:col>28</xdr:col>
      <xdr:colOff>271118</xdr:colOff>
      <xdr:row>87</xdr:row>
      <xdr:rowOff>2223</xdr:rowOff>
    </xdr:to>
    <xdr:sp macro="" textlink="">
      <xdr:nvSpPr>
        <xdr:cNvPr id="435" name="正方形/長方形 434">
          <a:extLst>
            <a:ext uri="{FF2B5EF4-FFF2-40B4-BE49-F238E27FC236}">
              <a16:creationId xmlns:a16="http://schemas.microsoft.com/office/drawing/2014/main" id="{E5D5FCF1-6432-4520-8866-E2EA84C39A53}"/>
            </a:ext>
          </a:extLst>
        </xdr:cNvPr>
        <xdr:cNvSpPr/>
      </xdr:nvSpPr>
      <xdr:spPr>
        <a:xfrm>
          <a:off x="7205552" y="20534832"/>
          <a:ext cx="837966" cy="302648"/>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baseline="0">
              <a:solidFill>
                <a:schemeClr val="tx1"/>
              </a:solidFill>
            </a:rPr>
            <a:t>AXI4-Stream</a:t>
          </a:r>
          <a:endParaRPr kumimoji="1" lang="en-US" altLang="ja-JP" sz="900">
            <a:solidFill>
              <a:schemeClr val="tx1"/>
            </a:solidFill>
          </a:endParaRPr>
        </a:p>
      </xdr:txBody>
    </xdr:sp>
    <xdr:clientData/>
  </xdr:twoCellAnchor>
  <xdr:twoCellAnchor>
    <xdr:from>
      <xdr:col>74</xdr:col>
      <xdr:colOff>62753</xdr:colOff>
      <xdr:row>87</xdr:row>
      <xdr:rowOff>158191</xdr:rowOff>
    </xdr:from>
    <xdr:to>
      <xdr:col>76</xdr:col>
      <xdr:colOff>23115</xdr:colOff>
      <xdr:row>87</xdr:row>
      <xdr:rowOff>158191</xdr:rowOff>
    </xdr:to>
    <xdr:cxnSp macro="">
      <xdr:nvCxnSpPr>
        <xdr:cNvPr id="445" name="直線コネクタ 444">
          <a:extLst>
            <a:ext uri="{FF2B5EF4-FFF2-40B4-BE49-F238E27FC236}">
              <a16:creationId xmlns:a16="http://schemas.microsoft.com/office/drawing/2014/main" id="{FE15E02E-285D-4DC7-AD70-49CA296C2041}"/>
            </a:ext>
          </a:extLst>
        </xdr:cNvPr>
        <xdr:cNvCxnSpPr/>
      </xdr:nvCxnSpPr>
      <xdr:spPr>
        <a:xfrm>
          <a:off x="20288883" y="21055213"/>
          <a:ext cx="507015" cy="0"/>
        </a:xfrm>
        <a:prstGeom prst="line">
          <a:avLst/>
        </a:prstGeom>
        <a:ln>
          <a:solidFill>
            <a:schemeClr val="tx1"/>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82</xdr:col>
      <xdr:colOff>250593</xdr:colOff>
      <xdr:row>87</xdr:row>
      <xdr:rowOff>153709</xdr:rowOff>
    </xdr:from>
    <xdr:to>
      <xdr:col>85</xdr:col>
      <xdr:colOff>14850</xdr:colOff>
      <xdr:row>87</xdr:row>
      <xdr:rowOff>153709</xdr:rowOff>
    </xdr:to>
    <xdr:cxnSp macro="">
      <xdr:nvCxnSpPr>
        <xdr:cNvPr id="512" name="直線コネクタ 511">
          <a:extLst>
            <a:ext uri="{FF2B5EF4-FFF2-40B4-BE49-F238E27FC236}">
              <a16:creationId xmlns:a16="http://schemas.microsoft.com/office/drawing/2014/main" id="{78B9D2B0-D2FF-47F7-9FD6-7DBFE9BA1879}"/>
            </a:ext>
          </a:extLst>
        </xdr:cNvPr>
        <xdr:cNvCxnSpPr/>
      </xdr:nvCxnSpPr>
      <xdr:spPr>
        <a:xfrm>
          <a:off x="22663332" y="21050731"/>
          <a:ext cx="584235" cy="0"/>
        </a:xfrm>
        <a:prstGeom prst="line">
          <a:avLst/>
        </a:prstGeom>
        <a:ln>
          <a:solidFill>
            <a:schemeClr val="tx1"/>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87</xdr:col>
      <xdr:colOff>214564</xdr:colOff>
      <xdr:row>87</xdr:row>
      <xdr:rowOff>146225</xdr:rowOff>
    </xdr:from>
    <xdr:to>
      <xdr:col>90</xdr:col>
      <xdr:colOff>52949</xdr:colOff>
      <xdr:row>87</xdr:row>
      <xdr:rowOff>146225</xdr:rowOff>
    </xdr:to>
    <xdr:cxnSp macro="">
      <xdr:nvCxnSpPr>
        <xdr:cNvPr id="513" name="直線コネクタ 512">
          <a:extLst>
            <a:ext uri="{FF2B5EF4-FFF2-40B4-BE49-F238E27FC236}">
              <a16:creationId xmlns:a16="http://schemas.microsoft.com/office/drawing/2014/main" id="{29EF4052-803A-487E-9F5F-464A0B1AF2AD}"/>
            </a:ext>
          </a:extLst>
        </xdr:cNvPr>
        <xdr:cNvCxnSpPr/>
      </xdr:nvCxnSpPr>
      <xdr:spPr>
        <a:xfrm>
          <a:off x="23993934" y="21043247"/>
          <a:ext cx="658363" cy="0"/>
        </a:xfrm>
        <a:prstGeom prst="line">
          <a:avLst/>
        </a:prstGeom>
        <a:ln>
          <a:solidFill>
            <a:schemeClr val="tx1"/>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93</xdr:col>
      <xdr:colOff>263798</xdr:colOff>
      <xdr:row>87</xdr:row>
      <xdr:rowOff>145983</xdr:rowOff>
    </xdr:from>
    <xdr:to>
      <xdr:col>98</xdr:col>
      <xdr:colOff>184546</xdr:colOff>
      <xdr:row>87</xdr:row>
      <xdr:rowOff>145983</xdr:rowOff>
    </xdr:to>
    <xdr:cxnSp macro="">
      <xdr:nvCxnSpPr>
        <xdr:cNvPr id="514" name="直線コネクタ 513">
          <a:extLst>
            <a:ext uri="{FF2B5EF4-FFF2-40B4-BE49-F238E27FC236}">
              <a16:creationId xmlns:a16="http://schemas.microsoft.com/office/drawing/2014/main" id="{3C241BB5-E0CA-4F5C-A94D-57EAF78FA2DC}"/>
            </a:ext>
          </a:extLst>
        </xdr:cNvPr>
        <xdr:cNvCxnSpPr/>
      </xdr:nvCxnSpPr>
      <xdr:spPr>
        <a:xfrm>
          <a:off x="25683124" y="21043005"/>
          <a:ext cx="1287379" cy="0"/>
        </a:xfrm>
        <a:prstGeom prst="line">
          <a:avLst/>
        </a:prstGeom>
        <a:ln>
          <a:solidFill>
            <a:schemeClr val="tx1"/>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85</xdr:col>
      <xdr:colOff>25208</xdr:colOff>
      <xdr:row>86</xdr:row>
      <xdr:rowOff>21172</xdr:rowOff>
    </xdr:from>
    <xdr:to>
      <xdr:col>88</xdr:col>
      <xdr:colOff>98194</xdr:colOff>
      <xdr:row>89</xdr:row>
      <xdr:rowOff>38783</xdr:rowOff>
    </xdr:to>
    <xdr:sp macro="" textlink="">
      <xdr:nvSpPr>
        <xdr:cNvPr id="515" name="正方形/長方形 514">
          <a:extLst>
            <a:ext uri="{FF2B5EF4-FFF2-40B4-BE49-F238E27FC236}">
              <a16:creationId xmlns:a16="http://schemas.microsoft.com/office/drawing/2014/main" id="{2424C8E9-F992-4C23-BFD7-A8B848BC6551}"/>
            </a:ext>
          </a:extLst>
        </xdr:cNvPr>
        <xdr:cNvSpPr/>
      </xdr:nvSpPr>
      <xdr:spPr>
        <a:xfrm>
          <a:off x="23257925" y="20677998"/>
          <a:ext cx="892965" cy="738198"/>
        </a:xfrm>
        <a:prstGeom prst="rect">
          <a:avLst/>
        </a:prstGeom>
        <a:solidFill>
          <a:schemeClr val="accent5">
            <a:lumMod val="20000"/>
            <a:lumOff val="80000"/>
          </a:schemeClr>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Binarization</a:t>
          </a:r>
        </a:p>
        <a:p>
          <a:pPr algn="ctr"/>
          <a:r>
            <a:rPr kumimoji="1" lang="en-US" altLang="ja-JP" sz="1100">
              <a:solidFill>
                <a:schemeClr val="tx1"/>
              </a:solidFill>
            </a:rPr>
            <a:t>(</a:t>
          </a:r>
          <a:r>
            <a:rPr kumimoji="1" lang="ja-JP" altLang="en-US" sz="1100">
              <a:solidFill>
                <a:schemeClr val="tx1"/>
              </a:solidFill>
            </a:rPr>
            <a:t>二値化</a:t>
          </a:r>
          <a:r>
            <a:rPr kumimoji="1" lang="en-US" altLang="ja-JP" sz="1100">
              <a:solidFill>
                <a:schemeClr val="tx1"/>
              </a:solidFill>
            </a:rPr>
            <a:t>)</a:t>
          </a:r>
          <a:endParaRPr kumimoji="1" lang="ja-JP" altLang="en-US" sz="1100">
            <a:solidFill>
              <a:schemeClr val="tx1"/>
            </a:solidFill>
          </a:endParaRPr>
        </a:p>
      </xdr:txBody>
    </xdr:sp>
    <xdr:clientData/>
  </xdr:twoCellAnchor>
  <xdr:twoCellAnchor>
    <xdr:from>
      <xdr:col>90</xdr:col>
      <xdr:colOff>58823</xdr:colOff>
      <xdr:row>86</xdr:row>
      <xdr:rowOff>18370</xdr:rowOff>
    </xdr:from>
    <xdr:to>
      <xdr:col>94</xdr:col>
      <xdr:colOff>183916</xdr:colOff>
      <xdr:row>89</xdr:row>
      <xdr:rowOff>38782</xdr:rowOff>
    </xdr:to>
    <xdr:sp macro="" textlink="">
      <xdr:nvSpPr>
        <xdr:cNvPr id="516" name="正方形/長方形 515">
          <a:extLst>
            <a:ext uri="{FF2B5EF4-FFF2-40B4-BE49-F238E27FC236}">
              <a16:creationId xmlns:a16="http://schemas.microsoft.com/office/drawing/2014/main" id="{A6DF5985-DF56-4B2E-B7F4-CC9ADACAB14A}"/>
            </a:ext>
          </a:extLst>
        </xdr:cNvPr>
        <xdr:cNvSpPr/>
      </xdr:nvSpPr>
      <xdr:spPr>
        <a:xfrm>
          <a:off x="24658171" y="20675196"/>
          <a:ext cx="1218397" cy="740999"/>
        </a:xfrm>
        <a:prstGeom prst="rect">
          <a:avLst/>
        </a:prstGeom>
        <a:solidFill>
          <a:schemeClr val="accent5">
            <a:lumMod val="20000"/>
            <a:lumOff val="80000"/>
          </a:schemeClr>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Reduction</a:t>
          </a:r>
        </a:p>
        <a:p>
          <a:pPr algn="ctr"/>
          <a:r>
            <a:rPr kumimoji="1" lang="en-US" altLang="ja-JP" sz="1100">
              <a:solidFill>
                <a:schemeClr val="tx1"/>
              </a:solidFill>
            </a:rPr>
            <a:t>(</a:t>
          </a:r>
          <a:r>
            <a:rPr kumimoji="1" lang="ja-JP" altLang="en-US" sz="1100">
              <a:solidFill>
                <a:schemeClr val="tx1"/>
              </a:solidFill>
            </a:rPr>
            <a:t>リダクション</a:t>
          </a:r>
          <a:r>
            <a:rPr kumimoji="1" lang="en-US" altLang="ja-JP" sz="1100">
              <a:solidFill>
                <a:schemeClr val="tx1"/>
              </a:solidFill>
            </a:rPr>
            <a:t>)</a:t>
          </a:r>
          <a:endParaRPr kumimoji="1" lang="ja-JP" altLang="en-US" sz="1100">
            <a:solidFill>
              <a:schemeClr val="tx1"/>
            </a:solidFill>
          </a:endParaRPr>
        </a:p>
      </xdr:txBody>
    </xdr:sp>
    <xdr:clientData/>
  </xdr:twoCellAnchor>
  <xdr:twoCellAnchor>
    <xdr:from>
      <xdr:col>80</xdr:col>
      <xdr:colOff>242762</xdr:colOff>
      <xdr:row>86</xdr:row>
      <xdr:rowOff>29576</xdr:rowOff>
    </xdr:from>
    <xdr:to>
      <xdr:col>83</xdr:col>
      <xdr:colOff>54821</xdr:colOff>
      <xdr:row>89</xdr:row>
      <xdr:rowOff>47187</xdr:rowOff>
    </xdr:to>
    <xdr:sp macro="" textlink="">
      <xdr:nvSpPr>
        <xdr:cNvPr id="517" name="正方形/長方形 516">
          <a:extLst>
            <a:ext uri="{FF2B5EF4-FFF2-40B4-BE49-F238E27FC236}">
              <a16:creationId xmlns:a16="http://schemas.microsoft.com/office/drawing/2014/main" id="{F3A7A862-EC47-4972-8541-F1B51201B2FE}"/>
            </a:ext>
          </a:extLst>
        </xdr:cNvPr>
        <xdr:cNvSpPr/>
      </xdr:nvSpPr>
      <xdr:spPr>
        <a:xfrm>
          <a:off x="22108849" y="20686402"/>
          <a:ext cx="632037" cy="738198"/>
        </a:xfrm>
        <a:prstGeom prst="rect">
          <a:avLst/>
        </a:prstGeom>
        <a:solidFill>
          <a:schemeClr val="accent5">
            <a:lumMod val="20000"/>
            <a:lumOff val="80000"/>
          </a:schemeClr>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Sum</a:t>
          </a:r>
        </a:p>
        <a:p>
          <a:pPr algn="ctr"/>
          <a:r>
            <a:rPr kumimoji="1" lang="en-US" altLang="ja-JP" sz="1100">
              <a:solidFill>
                <a:schemeClr val="tx1"/>
              </a:solidFill>
            </a:rPr>
            <a:t>(</a:t>
          </a:r>
          <a:r>
            <a:rPr kumimoji="1" lang="ja-JP" altLang="en-US" sz="1100">
              <a:solidFill>
                <a:schemeClr val="tx1"/>
              </a:solidFill>
            </a:rPr>
            <a:t>総和</a:t>
          </a:r>
          <a:r>
            <a:rPr kumimoji="1" lang="en-US" altLang="ja-JP" sz="1100">
              <a:solidFill>
                <a:schemeClr val="tx1"/>
              </a:solidFill>
            </a:rPr>
            <a:t>)</a:t>
          </a:r>
          <a:endParaRPr kumimoji="1" lang="ja-JP" altLang="en-US" sz="1100">
            <a:solidFill>
              <a:schemeClr val="tx1"/>
            </a:solidFill>
          </a:endParaRPr>
        </a:p>
      </xdr:txBody>
    </xdr:sp>
    <xdr:clientData/>
  </xdr:twoCellAnchor>
  <xdr:twoCellAnchor>
    <xdr:from>
      <xdr:col>72</xdr:col>
      <xdr:colOff>174381</xdr:colOff>
      <xdr:row>84</xdr:row>
      <xdr:rowOff>103108</xdr:rowOff>
    </xdr:from>
    <xdr:to>
      <xdr:col>76</xdr:col>
      <xdr:colOff>15532</xdr:colOff>
      <xdr:row>87</xdr:row>
      <xdr:rowOff>170768</xdr:rowOff>
    </xdr:to>
    <xdr:sp macro="" textlink="">
      <xdr:nvSpPr>
        <xdr:cNvPr id="518" name="正方形/長方形 517">
          <a:extLst>
            <a:ext uri="{FF2B5EF4-FFF2-40B4-BE49-F238E27FC236}">
              <a16:creationId xmlns:a16="http://schemas.microsoft.com/office/drawing/2014/main" id="{9BC05217-D23B-4057-A6B5-78ED544855B3}"/>
            </a:ext>
          </a:extLst>
        </xdr:cNvPr>
        <xdr:cNvSpPr/>
      </xdr:nvSpPr>
      <xdr:spPr>
        <a:xfrm>
          <a:off x="19853859" y="20279543"/>
          <a:ext cx="934456" cy="788247"/>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00" baseline="0">
              <a:solidFill>
                <a:schemeClr val="tx1"/>
              </a:solidFill>
              <a:latin typeface="Meiryo UI" panose="020B0604030504040204" pitchFamily="50" charset="-128"/>
              <a:ea typeface="Meiryo UI" panose="020B0604030504040204" pitchFamily="50" charset="-128"/>
            </a:rPr>
            <a:t>I Data (</a:t>
          </a:r>
          <a:r>
            <a:rPr kumimoji="1" lang="en-US" altLang="ja-JP" sz="1050" baseline="0">
              <a:solidFill>
                <a:schemeClr val="tx1"/>
              </a:solidFill>
              <a:latin typeface="Meiryo UI" panose="020B0604030504040204" pitchFamily="50" charset="-128"/>
              <a:ea typeface="Meiryo UI" panose="020B0604030504040204" pitchFamily="50" charset="-128"/>
            </a:rPr>
            <a:t>I</a:t>
          </a:r>
          <a:r>
            <a:rPr kumimoji="1" lang="en-US" altLang="ja-JP" sz="1050" baseline="-25000">
              <a:solidFill>
                <a:schemeClr val="tx1"/>
              </a:solidFill>
              <a:latin typeface="Meiryo UI" panose="020B0604030504040204" pitchFamily="50" charset="-128"/>
              <a:ea typeface="Meiryo UI" panose="020B0604030504040204" pitchFamily="50" charset="-128"/>
            </a:rPr>
            <a:t>0</a:t>
          </a:r>
          <a:r>
            <a:rPr kumimoji="1" lang="en-US" altLang="ja-JP" sz="1000" baseline="0">
              <a:solidFill>
                <a:schemeClr val="tx1"/>
              </a:solidFill>
              <a:latin typeface="Meiryo UI" panose="020B0604030504040204" pitchFamily="50" charset="-128"/>
              <a:ea typeface="Meiryo UI" panose="020B0604030504040204" pitchFamily="50" charset="-128"/>
            </a:rPr>
            <a:t>)</a:t>
          </a:r>
        </a:p>
        <a:p>
          <a:pPr algn="ctr"/>
          <a:r>
            <a:rPr kumimoji="1" lang="en-US" altLang="ja-JP" sz="1000" baseline="0">
              <a:solidFill>
                <a:schemeClr val="tx1"/>
              </a:solidFill>
              <a:latin typeface="Meiryo UI" panose="020B0604030504040204" pitchFamily="50" charset="-128"/>
              <a:ea typeface="Meiryo UI" panose="020B0604030504040204" pitchFamily="50" charset="-128"/>
            </a:rPr>
            <a:t>or</a:t>
          </a:r>
        </a:p>
        <a:p>
          <a:pPr algn="ctr"/>
          <a:r>
            <a:rPr kumimoji="1" lang="en-US" altLang="ja-JP" sz="1000" baseline="0">
              <a:solidFill>
                <a:schemeClr val="tx1"/>
              </a:solidFill>
              <a:latin typeface="Meiryo UI" panose="020B0604030504040204" pitchFamily="50" charset="-128"/>
              <a:ea typeface="Meiryo UI" panose="020B0604030504040204" pitchFamily="50" charset="-128"/>
            </a:rPr>
            <a:t>Real Data</a:t>
          </a:r>
          <a:endParaRPr kumimoji="1" lang="en-US" altLang="ja-JP" sz="1050">
            <a:solidFill>
              <a:schemeClr val="tx1"/>
            </a:solidFill>
            <a:latin typeface="Meiryo UI" panose="020B0604030504040204" pitchFamily="50" charset="-128"/>
            <a:ea typeface="Meiryo UI" panose="020B0604030504040204" pitchFamily="50" charset="-128"/>
          </a:endParaRPr>
        </a:p>
      </xdr:txBody>
    </xdr:sp>
    <xdr:clientData/>
  </xdr:twoCellAnchor>
  <xdr:twoCellAnchor>
    <xdr:from>
      <xdr:col>94</xdr:col>
      <xdr:colOff>233165</xdr:colOff>
      <xdr:row>86</xdr:row>
      <xdr:rowOff>35039</xdr:rowOff>
    </xdr:from>
    <xdr:to>
      <xdr:col>96</xdr:col>
      <xdr:colOff>144628</xdr:colOff>
      <xdr:row>87</xdr:row>
      <xdr:rowOff>168388</xdr:rowOff>
    </xdr:to>
    <xdr:sp macro="" textlink="">
      <xdr:nvSpPr>
        <xdr:cNvPr id="519" name="正方形/長方形 518">
          <a:extLst>
            <a:ext uri="{FF2B5EF4-FFF2-40B4-BE49-F238E27FC236}">
              <a16:creationId xmlns:a16="http://schemas.microsoft.com/office/drawing/2014/main" id="{D85649DE-0CAA-42F0-B7E0-3E844B7A635F}"/>
            </a:ext>
          </a:extLst>
        </xdr:cNvPr>
        <xdr:cNvSpPr/>
      </xdr:nvSpPr>
      <xdr:spPr>
        <a:xfrm>
          <a:off x="25925817" y="20691865"/>
          <a:ext cx="458115" cy="373545"/>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aseline="0">
              <a:solidFill>
                <a:schemeClr val="tx1"/>
              </a:solidFill>
              <a:latin typeface="Meiryo UI" panose="020B0604030504040204" pitchFamily="50" charset="-128"/>
              <a:ea typeface="Meiryo UI" panose="020B0604030504040204" pitchFamily="50" charset="-128"/>
            </a:rPr>
            <a:t>I</a:t>
          </a:r>
          <a:r>
            <a:rPr kumimoji="1" lang="en-US" altLang="ja-JP" sz="1050" baseline="-25000">
              <a:solidFill>
                <a:schemeClr val="tx1"/>
              </a:solidFill>
              <a:latin typeface="Meiryo UI" panose="020B0604030504040204" pitchFamily="50" charset="-128"/>
              <a:ea typeface="Meiryo UI" panose="020B0604030504040204" pitchFamily="50" charset="-128"/>
            </a:rPr>
            <a:t>4</a:t>
          </a:r>
          <a:endParaRPr kumimoji="1" lang="en-US" altLang="ja-JP" sz="1050" baseline="0">
            <a:solidFill>
              <a:schemeClr val="tx1"/>
            </a:solidFill>
            <a:latin typeface="Meiryo UI" panose="020B0604030504040204" pitchFamily="50" charset="-128"/>
            <a:ea typeface="Meiryo UI" panose="020B0604030504040204" pitchFamily="50" charset="-128"/>
          </a:endParaRPr>
        </a:p>
      </xdr:txBody>
    </xdr:sp>
    <xdr:clientData/>
  </xdr:twoCellAnchor>
  <xdr:twoCellAnchor>
    <xdr:from>
      <xdr:col>83</xdr:col>
      <xdr:colOff>85006</xdr:colOff>
      <xdr:row>86</xdr:row>
      <xdr:rowOff>48757</xdr:rowOff>
    </xdr:from>
    <xdr:to>
      <xdr:col>84</xdr:col>
      <xdr:colOff>263489</xdr:colOff>
      <xdr:row>87</xdr:row>
      <xdr:rowOff>182106</xdr:rowOff>
    </xdr:to>
    <xdr:sp macro="" textlink="">
      <xdr:nvSpPr>
        <xdr:cNvPr id="520" name="正方形/長方形 519">
          <a:extLst>
            <a:ext uri="{FF2B5EF4-FFF2-40B4-BE49-F238E27FC236}">
              <a16:creationId xmlns:a16="http://schemas.microsoft.com/office/drawing/2014/main" id="{C749F1C7-CB63-4E7D-ADDE-F0804F4159A5}"/>
            </a:ext>
          </a:extLst>
        </xdr:cNvPr>
        <xdr:cNvSpPr/>
      </xdr:nvSpPr>
      <xdr:spPr>
        <a:xfrm>
          <a:off x="22771071" y="20705583"/>
          <a:ext cx="451809" cy="373545"/>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aseline="0">
              <a:solidFill>
                <a:schemeClr val="tx1"/>
              </a:solidFill>
              <a:latin typeface="Meiryo UI" panose="020B0604030504040204" pitchFamily="50" charset="-128"/>
              <a:ea typeface="Meiryo UI" panose="020B0604030504040204" pitchFamily="50" charset="-128"/>
            </a:rPr>
            <a:t>I</a:t>
          </a:r>
          <a:r>
            <a:rPr kumimoji="1" lang="en-US" altLang="ja-JP" sz="1050" baseline="-25000">
              <a:solidFill>
                <a:schemeClr val="tx1"/>
              </a:solidFill>
              <a:latin typeface="Meiryo UI" panose="020B0604030504040204" pitchFamily="50" charset="-128"/>
              <a:ea typeface="Meiryo UI" panose="020B0604030504040204" pitchFamily="50" charset="-128"/>
            </a:rPr>
            <a:t>2</a:t>
          </a:r>
          <a:endParaRPr kumimoji="1" lang="en-US" altLang="ja-JP" sz="1050" baseline="0">
            <a:solidFill>
              <a:schemeClr val="tx1"/>
            </a:solidFill>
            <a:latin typeface="Meiryo UI" panose="020B0604030504040204" pitchFamily="50" charset="-128"/>
            <a:ea typeface="Meiryo UI" panose="020B0604030504040204" pitchFamily="50" charset="-128"/>
          </a:endParaRPr>
        </a:p>
      </xdr:txBody>
    </xdr:sp>
    <xdr:clientData/>
  </xdr:twoCellAnchor>
  <xdr:twoCellAnchor>
    <xdr:from>
      <xdr:col>88</xdr:col>
      <xdr:colOff>116526</xdr:colOff>
      <xdr:row>86</xdr:row>
      <xdr:rowOff>37834</xdr:rowOff>
    </xdr:from>
    <xdr:to>
      <xdr:col>90</xdr:col>
      <xdr:colOff>14864</xdr:colOff>
      <xdr:row>87</xdr:row>
      <xdr:rowOff>171183</xdr:rowOff>
    </xdr:to>
    <xdr:sp macro="" textlink="">
      <xdr:nvSpPr>
        <xdr:cNvPr id="521" name="正方形/長方形 520">
          <a:extLst>
            <a:ext uri="{FF2B5EF4-FFF2-40B4-BE49-F238E27FC236}">
              <a16:creationId xmlns:a16="http://schemas.microsoft.com/office/drawing/2014/main" id="{5CAAE7DF-086F-48C1-8779-84C38C3CBD3E}"/>
            </a:ext>
          </a:extLst>
        </xdr:cNvPr>
        <xdr:cNvSpPr/>
      </xdr:nvSpPr>
      <xdr:spPr>
        <a:xfrm>
          <a:off x="24169222" y="20694660"/>
          <a:ext cx="444990" cy="373545"/>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aseline="0">
              <a:solidFill>
                <a:schemeClr val="tx1"/>
              </a:solidFill>
              <a:latin typeface="Meiryo UI" panose="020B0604030504040204" pitchFamily="50" charset="-128"/>
              <a:ea typeface="Meiryo UI" panose="020B0604030504040204" pitchFamily="50" charset="-128"/>
            </a:rPr>
            <a:t>I</a:t>
          </a:r>
          <a:r>
            <a:rPr kumimoji="1" lang="en-US" altLang="ja-JP" sz="1050" baseline="-25000">
              <a:solidFill>
                <a:schemeClr val="tx1"/>
              </a:solidFill>
              <a:latin typeface="Meiryo UI" panose="020B0604030504040204" pitchFamily="50" charset="-128"/>
              <a:ea typeface="Meiryo UI" panose="020B0604030504040204" pitchFamily="50" charset="-128"/>
            </a:rPr>
            <a:t>3</a:t>
          </a:r>
          <a:endParaRPr kumimoji="1" lang="en-US" altLang="ja-JP" sz="1050" baseline="0">
            <a:solidFill>
              <a:schemeClr val="tx1"/>
            </a:solidFill>
            <a:latin typeface="Meiryo UI" panose="020B0604030504040204" pitchFamily="50" charset="-128"/>
            <a:ea typeface="Meiryo UI" panose="020B0604030504040204" pitchFamily="50" charset="-128"/>
          </a:endParaRPr>
        </a:p>
      </xdr:txBody>
    </xdr:sp>
    <xdr:clientData/>
  </xdr:twoCellAnchor>
  <xdr:twoCellAnchor>
    <xdr:from>
      <xdr:col>74</xdr:col>
      <xdr:colOff>66479</xdr:colOff>
      <xdr:row>91</xdr:row>
      <xdr:rowOff>230664</xdr:rowOff>
    </xdr:from>
    <xdr:to>
      <xdr:col>76</xdr:col>
      <xdr:colOff>26841</xdr:colOff>
      <xdr:row>91</xdr:row>
      <xdr:rowOff>230664</xdr:rowOff>
    </xdr:to>
    <xdr:cxnSp macro="">
      <xdr:nvCxnSpPr>
        <xdr:cNvPr id="522" name="直線コネクタ 521">
          <a:extLst>
            <a:ext uri="{FF2B5EF4-FFF2-40B4-BE49-F238E27FC236}">
              <a16:creationId xmlns:a16="http://schemas.microsoft.com/office/drawing/2014/main" id="{A2C917E0-F4E5-4EED-A348-319FCE60DAEB}"/>
            </a:ext>
          </a:extLst>
        </xdr:cNvPr>
        <xdr:cNvCxnSpPr/>
      </xdr:nvCxnSpPr>
      <xdr:spPr>
        <a:xfrm>
          <a:off x="20292609" y="22088468"/>
          <a:ext cx="507015" cy="0"/>
        </a:xfrm>
        <a:prstGeom prst="line">
          <a:avLst/>
        </a:prstGeom>
        <a:ln>
          <a:solidFill>
            <a:schemeClr val="tx1"/>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82</xdr:col>
      <xdr:colOff>254319</xdr:colOff>
      <xdr:row>91</xdr:row>
      <xdr:rowOff>226182</xdr:rowOff>
    </xdr:from>
    <xdr:to>
      <xdr:col>85</xdr:col>
      <xdr:colOff>18576</xdr:colOff>
      <xdr:row>91</xdr:row>
      <xdr:rowOff>226182</xdr:rowOff>
    </xdr:to>
    <xdr:cxnSp macro="">
      <xdr:nvCxnSpPr>
        <xdr:cNvPr id="523" name="直線コネクタ 522">
          <a:extLst>
            <a:ext uri="{FF2B5EF4-FFF2-40B4-BE49-F238E27FC236}">
              <a16:creationId xmlns:a16="http://schemas.microsoft.com/office/drawing/2014/main" id="{B736B965-B247-4497-A167-436E957DDF4E}"/>
            </a:ext>
          </a:extLst>
        </xdr:cNvPr>
        <xdr:cNvCxnSpPr/>
      </xdr:nvCxnSpPr>
      <xdr:spPr>
        <a:xfrm>
          <a:off x="22667058" y="22083986"/>
          <a:ext cx="584235" cy="0"/>
        </a:xfrm>
        <a:prstGeom prst="line">
          <a:avLst/>
        </a:prstGeom>
        <a:ln>
          <a:solidFill>
            <a:schemeClr val="tx1"/>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87</xdr:col>
      <xdr:colOff>218290</xdr:colOff>
      <xdr:row>91</xdr:row>
      <xdr:rowOff>218698</xdr:rowOff>
    </xdr:from>
    <xdr:to>
      <xdr:col>90</xdr:col>
      <xdr:colOff>56675</xdr:colOff>
      <xdr:row>91</xdr:row>
      <xdr:rowOff>218698</xdr:rowOff>
    </xdr:to>
    <xdr:cxnSp macro="">
      <xdr:nvCxnSpPr>
        <xdr:cNvPr id="524" name="直線コネクタ 523">
          <a:extLst>
            <a:ext uri="{FF2B5EF4-FFF2-40B4-BE49-F238E27FC236}">
              <a16:creationId xmlns:a16="http://schemas.microsoft.com/office/drawing/2014/main" id="{63720C18-7AE0-461D-9680-5FC5662CDEED}"/>
            </a:ext>
          </a:extLst>
        </xdr:cNvPr>
        <xdr:cNvCxnSpPr/>
      </xdr:nvCxnSpPr>
      <xdr:spPr>
        <a:xfrm>
          <a:off x="23997660" y="22076502"/>
          <a:ext cx="658363" cy="0"/>
        </a:xfrm>
        <a:prstGeom prst="line">
          <a:avLst/>
        </a:prstGeom>
        <a:ln>
          <a:solidFill>
            <a:schemeClr val="tx1"/>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93</xdr:col>
      <xdr:colOff>267524</xdr:colOff>
      <xdr:row>91</xdr:row>
      <xdr:rowOff>218456</xdr:rowOff>
    </xdr:from>
    <xdr:to>
      <xdr:col>96</xdr:col>
      <xdr:colOff>204625</xdr:colOff>
      <xdr:row>91</xdr:row>
      <xdr:rowOff>218456</xdr:rowOff>
    </xdr:to>
    <xdr:cxnSp macro="">
      <xdr:nvCxnSpPr>
        <xdr:cNvPr id="525" name="直線コネクタ 524">
          <a:extLst>
            <a:ext uri="{FF2B5EF4-FFF2-40B4-BE49-F238E27FC236}">
              <a16:creationId xmlns:a16="http://schemas.microsoft.com/office/drawing/2014/main" id="{0586DFAB-8D4D-4588-9B74-758B98D13678}"/>
            </a:ext>
          </a:extLst>
        </xdr:cNvPr>
        <xdr:cNvCxnSpPr/>
      </xdr:nvCxnSpPr>
      <xdr:spPr>
        <a:xfrm>
          <a:off x="25686850" y="22076260"/>
          <a:ext cx="757079" cy="0"/>
        </a:xfrm>
        <a:prstGeom prst="line">
          <a:avLst/>
        </a:prstGeom>
        <a:ln>
          <a:solidFill>
            <a:schemeClr val="tx1"/>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85</xdr:col>
      <xdr:colOff>28934</xdr:colOff>
      <xdr:row>90</xdr:row>
      <xdr:rowOff>88771</xdr:rowOff>
    </xdr:from>
    <xdr:to>
      <xdr:col>88</xdr:col>
      <xdr:colOff>101920</xdr:colOff>
      <xdr:row>93</xdr:row>
      <xdr:rowOff>111254</xdr:rowOff>
    </xdr:to>
    <xdr:sp macro="" textlink="">
      <xdr:nvSpPr>
        <xdr:cNvPr id="526" name="正方形/長方形 525">
          <a:extLst>
            <a:ext uri="{FF2B5EF4-FFF2-40B4-BE49-F238E27FC236}">
              <a16:creationId xmlns:a16="http://schemas.microsoft.com/office/drawing/2014/main" id="{5EECCE13-5871-4D39-80BC-703712ABA411}"/>
            </a:ext>
          </a:extLst>
        </xdr:cNvPr>
        <xdr:cNvSpPr/>
      </xdr:nvSpPr>
      <xdr:spPr>
        <a:xfrm>
          <a:off x="23261651" y="21706380"/>
          <a:ext cx="892965" cy="743070"/>
        </a:xfrm>
        <a:prstGeom prst="rect">
          <a:avLst/>
        </a:prstGeom>
        <a:solidFill>
          <a:schemeClr val="accent5">
            <a:lumMod val="20000"/>
            <a:lumOff val="80000"/>
          </a:schemeClr>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Binarization</a:t>
          </a:r>
        </a:p>
        <a:p>
          <a:pPr algn="ctr"/>
          <a:r>
            <a:rPr kumimoji="1" lang="en-US" altLang="ja-JP" sz="1100">
              <a:solidFill>
                <a:schemeClr val="tx1"/>
              </a:solidFill>
            </a:rPr>
            <a:t>(</a:t>
          </a:r>
          <a:r>
            <a:rPr kumimoji="1" lang="ja-JP" altLang="en-US" sz="1100">
              <a:solidFill>
                <a:schemeClr val="tx1"/>
              </a:solidFill>
            </a:rPr>
            <a:t>二値化</a:t>
          </a:r>
          <a:r>
            <a:rPr kumimoji="1" lang="en-US" altLang="ja-JP" sz="1100">
              <a:solidFill>
                <a:schemeClr val="tx1"/>
              </a:solidFill>
            </a:rPr>
            <a:t>)</a:t>
          </a:r>
          <a:endParaRPr kumimoji="1" lang="ja-JP" altLang="en-US" sz="1100">
            <a:solidFill>
              <a:schemeClr val="tx1"/>
            </a:solidFill>
          </a:endParaRPr>
        </a:p>
      </xdr:txBody>
    </xdr:sp>
    <xdr:clientData/>
  </xdr:twoCellAnchor>
  <xdr:twoCellAnchor>
    <xdr:from>
      <xdr:col>90</xdr:col>
      <xdr:colOff>62549</xdr:colOff>
      <xdr:row>90</xdr:row>
      <xdr:rowOff>85969</xdr:rowOff>
    </xdr:from>
    <xdr:to>
      <xdr:col>94</xdr:col>
      <xdr:colOff>187642</xdr:colOff>
      <xdr:row>93</xdr:row>
      <xdr:rowOff>106382</xdr:rowOff>
    </xdr:to>
    <xdr:sp macro="" textlink="">
      <xdr:nvSpPr>
        <xdr:cNvPr id="527" name="正方形/長方形 526">
          <a:extLst>
            <a:ext uri="{FF2B5EF4-FFF2-40B4-BE49-F238E27FC236}">
              <a16:creationId xmlns:a16="http://schemas.microsoft.com/office/drawing/2014/main" id="{4A4F9EBD-2583-442E-8877-98AE03D32A83}"/>
            </a:ext>
          </a:extLst>
        </xdr:cNvPr>
        <xdr:cNvSpPr/>
      </xdr:nvSpPr>
      <xdr:spPr>
        <a:xfrm>
          <a:off x="24661897" y="21703578"/>
          <a:ext cx="1218397" cy="741000"/>
        </a:xfrm>
        <a:prstGeom prst="rect">
          <a:avLst/>
        </a:prstGeom>
        <a:solidFill>
          <a:schemeClr val="accent5">
            <a:lumMod val="20000"/>
            <a:lumOff val="80000"/>
          </a:schemeClr>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Reduction</a:t>
          </a:r>
        </a:p>
        <a:p>
          <a:pPr algn="ctr"/>
          <a:r>
            <a:rPr kumimoji="1" lang="en-US" altLang="ja-JP" sz="1100">
              <a:solidFill>
                <a:schemeClr val="tx1"/>
              </a:solidFill>
            </a:rPr>
            <a:t>(</a:t>
          </a:r>
          <a:r>
            <a:rPr kumimoji="1" lang="ja-JP" altLang="en-US" sz="1100">
              <a:solidFill>
                <a:schemeClr val="tx1"/>
              </a:solidFill>
            </a:rPr>
            <a:t>リダクション</a:t>
          </a:r>
          <a:r>
            <a:rPr kumimoji="1" lang="en-US" altLang="ja-JP" sz="1100">
              <a:solidFill>
                <a:schemeClr val="tx1"/>
              </a:solidFill>
            </a:rPr>
            <a:t>)</a:t>
          </a:r>
          <a:endParaRPr kumimoji="1" lang="ja-JP" altLang="en-US" sz="1100">
            <a:solidFill>
              <a:schemeClr val="tx1"/>
            </a:solidFill>
          </a:endParaRPr>
        </a:p>
      </xdr:txBody>
    </xdr:sp>
    <xdr:clientData/>
  </xdr:twoCellAnchor>
  <xdr:twoCellAnchor>
    <xdr:from>
      <xdr:col>80</xdr:col>
      <xdr:colOff>246488</xdr:colOff>
      <xdr:row>90</xdr:row>
      <xdr:rowOff>97175</xdr:rowOff>
    </xdr:from>
    <xdr:to>
      <xdr:col>83</xdr:col>
      <xdr:colOff>58547</xdr:colOff>
      <xdr:row>93</xdr:row>
      <xdr:rowOff>119658</xdr:rowOff>
    </xdr:to>
    <xdr:sp macro="" textlink="">
      <xdr:nvSpPr>
        <xdr:cNvPr id="528" name="正方形/長方形 527">
          <a:extLst>
            <a:ext uri="{FF2B5EF4-FFF2-40B4-BE49-F238E27FC236}">
              <a16:creationId xmlns:a16="http://schemas.microsoft.com/office/drawing/2014/main" id="{782D521E-3EEE-45BF-88C9-257A76B32525}"/>
            </a:ext>
          </a:extLst>
        </xdr:cNvPr>
        <xdr:cNvSpPr/>
      </xdr:nvSpPr>
      <xdr:spPr>
        <a:xfrm>
          <a:off x="22112575" y="21714784"/>
          <a:ext cx="632037" cy="743070"/>
        </a:xfrm>
        <a:prstGeom prst="rect">
          <a:avLst/>
        </a:prstGeom>
        <a:solidFill>
          <a:schemeClr val="accent5">
            <a:lumMod val="20000"/>
            <a:lumOff val="80000"/>
          </a:schemeClr>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Sum</a:t>
          </a:r>
        </a:p>
        <a:p>
          <a:pPr algn="ctr"/>
          <a:r>
            <a:rPr kumimoji="1" lang="en-US" altLang="ja-JP" sz="1100">
              <a:solidFill>
                <a:schemeClr val="tx1"/>
              </a:solidFill>
            </a:rPr>
            <a:t>(</a:t>
          </a:r>
          <a:r>
            <a:rPr kumimoji="1" lang="ja-JP" altLang="en-US" sz="1100">
              <a:solidFill>
                <a:schemeClr val="tx1"/>
              </a:solidFill>
            </a:rPr>
            <a:t>総和</a:t>
          </a:r>
          <a:r>
            <a:rPr kumimoji="1" lang="en-US" altLang="ja-JP" sz="1100">
              <a:solidFill>
                <a:schemeClr val="tx1"/>
              </a:solidFill>
            </a:rPr>
            <a:t>)</a:t>
          </a:r>
          <a:endParaRPr kumimoji="1" lang="ja-JP" altLang="en-US" sz="1100">
            <a:solidFill>
              <a:schemeClr val="tx1"/>
            </a:solidFill>
          </a:endParaRPr>
        </a:p>
      </xdr:txBody>
    </xdr:sp>
    <xdr:clientData/>
  </xdr:twoCellAnchor>
  <xdr:twoCellAnchor>
    <xdr:from>
      <xdr:col>94</xdr:col>
      <xdr:colOff>243712</xdr:colOff>
      <xdr:row>90</xdr:row>
      <xdr:rowOff>107510</xdr:rowOff>
    </xdr:from>
    <xdr:to>
      <xdr:col>96</xdr:col>
      <xdr:colOff>148354</xdr:colOff>
      <xdr:row>92</xdr:row>
      <xdr:rowOff>3467</xdr:rowOff>
    </xdr:to>
    <xdr:sp macro="" textlink="">
      <xdr:nvSpPr>
        <xdr:cNvPr id="529" name="正方形/長方形 528">
          <a:extLst>
            <a:ext uri="{FF2B5EF4-FFF2-40B4-BE49-F238E27FC236}">
              <a16:creationId xmlns:a16="http://schemas.microsoft.com/office/drawing/2014/main" id="{C2B3B0E8-5F88-4BEE-8FA6-23ABE7F71A12}"/>
            </a:ext>
          </a:extLst>
        </xdr:cNvPr>
        <xdr:cNvSpPr/>
      </xdr:nvSpPr>
      <xdr:spPr>
        <a:xfrm>
          <a:off x="25936364" y="21725119"/>
          <a:ext cx="451294" cy="376348"/>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aseline="0">
              <a:solidFill>
                <a:schemeClr val="tx1"/>
              </a:solidFill>
              <a:latin typeface="Meiryo UI" panose="020B0604030504040204" pitchFamily="50" charset="-128"/>
              <a:ea typeface="Meiryo UI" panose="020B0604030504040204" pitchFamily="50" charset="-128"/>
            </a:rPr>
            <a:t>Q</a:t>
          </a:r>
          <a:r>
            <a:rPr kumimoji="1" lang="en-US" altLang="ja-JP" sz="1050" baseline="-25000">
              <a:solidFill>
                <a:schemeClr val="tx1"/>
              </a:solidFill>
              <a:latin typeface="Meiryo UI" panose="020B0604030504040204" pitchFamily="50" charset="-128"/>
              <a:ea typeface="Meiryo UI" panose="020B0604030504040204" pitchFamily="50" charset="-128"/>
            </a:rPr>
            <a:t>4</a:t>
          </a:r>
          <a:endParaRPr kumimoji="1" lang="en-US" altLang="ja-JP" sz="1050" baseline="0">
            <a:solidFill>
              <a:schemeClr val="tx1"/>
            </a:solidFill>
            <a:latin typeface="Meiryo UI" panose="020B0604030504040204" pitchFamily="50" charset="-128"/>
            <a:ea typeface="Meiryo UI" panose="020B0604030504040204" pitchFamily="50" charset="-128"/>
          </a:endParaRPr>
        </a:p>
      </xdr:txBody>
    </xdr:sp>
    <xdr:clientData/>
  </xdr:twoCellAnchor>
  <xdr:twoCellAnchor>
    <xdr:from>
      <xdr:col>83</xdr:col>
      <xdr:colOff>88732</xdr:colOff>
      <xdr:row>90</xdr:row>
      <xdr:rowOff>115275</xdr:rowOff>
    </xdr:from>
    <xdr:to>
      <xdr:col>84</xdr:col>
      <xdr:colOff>267215</xdr:colOff>
      <xdr:row>92</xdr:row>
      <xdr:rowOff>13303</xdr:rowOff>
    </xdr:to>
    <xdr:sp macro="" textlink="">
      <xdr:nvSpPr>
        <xdr:cNvPr id="530" name="正方形/長方形 529">
          <a:extLst>
            <a:ext uri="{FF2B5EF4-FFF2-40B4-BE49-F238E27FC236}">
              <a16:creationId xmlns:a16="http://schemas.microsoft.com/office/drawing/2014/main" id="{3D8E6839-A2AC-4DE8-B229-76399EC64CAF}"/>
            </a:ext>
          </a:extLst>
        </xdr:cNvPr>
        <xdr:cNvSpPr/>
      </xdr:nvSpPr>
      <xdr:spPr>
        <a:xfrm>
          <a:off x="22774797" y="21732884"/>
          <a:ext cx="451809" cy="378419"/>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aseline="0">
              <a:solidFill>
                <a:schemeClr val="tx1"/>
              </a:solidFill>
              <a:latin typeface="Meiryo UI" panose="020B0604030504040204" pitchFamily="50" charset="-128"/>
              <a:ea typeface="Meiryo UI" panose="020B0604030504040204" pitchFamily="50" charset="-128"/>
            </a:rPr>
            <a:t>Q</a:t>
          </a:r>
          <a:r>
            <a:rPr kumimoji="1" lang="en-US" altLang="ja-JP" sz="1050" baseline="-25000">
              <a:solidFill>
                <a:schemeClr val="tx1"/>
              </a:solidFill>
              <a:latin typeface="Meiryo UI" panose="020B0604030504040204" pitchFamily="50" charset="-128"/>
              <a:ea typeface="Meiryo UI" panose="020B0604030504040204" pitchFamily="50" charset="-128"/>
            </a:rPr>
            <a:t>2</a:t>
          </a:r>
          <a:endParaRPr kumimoji="1" lang="en-US" altLang="ja-JP" sz="1050" baseline="0">
            <a:solidFill>
              <a:schemeClr val="tx1"/>
            </a:solidFill>
            <a:latin typeface="Meiryo UI" panose="020B0604030504040204" pitchFamily="50" charset="-128"/>
            <a:ea typeface="Meiryo UI" panose="020B0604030504040204" pitchFamily="50" charset="-128"/>
          </a:endParaRPr>
        </a:p>
      </xdr:txBody>
    </xdr:sp>
    <xdr:clientData/>
  </xdr:twoCellAnchor>
  <xdr:twoCellAnchor>
    <xdr:from>
      <xdr:col>88</xdr:col>
      <xdr:colOff>120252</xdr:colOff>
      <xdr:row>90</xdr:row>
      <xdr:rowOff>110305</xdr:rowOff>
    </xdr:from>
    <xdr:to>
      <xdr:col>90</xdr:col>
      <xdr:colOff>18590</xdr:colOff>
      <xdr:row>92</xdr:row>
      <xdr:rowOff>8333</xdr:rowOff>
    </xdr:to>
    <xdr:sp macro="" textlink="">
      <xdr:nvSpPr>
        <xdr:cNvPr id="531" name="正方形/長方形 530">
          <a:extLst>
            <a:ext uri="{FF2B5EF4-FFF2-40B4-BE49-F238E27FC236}">
              <a16:creationId xmlns:a16="http://schemas.microsoft.com/office/drawing/2014/main" id="{C950D456-4DAF-4ABC-89C3-0F0D4C4B0457}"/>
            </a:ext>
          </a:extLst>
        </xdr:cNvPr>
        <xdr:cNvSpPr/>
      </xdr:nvSpPr>
      <xdr:spPr>
        <a:xfrm>
          <a:off x="24172948" y="21727914"/>
          <a:ext cx="444990" cy="378419"/>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aseline="0">
              <a:solidFill>
                <a:schemeClr val="tx1"/>
              </a:solidFill>
              <a:latin typeface="Meiryo UI" panose="020B0604030504040204" pitchFamily="50" charset="-128"/>
              <a:ea typeface="Meiryo UI" panose="020B0604030504040204" pitchFamily="50" charset="-128"/>
            </a:rPr>
            <a:t>Q</a:t>
          </a:r>
          <a:r>
            <a:rPr kumimoji="1" lang="en-US" altLang="ja-JP" sz="1050" baseline="-25000">
              <a:solidFill>
                <a:schemeClr val="tx1"/>
              </a:solidFill>
              <a:latin typeface="Meiryo UI" panose="020B0604030504040204" pitchFamily="50" charset="-128"/>
              <a:ea typeface="Meiryo UI" panose="020B0604030504040204" pitchFamily="50" charset="-128"/>
            </a:rPr>
            <a:t>3</a:t>
          </a:r>
          <a:endParaRPr kumimoji="1" lang="en-US" altLang="ja-JP" sz="1050" baseline="0">
            <a:solidFill>
              <a:schemeClr val="tx1"/>
            </a:solidFill>
            <a:latin typeface="Meiryo UI" panose="020B0604030504040204" pitchFamily="50" charset="-128"/>
            <a:ea typeface="Meiryo UI" panose="020B0604030504040204" pitchFamily="50" charset="-128"/>
          </a:endParaRPr>
        </a:p>
      </xdr:txBody>
    </xdr:sp>
    <xdr:clientData/>
  </xdr:twoCellAnchor>
  <xdr:twoCellAnchor>
    <xdr:from>
      <xdr:col>96</xdr:col>
      <xdr:colOff>198179</xdr:colOff>
      <xdr:row>89</xdr:row>
      <xdr:rowOff>57127</xdr:rowOff>
    </xdr:from>
    <xdr:to>
      <xdr:col>96</xdr:col>
      <xdr:colOff>198179</xdr:colOff>
      <xdr:row>92</xdr:row>
      <xdr:rowOff>32011</xdr:rowOff>
    </xdr:to>
    <xdr:cxnSp macro="">
      <xdr:nvCxnSpPr>
        <xdr:cNvPr id="532" name="直線コネクタ 531">
          <a:extLst>
            <a:ext uri="{FF2B5EF4-FFF2-40B4-BE49-F238E27FC236}">
              <a16:creationId xmlns:a16="http://schemas.microsoft.com/office/drawing/2014/main" id="{61991918-B1A3-4126-B48F-F8B5CF771C87}"/>
            </a:ext>
          </a:extLst>
        </xdr:cNvPr>
        <xdr:cNvCxnSpPr/>
      </xdr:nvCxnSpPr>
      <xdr:spPr>
        <a:xfrm>
          <a:off x="26437483" y="21434540"/>
          <a:ext cx="0" cy="695471"/>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95</xdr:col>
      <xdr:colOff>235734</xdr:colOff>
      <xdr:row>87</xdr:row>
      <xdr:rowOff>183071</xdr:rowOff>
    </xdr:from>
    <xdr:to>
      <xdr:col>96</xdr:col>
      <xdr:colOff>189199</xdr:colOff>
      <xdr:row>89</xdr:row>
      <xdr:rowOff>111106</xdr:rowOff>
    </xdr:to>
    <xdr:cxnSp macro="">
      <xdr:nvCxnSpPr>
        <xdr:cNvPr id="533" name="コネクタ: カギ線 532">
          <a:extLst>
            <a:ext uri="{FF2B5EF4-FFF2-40B4-BE49-F238E27FC236}">
              <a16:creationId xmlns:a16="http://schemas.microsoft.com/office/drawing/2014/main" id="{AA79AD77-3E95-4332-905F-AA99F34B6F63}"/>
            </a:ext>
          </a:extLst>
        </xdr:cNvPr>
        <xdr:cNvCxnSpPr>
          <a:stCxn id="534" idx="4"/>
          <a:endCxn id="535" idx="1"/>
        </xdr:cNvCxnSpPr>
      </xdr:nvCxnSpPr>
      <xdr:spPr>
        <a:xfrm rot="16200000" flipH="1">
          <a:off x="26110895" y="21170910"/>
          <a:ext cx="408426" cy="226791"/>
        </a:xfrm>
        <a:prstGeom prst="bentConnector2">
          <a:avLst/>
        </a:prstGeom>
        <a:ln w="12700">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95</xdr:col>
      <xdr:colOff>202199</xdr:colOff>
      <xdr:row>87</xdr:row>
      <xdr:rowOff>120043</xdr:rowOff>
    </xdr:from>
    <xdr:to>
      <xdr:col>95</xdr:col>
      <xdr:colOff>269268</xdr:colOff>
      <xdr:row>87</xdr:row>
      <xdr:rowOff>183072</xdr:rowOff>
    </xdr:to>
    <xdr:sp macro="" textlink="">
      <xdr:nvSpPr>
        <xdr:cNvPr id="534" name="楕円 533">
          <a:extLst>
            <a:ext uri="{FF2B5EF4-FFF2-40B4-BE49-F238E27FC236}">
              <a16:creationId xmlns:a16="http://schemas.microsoft.com/office/drawing/2014/main" id="{1D145935-0A23-4674-8D6B-C68E3783B034}"/>
            </a:ext>
          </a:extLst>
        </xdr:cNvPr>
        <xdr:cNvSpPr/>
      </xdr:nvSpPr>
      <xdr:spPr>
        <a:xfrm>
          <a:off x="26168177" y="21017065"/>
          <a:ext cx="67069" cy="63029"/>
        </a:xfrm>
        <a:prstGeom prst="ellipse">
          <a:avLst/>
        </a:prstGeom>
        <a:solidFill>
          <a:schemeClr val="tx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96</xdr:col>
      <xdr:colOff>189199</xdr:colOff>
      <xdr:row>89</xdr:row>
      <xdr:rowOff>25440</xdr:rowOff>
    </xdr:from>
    <xdr:to>
      <xdr:col>97</xdr:col>
      <xdr:colOff>90666</xdr:colOff>
      <xdr:row>89</xdr:row>
      <xdr:rowOff>201645</xdr:rowOff>
    </xdr:to>
    <xdr:sp macro="" textlink="">
      <xdr:nvSpPr>
        <xdr:cNvPr id="535" name="正方形/長方形 534">
          <a:extLst>
            <a:ext uri="{FF2B5EF4-FFF2-40B4-BE49-F238E27FC236}">
              <a16:creationId xmlns:a16="http://schemas.microsoft.com/office/drawing/2014/main" id="{3C461E27-1F93-44AF-8455-C793380D463F}"/>
            </a:ext>
          </a:extLst>
        </xdr:cNvPr>
        <xdr:cNvSpPr/>
      </xdr:nvSpPr>
      <xdr:spPr>
        <a:xfrm>
          <a:off x="26428503" y="21402853"/>
          <a:ext cx="174793" cy="176205"/>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72</xdr:col>
      <xdr:colOff>165790</xdr:colOff>
      <xdr:row>90</xdr:row>
      <xdr:rowOff>139994</xdr:rowOff>
    </xdr:from>
    <xdr:to>
      <xdr:col>76</xdr:col>
      <xdr:colOff>7699</xdr:colOff>
      <xdr:row>92</xdr:row>
      <xdr:rowOff>2831</xdr:rowOff>
    </xdr:to>
    <xdr:sp macro="" textlink="">
      <xdr:nvSpPr>
        <xdr:cNvPr id="536" name="正方形/長方形 535">
          <a:extLst>
            <a:ext uri="{FF2B5EF4-FFF2-40B4-BE49-F238E27FC236}">
              <a16:creationId xmlns:a16="http://schemas.microsoft.com/office/drawing/2014/main" id="{CB5C6BCB-6364-474D-8DE9-CD90B7946F92}"/>
            </a:ext>
          </a:extLst>
        </xdr:cNvPr>
        <xdr:cNvSpPr/>
      </xdr:nvSpPr>
      <xdr:spPr>
        <a:xfrm>
          <a:off x="19845268" y="21757603"/>
          <a:ext cx="935214" cy="343228"/>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00" baseline="0">
              <a:solidFill>
                <a:schemeClr val="tx1"/>
              </a:solidFill>
              <a:latin typeface="Meiryo UI" panose="020B0604030504040204" pitchFamily="50" charset="-128"/>
              <a:ea typeface="Meiryo UI" panose="020B0604030504040204" pitchFamily="50" charset="-128"/>
            </a:rPr>
            <a:t>Q Data (Q</a:t>
          </a:r>
          <a:r>
            <a:rPr kumimoji="1" lang="en-US" altLang="ja-JP" sz="1050" baseline="-25000">
              <a:solidFill>
                <a:schemeClr val="tx1"/>
              </a:solidFill>
              <a:latin typeface="Meiryo UI" panose="020B0604030504040204" pitchFamily="50" charset="-128"/>
              <a:ea typeface="Meiryo UI" panose="020B0604030504040204" pitchFamily="50" charset="-128"/>
            </a:rPr>
            <a:t>0</a:t>
          </a:r>
          <a:r>
            <a:rPr kumimoji="1" lang="en-US" altLang="ja-JP" sz="1000" baseline="0">
              <a:solidFill>
                <a:schemeClr val="tx1"/>
              </a:solidFill>
              <a:latin typeface="Meiryo UI" panose="020B0604030504040204" pitchFamily="50" charset="-128"/>
              <a:ea typeface="Meiryo UI" panose="020B0604030504040204" pitchFamily="50" charset="-128"/>
            </a:rPr>
            <a:t>)</a:t>
          </a:r>
        </a:p>
      </xdr:txBody>
    </xdr:sp>
    <xdr:clientData/>
  </xdr:twoCellAnchor>
  <xdr:twoCellAnchor>
    <xdr:from>
      <xdr:col>96</xdr:col>
      <xdr:colOff>204625</xdr:colOff>
      <xdr:row>90</xdr:row>
      <xdr:rowOff>137191</xdr:rowOff>
    </xdr:from>
    <xdr:to>
      <xdr:col>98</xdr:col>
      <xdr:colOff>184546</xdr:colOff>
      <xdr:row>90</xdr:row>
      <xdr:rowOff>137191</xdr:rowOff>
    </xdr:to>
    <xdr:cxnSp macro="">
      <xdr:nvCxnSpPr>
        <xdr:cNvPr id="537" name="直線コネクタ 536">
          <a:extLst>
            <a:ext uri="{FF2B5EF4-FFF2-40B4-BE49-F238E27FC236}">
              <a16:creationId xmlns:a16="http://schemas.microsoft.com/office/drawing/2014/main" id="{A30A155E-5783-4EBD-8F5C-8453534BB2EF}"/>
            </a:ext>
          </a:extLst>
        </xdr:cNvPr>
        <xdr:cNvCxnSpPr/>
      </xdr:nvCxnSpPr>
      <xdr:spPr>
        <a:xfrm>
          <a:off x="26443929" y="21754800"/>
          <a:ext cx="526574" cy="0"/>
        </a:xfrm>
        <a:prstGeom prst="line">
          <a:avLst/>
        </a:prstGeom>
        <a:ln>
          <a:solidFill>
            <a:schemeClr val="tx1"/>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98</xdr:col>
      <xdr:colOff>187621</xdr:colOff>
      <xdr:row>86</xdr:row>
      <xdr:rowOff>190335</xdr:rowOff>
    </xdr:from>
    <xdr:to>
      <xdr:col>99</xdr:col>
      <xdr:colOff>22461</xdr:colOff>
      <xdr:row>91</xdr:row>
      <xdr:rowOff>109678</xdr:rowOff>
    </xdr:to>
    <xdr:sp macro="" textlink="">
      <xdr:nvSpPr>
        <xdr:cNvPr id="538" name="台形 537">
          <a:extLst>
            <a:ext uri="{FF2B5EF4-FFF2-40B4-BE49-F238E27FC236}">
              <a16:creationId xmlns:a16="http://schemas.microsoft.com/office/drawing/2014/main" id="{53ACE49F-6F66-477C-97E6-AD11B72BD47D}"/>
            </a:ext>
          </a:extLst>
        </xdr:cNvPr>
        <xdr:cNvSpPr/>
      </xdr:nvSpPr>
      <xdr:spPr>
        <a:xfrm rot="5400000">
          <a:off x="26467500" y="21353239"/>
          <a:ext cx="1120321" cy="108166"/>
        </a:xfrm>
        <a:prstGeom prst="trapezoid">
          <a:avLst>
            <a:gd name="adj" fmla="val 71607"/>
          </a:avLst>
        </a:prstGeom>
        <a:solidFill>
          <a:schemeClr val="bg1">
            <a:lumMod val="9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96</xdr:col>
      <xdr:colOff>129674</xdr:colOff>
      <xdr:row>89</xdr:row>
      <xdr:rowOff>41148</xdr:rowOff>
    </xdr:from>
    <xdr:to>
      <xdr:col>98</xdr:col>
      <xdr:colOff>212909</xdr:colOff>
      <xdr:row>90</xdr:row>
      <xdr:rowOff>174497</xdr:rowOff>
    </xdr:to>
    <xdr:sp macro="" textlink="">
      <xdr:nvSpPr>
        <xdr:cNvPr id="539" name="正方形/長方形 538">
          <a:extLst>
            <a:ext uri="{FF2B5EF4-FFF2-40B4-BE49-F238E27FC236}">
              <a16:creationId xmlns:a16="http://schemas.microsoft.com/office/drawing/2014/main" id="{1D59B772-D279-4B3C-88B9-CFB5503CE0A2}"/>
            </a:ext>
          </a:extLst>
        </xdr:cNvPr>
        <xdr:cNvSpPr/>
      </xdr:nvSpPr>
      <xdr:spPr>
        <a:xfrm>
          <a:off x="26368978" y="21418561"/>
          <a:ext cx="629888" cy="373545"/>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aseline="0">
              <a:solidFill>
                <a:schemeClr val="tx1"/>
              </a:solidFill>
              <a:latin typeface="Meiryo UI" panose="020B0604030504040204" pitchFamily="50" charset="-128"/>
              <a:ea typeface="Meiryo UI" panose="020B0604030504040204" pitchFamily="50" charset="-128"/>
            </a:rPr>
            <a:t>I</a:t>
          </a:r>
          <a:r>
            <a:rPr kumimoji="1" lang="en-US" altLang="ja-JP" sz="1050" baseline="-25000">
              <a:solidFill>
                <a:schemeClr val="tx1"/>
              </a:solidFill>
              <a:latin typeface="Meiryo UI" panose="020B0604030504040204" pitchFamily="50" charset="-128"/>
              <a:ea typeface="Meiryo UI" panose="020B0604030504040204" pitchFamily="50" charset="-128"/>
            </a:rPr>
            <a:t>4 </a:t>
          </a:r>
          <a:r>
            <a:rPr kumimoji="1" lang="en-US" altLang="ja-JP" sz="1050" baseline="0">
              <a:solidFill>
                <a:schemeClr val="tx1"/>
              </a:solidFill>
              <a:latin typeface="Meiryo UI" panose="020B0604030504040204" pitchFamily="50" charset="-128"/>
              <a:ea typeface="Meiryo UI" panose="020B0604030504040204" pitchFamily="50" charset="-128"/>
            </a:rPr>
            <a:t>/Q</a:t>
          </a:r>
          <a:r>
            <a:rPr kumimoji="1" lang="en-US" altLang="ja-JP" sz="1050" baseline="-25000">
              <a:solidFill>
                <a:schemeClr val="tx1"/>
              </a:solidFill>
              <a:latin typeface="Meiryo UI" panose="020B0604030504040204" pitchFamily="50" charset="-128"/>
              <a:ea typeface="Meiryo UI" panose="020B0604030504040204" pitchFamily="50" charset="-128"/>
            </a:rPr>
            <a:t>4</a:t>
          </a:r>
        </a:p>
      </xdr:txBody>
    </xdr:sp>
    <xdr:clientData/>
  </xdr:twoCellAnchor>
  <xdr:twoCellAnchor>
    <xdr:from>
      <xdr:col>99</xdr:col>
      <xdr:colOff>21888</xdr:colOff>
      <xdr:row>89</xdr:row>
      <xdr:rowOff>39380</xdr:rowOff>
    </xdr:from>
    <xdr:to>
      <xdr:col>100</xdr:col>
      <xdr:colOff>98194</xdr:colOff>
      <xdr:row>89</xdr:row>
      <xdr:rowOff>39380</xdr:rowOff>
    </xdr:to>
    <xdr:cxnSp macro="">
      <xdr:nvCxnSpPr>
        <xdr:cNvPr id="540" name="直線コネクタ 539">
          <a:extLst>
            <a:ext uri="{FF2B5EF4-FFF2-40B4-BE49-F238E27FC236}">
              <a16:creationId xmlns:a16="http://schemas.microsoft.com/office/drawing/2014/main" id="{B02B0FF3-19F8-4E3A-BC02-BE5E39CCB870}"/>
            </a:ext>
          </a:extLst>
        </xdr:cNvPr>
        <xdr:cNvCxnSpPr/>
      </xdr:nvCxnSpPr>
      <xdr:spPr>
        <a:xfrm>
          <a:off x="27081171" y="21416793"/>
          <a:ext cx="349632" cy="0"/>
        </a:xfrm>
        <a:prstGeom prst="line">
          <a:avLst/>
        </a:prstGeom>
        <a:ln>
          <a:solidFill>
            <a:schemeClr val="tx1"/>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76</xdr:col>
      <xdr:colOff>38732</xdr:colOff>
      <xdr:row>86</xdr:row>
      <xdr:rowOff>40781</xdr:rowOff>
    </xdr:from>
    <xdr:to>
      <xdr:col>79</xdr:col>
      <xdr:colOff>88508</xdr:colOff>
      <xdr:row>89</xdr:row>
      <xdr:rowOff>58392</xdr:rowOff>
    </xdr:to>
    <xdr:sp macro="" textlink="">
      <xdr:nvSpPr>
        <xdr:cNvPr id="541" name="正方形/長方形 540">
          <a:extLst>
            <a:ext uri="{FF2B5EF4-FFF2-40B4-BE49-F238E27FC236}">
              <a16:creationId xmlns:a16="http://schemas.microsoft.com/office/drawing/2014/main" id="{8A7E0EE1-4F08-4B12-8F60-9AAA357B997F}"/>
            </a:ext>
          </a:extLst>
        </xdr:cNvPr>
        <xdr:cNvSpPr/>
      </xdr:nvSpPr>
      <xdr:spPr>
        <a:xfrm>
          <a:off x="20811515" y="20697607"/>
          <a:ext cx="869754" cy="738198"/>
        </a:xfrm>
        <a:prstGeom prst="rect">
          <a:avLst/>
        </a:prstGeom>
        <a:solidFill>
          <a:schemeClr val="accent5">
            <a:lumMod val="20000"/>
            <a:lumOff val="80000"/>
          </a:schemeClr>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Decimation</a:t>
          </a:r>
        </a:p>
        <a:p>
          <a:pPr algn="ctr"/>
          <a:r>
            <a:rPr kumimoji="1" lang="en-US" altLang="ja-JP" sz="1100">
              <a:solidFill>
                <a:schemeClr val="tx1"/>
              </a:solidFill>
            </a:rPr>
            <a:t>(</a:t>
          </a:r>
          <a:r>
            <a:rPr kumimoji="1" lang="ja-JP" altLang="en-US" sz="1100">
              <a:solidFill>
                <a:schemeClr val="tx1"/>
              </a:solidFill>
            </a:rPr>
            <a:t>間引き</a:t>
          </a:r>
          <a:r>
            <a:rPr kumimoji="1" lang="en-US" altLang="ja-JP" sz="1100">
              <a:solidFill>
                <a:schemeClr val="tx1"/>
              </a:solidFill>
            </a:rPr>
            <a:t>)</a:t>
          </a:r>
          <a:endParaRPr kumimoji="1" lang="ja-JP" altLang="en-US" sz="1100">
            <a:solidFill>
              <a:schemeClr val="tx1"/>
            </a:solidFill>
          </a:endParaRPr>
        </a:p>
      </xdr:txBody>
    </xdr:sp>
    <xdr:clientData/>
  </xdr:twoCellAnchor>
  <xdr:twoCellAnchor>
    <xdr:from>
      <xdr:col>76</xdr:col>
      <xdr:colOff>36934</xdr:colOff>
      <xdr:row>90</xdr:row>
      <xdr:rowOff>107784</xdr:rowOff>
    </xdr:from>
    <xdr:to>
      <xdr:col>79</xdr:col>
      <xdr:colOff>86710</xdr:colOff>
      <xdr:row>93</xdr:row>
      <xdr:rowOff>125395</xdr:rowOff>
    </xdr:to>
    <xdr:sp macro="" textlink="">
      <xdr:nvSpPr>
        <xdr:cNvPr id="544" name="正方形/長方形 543">
          <a:extLst>
            <a:ext uri="{FF2B5EF4-FFF2-40B4-BE49-F238E27FC236}">
              <a16:creationId xmlns:a16="http://schemas.microsoft.com/office/drawing/2014/main" id="{DDB518D1-EC89-4311-8218-2BCA247B7916}"/>
            </a:ext>
          </a:extLst>
        </xdr:cNvPr>
        <xdr:cNvSpPr/>
      </xdr:nvSpPr>
      <xdr:spPr>
        <a:xfrm>
          <a:off x="20809717" y="21725393"/>
          <a:ext cx="869754" cy="738198"/>
        </a:xfrm>
        <a:prstGeom prst="rect">
          <a:avLst/>
        </a:prstGeom>
        <a:solidFill>
          <a:schemeClr val="accent5">
            <a:lumMod val="20000"/>
            <a:lumOff val="80000"/>
          </a:schemeClr>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Decimation</a:t>
          </a:r>
        </a:p>
        <a:p>
          <a:pPr algn="ctr"/>
          <a:r>
            <a:rPr kumimoji="1" lang="en-US" altLang="ja-JP" sz="1100">
              <a:solidFill>
                <a:schemeClr val="tx1"/>
              </a:solidFill>
            </a:rPr>
            <a:t>(</a:t>
          </a:r>
          <a:r>
            <a:rPr kumimoji="1" lang="ja-JP" altLang="en-US" sz="1100">
              <a:solidFill>
                <a:schemeClr val="tx1"/>
              </a:solidFill>
            </a:rPr>
            <a:t>間引き</a:t>
          </a:r>
          <a:r>
            <a:rPr kumimoji="1" lang="en-US" altLang="ja-JP" sz="1100">
              <a:solidFill>
                <a:schemeClr val="tx1"/>
              </a:solidFill>
            </a:rPr>
            <a:t>)</a:t>
          </a:r>
          <a:endParaRPr kumimoji="1" lang="ja-JP" altLang="en-US" sz="1100">
            <a:solidFill>
              <a:schemeClr val="tx1"/>
            </a:solidFill>
          </a:endParaRPr>
        </a:p>
      </xdr:txBody>
    </xdr:sp>
    <xdr:clientData/>
  </xdr:twoCellAnchor>
  <xdr:twoCellAnchor>
    <xdr:from>
      <xdr:col>79</xdr:col>
      <xdr:colOff>87478</xdr:colOff>
      <xdr:row>87</xdr:row>
      <xdr:rowOff>163234</xdr:rowOff>
    </xdr:from>
    <xdr:to>
      <xdr:col>80</xdr:col>
      <xdr:colOff>244078</xdr:colOff>
      <xdr:row>87</xdr:row>
      <xdr:rowOff>163234</xdr:rowOff>
    </xdr:to>
    <xdr:cxnSp macro="">
      <xdr:nvCxnSpPr>
        <xdr:cNvPr id="545" name="直線コネクタ 544">
          <a:extLst>
            <a:ext uri="{FF2B5EF4-FFF2-40B4-BE49-F238E27FC236}">
              <a16:creationId xmlns:a16="http://schemas.microsoft.com/office/drawing/2014/main" id="{9460EC54-B53A-4714-9EEC-3FC9526378D9}"/>
            </a:ext>
          </a:extLst>
        </xdr:cNvPr>
        <xdr:cNvCxnSpPr/>
      </xdr:nvCxnSpPr>
      <xdr:spPr>
        <a:xfrm>
          <a:off x="21680239" y="21060256"/>
          <a:ext cx="429926" cy="0"/>
        </a:xfrm>
        <a:prstGeom prst="line">
          <a:avLst/>
        </a:prstGeom>
        <a:ln>
          <a:solidFill>
            <a:schemeClr val="tx1"/>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79</xdr:col>
      <xdr:colOff>70053</xdr:colOff>
      <xdr:row>86</xdr:row>
      <xdr:rowOff>38611</xdr:rowOff>
    </xdr:from>
    <xdr:to>
      <xdr:col>80</xdr:col>
      <xdr:colOff>255359</xdr:colOff>
      <xdr:row>87</xdr:row>
      <xdr:rowOff>171960</xdr:rowOff>
    </xdr:to>
    <xdr:sp macro="" textlink="">
      <xdr:nvSpPr>
        <xdr:cNvPr id="546" name="正方形/長方形 545">
          <a:extLst>
            <a:ext uri="{FF2B5EF4-FFF2-40B4-BE49-F238E27FC236}">
              <a16:creationId xmlns:a16="http://schemas.microsoft.com/office/drawing/2014/main" id="{90DBC841-7159-4041-A6CE-AA3277A9978D}"/>
            </a:ext>
          </a:extLst>
        </xdr:cNvPr>
        <xdr:cNvSpPr/>
      </xdr:nvSpPr>
      <xdr:spPr>
        <a:xfrm>
          <a:off x="21662814" y="20695437"/>
          <a:ext cx="458632" cy="373545"/>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aseline="0">
              <a:solidFill>
                <a:schemeClr val="tx1"/>
              </a:solidFill>
              <a:latin typeface="Meiryo UI" panose="020B0604030504040204" pitchFamily="50" charset="-128"/>
              <a:ea typeface="Meiryo UI" panose="020B0604030504040204" pitchFamily="50" charset="-128"/>
            </a:rPr>
            <a:t>I</a:t>
          </a:r>
          <a:r>
            <a:rPr kumimoji="1" lang="en-US" altLang="ja-JP" sz="1050" baseline="-25000">
              <a:solidFill>
                <a:schemeClr val="tx1"/>
              </a:solidFill>
              <a:latin typeface="Meiryo UI" panose="020B0604030504040204" pitchFamily="50" charset="-128"/>
              <a:ea typeface="Meiryo UI" panose="020B0604030504040204" pitchFamily="50" charset="-128"/>
            </a:rPr>
            <a:t>1</a:t>
          </a:r>
          <a:endParaRPr kumimoji="1" lang="en-US" altLang="ja-JP" sz="1050" baseline="0">
            <a:solidFill>
              <a:schemeClr val="tx1"/>
            </a:solidFill>
            <a:latin typeface="Meiryo UI" panose="020B0604030504040204" pitchFamily="50" charset="-128"/>
            <a:ea typeface="Meiryo UI" panose="020B0604030504040204" pitchFamily="50" charset="-128"/>
          </a:endParaRPr>
        </a:p>
      </xdr:txBody>
    </xdr:sp>
    <xdr:clientData/>
  </xdr:twoCellAnchor>
  <xdr:twoCellAnchor>
    <xdr:from>
      <xdr:col>79</xdr:col>
      <xdr:colOff>91204</xdr:colOff>
      <xdr:row>91</xdr:row>
      <xdr:rowOff>235707</xdr:rowOff>
    </xdr:from>
    <xdr:to>
      <xdr:col>80</xdr:col>
      <xdr:colOff>238125</xdr:colOff>
      <xdr:row>91</xdr:row>
      <xdr:rowOff>235707</xdr:rowOff>
    </xdr:to>
    <xdr:cxnSp macro="">
      <xdr:nvCxnSpPr>
        <xdr:cNvPr id="547" name="直線コネクタ 546">
          <a:extLst>
            <a:ext uri="{FF2B5EF4-FFF2-40B4-BE49-F238E27FC236}">
              <a16:creationId xmlns:a16="http://schemas.microsoft.com/office/drawing/2014/main" id="{B1FD2882-C9FA-4353-9E1F-846665CF30FD}"/>
            </a:ext>
          </a:extLst>
        </xdr:cNvPr>
        <xdr:cNvCxnSpPr/>
      </xdr:nvCxnSpPr>
      <xdr:spPr>
        <a:xfrm>
          <a:off x="21683965" y="22093511"/>
          <a:ext cx="420247" cy="0"/>
        </a:xfrm>
        <a:prstGeom prst="line">
          <a:avLst/>
        </a:prstGeom>
        <a:ln>
          <a:solidFill>
            <a:schemeClr val="tx1"/>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79</xdr:col>
      <xdr:colOff>80600</xdr:colOff>
      <xdr:row>90</xdr:row>
      <xdr:rowOff>117035</xdr:rowOff>
    </xdr:from>
    <xdr:to>
      <xdr:col>80</xdr:col>
      <xdr:colOff>259085</xdr:colOff>
      <xdr:row>92</xdr:row>
      <xdr:rowOff>15063</xdr:rowOff>
    </xdr:to>
    <xdr:sp macro="" textlink="">
      <xdr:nvSpPr>
        <xdr:cNvPr id="548" name="正方形/長方形 547">
          <a:extLst>
            <a:ext uri="{FF2B5EF4-FFF2-40B4-BE49-F238E27FC236}">
              <a16:creationId xmlns:a16="http://schemas.microsoft.com/office/drawing/2014/main" id="{CAEE1739-4A93-4A05-8269-EF26BF12663E}"/>
            </a:ext>
          </a:extLst>
        </xdr:cNvPr>
        <xdr:cNvSpPr/>
      </xdr:nvSpPr>
      <xdr:spPr>
        <a:xfrm>
          <a:off x="21673361" y="21734644"/>
          <a:ext cx="451811" cy="378419"/>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aseline="0">
              <a:solidFill>
                <a:schemeClr val="tx1"/>
              </a:solidFill>
              <a:latin typeface="Meiryo UI" panose="020B0604030504040204" pitchFamily="50" charset="-128"/>
              <a:ea typeface="Meiryo UI" panose="020B0604030504040204" pitchFamily="50" charset="-128"/>
            </a:rPr>
            <a:t>Q</a:t>
          </a:r>
          <a:r>
            <a:rPr kumimoji="1" lang="en-US" altLang="ja-JP" sz="1050" baseline="-25000">
              <a:solidFill>
                <a:schemeClr val="tx1"/>
              </a:solidFill>
              <a:latin typeface="Meiryo UI" panose="020B0604030504040204" pitchFamily="50" charset="-128"/>
              <a:ea typeface="Meiryo UI" panose="020B0604030504040204" pitchFamily="50" charset="-128"/>
            </a:rPr>
            <a:t>1</a:t>
          </a:r>
          <a:endParaRPr kumimoji="1" lang="en-US" altLang="ja-JP" sz="1050" baseline="0">
            <a:solidFill>
              <a:schemeClr val="tx1"/>
            </a:solidFill>
            <a:latin typeface="Meiryo UI" panose="020B0604030504040204" pitchFamily="50" charset="-128"/>
            <a:ea typeface="Meiryo UI" panose="020B0604030504040204" pitchFamily="50" charset="-128"/>
          </a:endParaRPr>
        </a:p>
      </xdr:txBody>
    </xdr:sp>
    <xdr:clientData/>
  </xdr:twoCellAnchor>
  <xdr:twoCellAnchor>
    <xdr:from>
      <xdr:col>68</xdr:col>
      <xdr:colOff>98149</xdr:colOff>
      <xdr:row>77</xdr:row>
      <xdr:rowOff>198782</xdr:rowOff>
    </xdr:from>
    <xdr:to>
      <xdr:col>72</xdr:col>
      <xdr:colOff>57979</xdr:colOff>
      <xdr:row>79</xdr:row>
      <xdr:rowOff>190499</xdr:rowOff>
    </xdr:to>
    <xdr:sp macro="" textlink="">
      <xdr:nvSpPr>
        <xdr:cNvPr id="555" name="正方形/長方形 554">
          <a:extLst>
            <a:ext uri="{FF2B5EF4-FFF2-40B4-BE49-F238E27FC236}">
              <a16:creationId xmlns:a16="http://schemas.microsoft.com/office/drawing/2014/main" id="{1B95762F-837D-9D04-B027-51E07AFC7CE4}"/>
            </a:ext>
          </a:extLst>
        </xdr:cNvPr>
        <xdr:cNvSpPr/>
      </xdr:nvSpPr>
      <xdr:spPr>
        <a:xfrm>
          <a:off x="18881449" y="18534407"/>
          <a:ext cx="1064730" cy="467967"/>
        </a:xfrm>
        <a:prstGeom prst="rect">
          <a:avLst/>
        </a:prstGeom>
        <a:solidFill>
          <a:schemeClr val="accent4">
            <a:lumMod val="20000"/>
            <a:lumOff val="80000"/>
          </a:schemeClr>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デザイン </a:t>
          </a:r>
          <a:r>
            <a:rPr kumimoji="1" lang="en-US" altLang="ja-JP" sz="1100">
              <a:solidFill>
                <a:schemeClr val="tx1"/>
              </a:solidFill>
            </a:rPr>
            <a:t>2, 3</a:t>
          </a:r>
          <a:endParaRPr kumimoji="1" lang="ja-JP" altLang="en-US" sz="1100">
            <a:solidFill>
              <a:schemeClr val="tx1"/>
            </a:solidFill>
          </a:endParaRPr>
        </a:p>
      </xdr:txBody>
    </xdr:sp>
    <xdr:clientData/>
  </xdr:twoCellAnchor>
  <xdr:twoCellAnchor>
    <xdr:from>
      <xdr:col>68</xdr:col>
      <xdr:colOff>142875</xdr:colOff>
      <xdr:row>88</xdr:row>
      <xdr:rowOff>135835</xdr:rowOff>
    </xdr:from>
    <xdr:to>
      <xdr:col>72</xdr:col>
      <xdr:colOff>102705</xdr:colOff>
      <xdr:row>90</xdr:row>
      <xdr:rowOff>127552</xdr:rowOff>
    </xdr:to>
    <xdr:sp macro="" textlink="">
      <xdr:nvSpPr>
        <xdr:cNvPr id="556" name="正方形/長方形 555">
          <a:extLst>
            <a:ext uri="{FF2B5EF4-FFF2-40B4-BE49-F238E27FC236}">
              <a16:creationId xmlns:a16="http://schemas.microsoft.com/office/drawing/2014/main" id="{E1FCCEAF-3CEA-4E8E-A720-5F2E08E3E7EF}"/>
            </a:ext>
          </a:extLst>
        </xdr:cNvPr>
        <xdr:cNvSpPr/>
      </xdr:nvSpPr>
      <xdr:spPr>
        <a:xfrm>
          <a:off x="18926175" y="21090835"/>
          <a:ext cx="1064730" cy="467967"/>
        </a:xfrm>
        <a:prstGeom prst="rect">
          <a:avLst/>
        </a:prstGeom>
        <a:solidFill>
          <a:schemeClr val="accent4">
            <a:lumMod val="20000"/>
            <a:lumOff val="80000"/>
          </a:schemeClr>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デザイン </a:t>
          </a:r>
          <a:r>
            <a:rPr kumimoji="1" lang="en-US" altLang="ja-JP" sz="1100">
              <a:solidFill>
                <a:schemeClr val="tx1"/>
              </a:solidFill>
            </a:rPr>
            <a:t>4</a:t>
          </a:r>
          <a:endParaRPr kumimoji="1" lang="ja-JP" altLang="en-US" sz="1100">
            <a:solidFill>
              <a:schemeClr val="tx1"/>
            </a:solidFill>
          </a:endParaRPr>
        </a:p>
      </xdr:txBody>
    </xdr:sp>
    <xdr:clientData/>
  </xdr:twoCellAnchor>
  <xdr:twoCellAnchor>
    <xdr:from>
      <xdr:col>68</xdr:col>
      <xdr:colOff>165652</xdr:colOff>
      <xdr:row>83</xdr:row>
      <xdr:rowOff>215347</xdr:rowOff>
    </xdr:from>
    <xdr:to>
      <xdr:col>99</xdr:col>
      <xdr:colOff>74543</xdr:colOff>
      <xdr:row>83</xdr:row>
      <xdr:rowOff>215347</xdr:rowOff>
    </xdr:to>
    <xdr:cxnSp macro="">
      <xdr:nvCxnSpPr>
        <xdr:cNvPr id="559" name="直線コネクタ 558">
          <a:extLst>
            <a:ext uri="{FF2B5EF4-FFF2-40B4-BE49-F238E27FC236}">
              <a16:creationId xmlns:a16="http://schemas.microsoft.com/office/drawing/2014/main" id="{628F1C3D-61C2-767D-5884-830A44BB6F96}"/>
            </a:ext>
          </a:extLst>
        </xdr:cNvPr>
        <xdr:cNvCxnSpPr/>
      </xdr:nvCxnSpPr>
      <xdr:spPr>
        <a:xfrm>
          <a:off x="18751826" y="20151586"/>
          <a:ext cx="8382000" cy="0"/>
        </a:xfrm>
        <a:prstGeom prst="line">
          <a:avLst/>
        </a:prstGeom>
        <a:ln w="12700">
          <a:solidFill>
            <a:schemeClr val="tx1"/>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30</xdr:col>
      <xdr:colOff>262054</xdr:colOff>
      <xdr:row>57</xdr:row>
      <xdr:rowOff>224471</xdr:rowOff>
    </xdr:from>
    <xdr:to>
      <xdr:col>36</xdr:col>
      <xdr:colOff>61345</xdr:colOff>
      <xdr:row>63</xdr:row>
      <xdr:rowOff>46349</xdr:rowOff>
    </xdr:to>
    <xdr:pic>
      <xdr:nvPicPr>
        <xdr:cNvPr id="542" name="グラフィックス 541" descr="紙 枠線">
          <a:extLst>
            <a:ext uri="{FF2B5EF4-FFF2-40B4-BE49-F238E27FC236}">
              <a16:creationId xmlns:a16="http://schemas.microsoft.com/office/drawing/2014/main" id="{B5189944-3BCC-458F-BF75-29FC194DC2A3}"/>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 uri="{96DAC541-7B7A-43D3-8B79-37D633B846F1}">
              <asvg:svgBlip xmlns:asvg="http://schemas.microsoft.com/office/drawing/2016/SVG/main" r:embed="rId4"/>
            </a:ext>
          </a:extLst>
        </a:blip>
        <a:stretch>
          <a:fillRect/>
        </a:stretch>
      </xdr:blipFill>
      <xdr:spPr>
        <a:xfrm>
          <a:off x="8426340" y="14185400"/>
          <a:ext cx="1432148" cy="1291449"/>
        </a:xfrm>
        <a:prstGeom prst="rect">
          <a:avLst/>
        </a:prstGeom>
      </xdr:spPr>
    </xdr:pic>
    <xdr:clientData/>
  </xdr:twoCellAnchor>
  <xdr:twoCellAnchor>
    <xdr:from>
      <xdr:col>41</xdr:col>
      <xdr:colOff>178394</xdr:colOff>
      <xdr:row>112</xdr:row>
      <xdr:rowOff>225137</xdr:rowOff>
    </xdr:from>
    <xdr:to>
      <xdr:col>65</xdr:col>
      <xdr:colOff>253972</xdr:colOff>
      <xdr:row>156</xdr:row>
      <xdr:rowOff>156883</xdr:rowOff>
    </xdr:to>
    <xdr:sp macro="" textlink="">
      <xdr:nvSpPr>
        <xdr:cNvPr id="549" name="正方形/長方形 548">
          <a:extLst>
            <a:ext uri="{FF2B5EF4-FFF2-40B4-BE49-F238E27FC236}">
              <a16:creationId xmlns:a16="http://schemas.microsoft.com/office/drawing/2014/main" id="{815991FC-BDA2-443F-8418-66BDE5B072E9}"/>
            </a:ext>
          </a:extLst>
        </xdr:cNvPr>
        <xdr:cNvSpPr/>
      </xdr:nvSpPr>
      <xdr:spPr>
        <a:xfrm>
          <a:off x="11664423" y="26581372"/>
          <a:ext cx="6799108" cy="10285982"/>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400">
              <a:solidFill>
                <a:schemeClr val="tx1"/>
              </a:solidFill>
            </a:rPr>
            <a:t>ZCU111</a:t>
          </a:r>
          <a:endParaRPr kumimoji="1" lang="ja-JP" altLang="en-US" sz="1400">
            <a:solidFill>
              <a:schemeClr val="tx1"/>
            </a:solidFill>
          </a:endParaRPr>
        </a:p>
      </xdr:txBody>
    </xdr:sp>
    <xdr:clientData/>
  </xdr:twoCellAnchor>
  <xdr:twoCellAnchor>
    <xdr:from>
      <xdr:col>59</xdr:col>
      <xdr:colOff>272137</xdr:colOff>
      <xdr:row>114</xdr:row>
      <xdr:rowOff>203504</xdr:rowOff>
    </xdr:from>
    <xdr:to>
      <xdr:col>65</xdr:col>
      <xdr:colOff>40658</xdr:colOff>
      <xdr:row>143</xdr:row>
      <xdr:rowOff>179294</xdr:rowOff>
    </xdr:to>
    <xdr:sp macro="" textlink="">
      <xdr:nvSpPr>
        <xdr:cNvPr id="550" name="正方形/長方形 549">
          <a:extLst>
            <a:ext uri="{FF2B5EF4-FFF2-40B4-BE49-F238E27FC236}">
              <a16:creationId xmlns:a16="http://schemas.microsoft.com/office/drawing/2014/main" id="{5B6A7FEF-2BFD-492A-8326-88C1B2FEC575}"/>
            </a:ext>
          </a:extLst>
        </xdr:cNvPr>
        <xdr:cNvSpPr/>
      </xdr:nvSpPr>
      <xdr:spPr>
        <a:xfrm>
          <a:off x="16800813" y="27030386"/>
          <a:ext cx="1449404" cy="6800173"/>
        </a:xfrm>
        <a:prstGeom prst="rect">
          <a:avLst/>
        </a:prstGeom>
        <a:solidFill>
          <a:schemeClr val="accent6">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200">
              <a:solidFill>
                <a:schemeClr val="tx1"/>
              </a:solidFill>
            </a:rPr>
            <a:t>RF</a:t>
          </a:r>
          <a:r>
            <a:rPr kumimoji="1" lang="en-US" altLang="ja-JP" sz="1200" baseline="0">
              <a:solidFill>
                <a:schemeClr val="tx1"/>
              </a:solidFill>
            </a:rPr>
            <a:t> Data Converter</a:t>
          </a:r>
          <a:endParaRPr kumimoji="1" lang="ja-JP" altLang="en-US" sz="1400">
            <a:solidFill>
              <a:schemeClr val="tx1"/>
            </a:solidFill>
          </a:endParaRPr>
        </a:p>
      </xdr:txBody>
    </xdr:sp>
    <xdr:clientData/>
  </xdr:twoCellAnchor>
  <xdr:twoCellAnchor>
    <xdr:from>
      <xdr:col>60</xdr:col>
      <xdr:colOff>191476</xdr:colOff>
      <xdr:row>118</xdr:row>
      <xdr:rowOff>134644</xdr:rowOff>
    </xdr:from>
    <xdr:to>
      <xdr:col>64</xdr:col>
      <xdr:colOff>144776</xdr:colOff>
      <xdr:row>120</xdr:row>
      <xdr:rowOff>186823</xdr:rowOff>
    </xdr:to>
    <xdr:sp macro="" textlink="">
      <xdr:nvSpPr>
        <xdr:cNvPr id="551" name="正方形/長方形 550">
          <a:extLst>
            <a:ext uri="{FF2B5EF4-FFF2-40B4-BE49-F238E27FC236}">
              <a16:creationId xmlns:a16="http://schemas.microsoft.com/office/drawing/2014/main" id="{009C40C4-89E8-45A8-A66D-4B1141EC30CA}"/>
            </a:ext>
          </a:extLst>
        </xdr:cNvPr>
        <xdr:cNvSpPr/>
      </xdr:nvSpPr>
      <xdr:spPr>
        <a:xfrm>
          <a:off x="16816931" y="28744280"/>
          <a:ext cx="1061663" cy="537088"/>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DAC</a:t>
          </a:r>
        </a:p>
        <a:p>
          <a:pPr algn="ctr"/>
          <a:r>
            <a:rPr kumimoji="1" lang="en-US" altLang="ja-JP" sz="1200">
              <a:solidFill>
                <a:schemeClr val="tx1"/>
              </a:solidFill>
            </a:rPr>
            <a:t>Tile</a:t>
          </a:r>
          <a:r>
            <a:rPr kumimoji="1" lang="en-US" altLang="ja-JP" sz="1200" baseline="0">
              <a:solidFill>
                <a:schemeClr val="tx1"/>
              </a:solidFill>
            </a:rPr>
            <a:t> 228   Ch 0</a:t>
          </a:r>
          <a:endParaRPr kumimoji="1" lang="ja-JP" altLang="en-US" sz="1400">
            <a:solidFill>
              <a:schemeClr val="tx1"/>
            </a:solidFill>
          </a:endParaRPr>
        </a:p>
      </xdr:txBody>
    </xdr:sp>
    <xdr:clientData/>
  </xdr:twoCellAnchor>
  <xdr:twoCellAnchor>
    <xdr:from>
      <xdr:col>57</xdr:col>
      <xdr:colOff>232892</xdr:colOff>
      <xdr:row>119</xdr:row>
      <xdr:rowOff>25643</xdr:rowOff>
    </xdr:from>
    <xdr:to>
      <xdr:col>60</xdr:col>
      <xdr:colOff>200135</xdr:colOff>
      <xdr:row>119</xdr:row>
      <xdr:rowOff>25643</xdr:rowOff>
    </xdr:to>
    <xdr:cxnSp macro="">
      <xdr:nvCxnSpPr>
        <xdr:cNvPr id="552" name="直線矢印コネクタ 551">
          <a:extLst>
            <a:ext uri="{FF2B5EF4-FFF2-40B4-BE49-F238E27FC236}">
              <a16:creationId xmlns:a16="http://schemas.microsoft.com/office/drawing/2014/main" id="{651837C9-1FA8-45CF-ACDA-8EE3E42720BD}"/>
            </a:ext>
          </a:extLst>
        </xdr:cNvPr>
        <xdr:cNvCxnSpPr/>
      </xdr:nvCxnSpPr>
      <xdr:spPr>
        <a:xfrm>
          <a:off x="16027074" y="28877734"/>
          <a:ext cx="798516"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60</xdr:col>
      <xdr:colOff>186507</xdr:colOff>
      <xdr:row>120</xdr:row>
      <xdr:rowOff>236817</xdr:rowOff>
    </xdr:from>
    <xdr:to>
      <xdr:col>64</xdr:col>
      <xdr:colOff>139807</xdr:colOff>
      <xdr:row>123</xdr:row>
      <xdr:rowOff>42211</xdr:rowOff>
    </xdr:to>
    <xdr:sp macro="" textlink="">
      <xdr:nvSpPr>
        <xdr:cNvPr id="553" name="正方形/長方形 552">
          <a:extLst>
            <a:ext uri="{FF2B5EF4-FFF2-40B4-BE49-F238E27FC236}">
              <a16:creationId xmlns:a16="http://schemas.microsoft.com/office/drawing/2014/main" id="{9F4EE270-73AA-4C58-918A-723C97907BB3}"/>
            </a:ext>
          </a:extLst>
        </xdr:cNvPr>
        <xdr:cNvSpPr/>
      </xdr:nvSpPr>
      <xdr:spPr>
        <a:xfrm>
          <a:off x="16811962" y="29331362"/>
          <a:ext cx="1061663" cy="532758"/>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DAC</a:t>
          </a:r>
        </a:p>
        <a:p>
          <a:pPr algn="ctr"/>
          <a:r>
            <a:rPr kumimoji="1" lang="en-US" altLang="ja-JP" sz="1200">
              <a:solidFill>
                <a:schemeClr val="tx1"/>
              </a:solidFill>
            </a:rPr>
            <a:t>Tile</a:t>
          </a:r>
          <a:r>
            <a:rPr kumimoji="1" lang="en-US" altLang="ja-JP" sz="1200" baseline="0">
              <a:solidFill>
                <a:schemeClr val="tx1"/>
              </a:solidFill>
            </a:rPr>
            <a:t> 228   Ch 1</a:t>
          </a:r>
          <a:endParaRPr kumimoji="1" lang="ja-JP" altLang="en-US" sz="1400">
            <a:solidFill>
              <a:schemeClr val="tx1"/>
            </a:solidFill>
          </a:endParaRPr>
        </a:p>
      </xdr:txBody>
    </xdr:sp>
    <xdr:clientData/>
  </xdr:twoCellAnchor>
  <xdr:twoCellAnchor>
    <xdr:from>
      <xdr:col>57</xdr:col>
      <xdr:colOff>236206</xdr:colOff>
      <xdr:row>121</xdr:row>
      <xdr:rowOff>149962</xdr:rowOff>
    </xdr:from>
    <xdr:to>
      <xdr:col>60</xdr:col>
      <xdr:colOff>183570</xdr:colOff>
      <xdr:row>121</xdr:row>
      <xdr:rowOff>149962</xdr:rowOff>
    </xdr:to>
    <xdr:cxnSp macro="">
      <xdr:nvCxnSpPr>
        <xdr:cNvPr id="554" name="直線矢印コネクタ 553">
          <a:extLst>
            <a:ext uri="{FF2B5EF4-FFF2-40B4-BE49-F238E27FC236}">
              <a16:creationId xmlns:a16="http://schemas.microsoft.com/office/drawing/2014/main" id="{DAD28959-1165-4AE8-8DA3-D0883C919E1C}"/>
            </a:ext>
          </a:extLst>
        </xdr:cNvPr>
        <xdr:cNvCxnSpPr/>
      </xdr:nvCxnSpPr>
      <xdr:spPr>
        <a:xfrm>
          <a:off x="16030388" y="29486962"/>
          <a:ext cx="778637"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60</xdr:col>
      <xdr:colOff>189819</xdr:colOff>
      <xdr:row>123</xdr:row>
      <xdr:rowOff>106064</xdr:rowOff>
    </xdr:from>
    <xdr:to>
      <xdr:col>64</xdr:col>
      <xdr:colOff>143119</xdr:colOff>
      <xdr:row>125</xdr:row>
      <xdr:rowOff>167767</xdr:rowOff>
    </xdr:to>
    <xdr:sp macro="" textlink="">
      <xdr:nvSpPr>
        <xdr:cNvPr id="557" name="正方形/長方形 556">
          <a:extLst>
            <a:ext uri="{FF2B5EF4-FFF2-40B4-BE49-F238E27FC236}">
              <a16:creationId xmlns:a16="http://schemas.microsoft.com/office/drawing/2014/main" id="{FFFAF8CC-921F-4068-8754-C469A54EFA4E}"/>
            </a:ext>
          </a:extLst>
        </xdr:cNvPr>
        <xdr:cNvSpPr/>
      </xdr:nvSpPr>
      <xdr:spPr>
        <a:xfrm>
          <a:off x="16815274" y="29927973"/>
          <a:ext cx="1061663" cy="546612"/>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DAC</a:t>
          </a:r>
        </a:p>
        <a:p>
          <a:pPr algn="ctr"/>
          <a:r>
            <a:rPr kumimoji="1" lang="en-US" altLang="ja-JP" sz="1200">
              <a:solidFill>
                <a:schemeClr val="tx1"/>
              </a:solidFill>
            </a:rPr>
            <a:t>Tile</a:t>
          </a:r>
          <a:r>
            <a:rPr kumimoji="1" lang="en-US" altLang="ja-JP" sz="1200" baseline="0">
              <a:solidFill>
                <a:schemeClr val="tx1"/>
              </a:solidFill>
            </a:rPr>
            <a:t> 228   Ch 2</a:t>
          </a:r>
          <a:endParaRPr kumimoji="1" lang="ja-JP" altLang="en-US" sz="1400">
            <a:solidFill>
              <a:schemeClr val="tx1"/>
            </a:solidFill>
          </a:endParaRPr>
        </a:p>
      </xdr:txBody>
    </xdr:sp>
    <xdr:clientData/>
  </xdr:twoCellAnchor>
  <xdr:twoCellAnchor>
    <xdr:from>
      <xdr:col>57</xdr:col>
      <xdr:colOff>239518</xdr:colOff>
      <xdr:row>124</xdr:row>
      <xdr:rowOff>5937</xdr:rowOff>
    </xdr:from>
    <xdr:to>
      <xdr:col>60</xdr:col>
      <xdr:colOff>191853</xdr:colOff>
      <xdr:row>124</xdr:row>
      <xdr:rowOff>5937</xdr:rowOff>
    </xdr:to>
    <xdr:cxnSp macro="">
      <xdr:nvCxnSpPr>
        <xdr:cNvPr id="558" name="直線矢印コネクタ 557">
          <a:extLst>
            <a:ext uri="{FF2B5EF4-FFF2-40B4-BE49-F238E27FC236}">
              <a16:creationId xmlns:a16="http://schemas.microsoft.com/office/drawing/2014/main" id="{69E2694C-F28D-48F5-B37F-45C26E862234}"/>
            </a:ext>
          </a:extLst>
        </xdr:cNvPr>
        <xdr:cNvCxnSpPr/>
      </xdr:nvCxnSpPr>
      <xdr:spPr>
        <a:xfrm>
          <a:off x="16033700" y="30070301"/>
          <a:ext cx="783608"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60</xdr:col>
      <xdr:colOff>193132</xdr:colOff>
      <xdr:row>125</xdr:row>
      <xdr:rowOff>211250</xdr:rowOff>
    </xdr:from>
    <xdr:to>
      <xdr:col>64</xdr:col>
      <xdr:colOff>146432</xdr:colOff>
      <xdr:row>128</xdr:row>
      <xdr:rowOff>22502</xdr:rowOff>
    </xdr:to>
    <xdr:sp macro="" textlink="">
      <xdr:nvSpPr>
        <xdr:cNvPr id="560" name="正方形/長方形 559">
          <a:extLst>
            <a:ext uri="{FF2B5EF4-FFF2-40B4-BE49-F238E27FC236}">
              <a16:creationId xmlns:a16="http://schemas.microsoft.com/office/drawing/2014/main" id="{2028CF4F-CA6D-4C1E-909D-53A9EA9FED7E}"/>
            </a:ext>
          </a:extLst>
        </xdr:cNvPr>
        <xdr:cNvSpPr/>
      </xdr:nvSpPr>
      <xdr:spPr>
        <a:xfrm>
          <a:off x="16818587" y="30518068"/>
          <a:ext cx="1061663" cy="538616"/>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DAC</a:t>
          </a:r>
        </a:p>
        <a:p>
          <a:pPr algn="ctr"/>
          <a:r>
            <a:rPr kumimoji="1" lang="en-US" altLang="ja-JP" sz="1200">
              <a:solidFill>
                <a:schemeClr val="tx1"/>
              </a:solidFill>
            </a:rPr>
            <a:t>Tile</a:t>
          </a:r>
          <a:r>
            <a:rPr kumimoji="1" lang="en-US" altLang="ja-JP" sz="1200" baseline="0">
              <a:solidFill>
                <a:schemeClr val="tx1"/>
              </a:solidFill>
            </a:rPr>
            <a:t> 228   Ch 3</a:t>
          </a:r>
          <a:endParaRPr kumimoji="1" lang="ja-JP" altLang="en-US" sz="1400">
            <a:solidFill>
              <a:schemeClr val="tx1"/>
            </a:solidFill>
          </a:endParaRPr>
        </a:p>
      </xdr:txBody>
    </xdr:sp>
    <xdr:clientData/>
  </xdr:twoCellAnchor>
  <xdr:twoCellAnchor>
    <xdr:from>
      <xdr:col>57</xdr:col>
      <xdr:colOff>242831</xdr:colOff>
      <xdr:row>126</xdr:row>
      <xdr:rowOff>121381</xdr:rowOff>
    </xdr:from>
    <xdr:to>
      <xdr:col>60</xdr:col>
      <xdr:colOff>191853</xdr:colOff>
      <xdr:row>126</xdr:row>
      <xdr:rowOff>121381</xdr:rowOff>
    </xdr:to>
    <xdr:cxnSp macro="">
      <xdr:nvCxnSpPr>
        <xdr:cNvPr id="561" name="直線矢印コネクタ 560">
          <a:extLst>
            <a:ext uri="{FF2B5EF4-FFF2-40B4-BE49-F238E27FC236}">
              <a16:creationId xmlns:a16="http://schemas.microsoft.com/office/drawing/2014/main" id="{FA74FB18-CE88-4F0B-87D6-485D5F2B39D7}"/>
            </a:ext>
          </a:extLst>
        </xdr:cNvPr>
        <xdr:cNvCxnSpPr/>
      </xdr:nvCxnSpPr>
      <xdr:spPr>
        <a:xfrm>
          <a:off x="16037013" y="30670654"/>
          <a:ext cx="780295"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60</xdr:col>
      <xdr:colOff>176845</xdr:colOff>
      <xdr:row>128</xdr:row>
      <xdr:rowOff>86178</xdr:rowOff>
    </xdr:from>
    <xdr:to>
      <xdr:col>64</xdr:col>
      <xdr:colOff>138149</xdr:colOff>
      <xdr:row>130</xdr:row>
      <xdr:rowOff>145081</xdr:rowOff>
    </xdr:to>
    <xdr:sp macro="" textlink="">
      <xdr:nvSpPr>
        <xdr:cNvPr id="566" name="正方形/長方形 565">
          <a:extLst>
            <a:ext uri="{FF2B5EF4-FFF2-40B4-BE49-F238E27FC236}">
              <a16:creationId xmlns:a16="http://schemas.microsoft.com/office/drawing/2014/main" id="{13FD451A-8802-4125-A6F8-F47C0A0C6DCF}"/>
            </a:ext>
          </a:extLst>
        </xdr:cNvPr>
        <xdr:cNvSpPr/>
      </xdr:nvSpPr>
      <xdr:spPr>
        <a:xfrm>
          <a:off x="16750345" y="30566178"/>
          <a:ext cx="1066204" cy="535153"/>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DAC</a:t>
          </a:r>
        </a:p>
        <a:p>
          <a:pPr algn="ctr"/>
          <a:r>
            <a:rPr kumimoji="1" lang="en-US" altLang="ja-JP" sz="1200">
              <a:solidFill>
                <a:schemeClr val="tx1"/>
              </a:solidFill>
            </a:rPr>
            <a:t>Tile</a:t>
          </a:r>
          <a:r>
            <a:rPr kumimoji="1" lang="en-US" altLang="ja-JP" sz="1200" baseline="0">
              <a:solidFill>
                <a:schemeClr val="tx1"/>
              </a:solidFill>
            </a:rPr>
            <a:t> 229   Ch 2</a:t>
          </a:r>
          <a:endParaRPr kumimoji="1" lang="ja-JP" altLang="en-US" sz="1400">
            <a:solidFill>
              <a:schemeClr val="tx1"/>
            </a:solidFill>
          </a:endParaRPr>
        </a:p>
      </xdr:txBody>
    </xdr:sp>
    <xdr:clientData/>
  </xdr:twoCellAnchor>
  <xdr:twoCellAnchor>
    <xdr:from>
      <xdr:col>57</xdr:col>
      <xdr:colOff>234548</xdr:colOff>
      <xdr:row>128</xdr:row>
      <xdr:rowOff>234433</xdr:rowOff>
    </xdr:from>
    <xdr:to>
      <xdr:col>60</xdr:col>
      <xdr:colOff>183570</xdr:colOff>
      <xdr:row>128</xdr:row>
      <xdr:rowOff>234433</xdr:rowOff>
    </xdr:to>
    <xdr:cxnSp macro="">
      <xdr:nvCxnSpPr>
        <xdr:cNvPr id="567" name="直線矢印コネクタ 566">
          <a:extLst>
            <a:ext uri="{FF2B5EF4-FFF2-40B4-BE49-F238E27FC236}">
              <a16:creationId xmlns:a16="http://schemas.microsoft.com/office/drawing/2014/main" id="{9E10132A-41B3-45F6-A80A-284611E09B2F}"/>
            </a:ext>
          </a:extLst>
        </xdr:cNvPr>
        <xdr:cNvCxnSpPr/>
      </xdr:nvCxnSpPr>
      <xdr:spPr>
        <a:xfrm>
          <a:off x="15979373" y="30714433"/>
          <a:ext cx="777697"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60</xdr:col>
      <xdr:colOff>188162</xdr:colOff>
      <xdr:row>130</xdr:row>
      <xdr:rowOff>180932</xdr:rowOff>
    </xdr:from>
    <xdr:to>
      <xdr:col>64</xdr:col>
      <xdr:colOff>141462</xdr:colOff>
      <xdr:row>132</xdr:row>
      <xdr:rowOff>233111</xdr:rowOff>
    </xdr:to>
    <xdr:sp macro="" textlink="">
      <xdr:nvSpPr>
        <xdr:cNvPr id="568" name="正方形/長方形 567">
          <a:extLst>
            <a:ext uri="{FF2B5EF4-FFF2-40B4-BE49-F238E27FC236}">
              <a16:creationId xmlns:a16="http://schemas.microsoft.com/office/drawing/2014/main" id="{FD925D64-82F1-4F54-B7A7-457AEA3AF2D4}"/>
            </a:ext>
          </a:extLst>
        </xdr:cNvPr>
        <xdr:cNvSpPr/>
      </xdr:nvSpPr>
      <xdr:spPr>
        <a:xfrm>
          <a:off x="16761662" y="31137182"/>
          <a:ext cx="1058200" cy="528429"/>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DAC</a:t>
          </a:r>
        </a:p>
        <a:p>
          <a:pPr algn="ctr"/>
          <a:r>
            <a:rPr kumimoji="1" lang="en-US" altLang="ja-JP" sz="1200">
              <a:solidFill>
                <a:schemeClr val="tx1"/>
              </a:solidFill>
            </a:rPr>
            <a:t>Tile</a:t>
          </a:r>
          <a:r>
            <a:rPr kumimoji="1" lang="en-US" altLang="ja-JP" sz="1200" baseline="0">
              <a:solidFill>
                <a:schemeClr val="tx1"/>
              </a:solidFill>
            </a:rPr>
            <a:t> 229   Ch 3</a:t>
          </a:r>
          <a:endParaRPr kumimoji="1" lang="ja-JP" altLang="en-US" sz="1400">
            <a:solidFill>
              <a:schemeClr val="tx1"/>
            </a:solidFill>
          </a:endParaRPr>
        </a:p>
      </xdr:txBody>
    </xdr:sp>
    <xdr:clientData/>
  </xdr:twoCellAnchor>
  <xdr:twoCellAnchor>
    <xdr:from>
      <xdr:col>57</xdr:col>
      <xdr:colOff>237861</xdr:colOff>
      <xdr:row>131</xdr:row>
      <xdr:rowOff>111026</xdr:rowOff>
    </xdr:from>
    <xdr:to>
      <xdr:col>60</xdr:col>
      <xdr:colOff>200135</xdr:colOff>
      <xdr:row>131</xdr:row>
      <xdr:rowOff>111026</xdr:rowOff>
    </xdr:to>
    <xdr:cxnSp macro="">
      <xdr:nvCxnSpPr>
        <xdr:cNvPr id="569" name="直線矢印コネクタ 568">
          <a:extLst>
            <a:ext uri="{FF2B5EF4-FFF2-40B4-BE49-F238E27FC236}">
              <a16:creationId xmlns:a16="http://schemas.microsoft.com/office/drawing/2014/main" id="{DEB64830-5919-46D4-A02E-BE0AD226BB5F}"/>
            </a:ext>
          </a:extLst>
        </xdr:cNvPr>
        <xdr:cNvCxnSpPr/>
      </xdr:nvCxnSpPr>
      <xdr:spPr>
        <a:xfrm>
          <a:off x="15982686" y="31305401"/>
          <a:ext cx="790949"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46</xdr:col>
      <xdr:colOff>246591</xdr:colOff>
      <xdr:row>119</xdr:row>
      <xdr:rowOff>149971</xdr:rowOff>
    </xdr:from>
    <xdr:to>
      <xdr:col>51</xdr:col>
      <xdr:colOff>222609</xdr:colOff>
      <xdr:row>123</xdr:row>
      <xdr:rowOff>190555</xdr:rowOff>
    </xdr:to>
    <xdr:sp macro="" textlink="">
      <xdr:nvSpPr>
        <xdr:cNvPr id="570" name="正方形/長方形 569">
          <a:extLst>
            <a:ext uri="{FF2B5EF4-FFF2-40B4-BE49-F238E27FC236}">
              <a16:creationId xmlns:a16="http://schemas.microsoft.com/office/drawing/2014/main" id="{EF31FD50-2A5D-421D-9E42-1E0256636491}"/>
            </a:ext>
          </a:extLst>
        </xdr:cNvPr>
        <xdr:cNvSpPr/>
      </xdr:nvSpPr>
      <xdr:spPr>
        <a:xfrm>
          <a:off x="12992773" y="29002062"/>
          <a:ext cx="1361472" cy="1010402"/>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AWG </a:t>
          </a:r>
        </a:p>
        <a:p>
          <a:pPr algn="ctr"/>
          <a:r>
            <a:rPr kumimoji="1" lang="ja-JP" altLang="en-US" sz="1100">
              <a:solidFill>
                <a:schemeClr val="tx1"/>
              </a:solidFill>
            </a:rPr>
            <a:t>コントローラ</a:t>
          </a:r>
          <a:endParaRPr kumimoji="1" lang="en-US" altLang="ja-JP" sz="1100">
            <a:solidFill>
              <a:schemeClr val="tx1"/>
            </a:solidFill>
          </a:endParaRPr>
        </a:p>
        <a:p>
          <a:pPr algn="ctr"/>
          <a:endParaRPr kumimoji="1" lang="ja-JP" altLang="en-US" sz="1100">
            <a:solidFill>
              <a:schemeClr val="tx1"/>
            </a:solidFill>
          </a:endParaRPr>
        </a:p>
      </xdr:txBody>
    </xdr:sp>
    <xdr:clientData/>
  </xdr:twoCellAnchor>
  <xdr:twoCellAnchor>
    <xdr:from>
      <xdr:col>47</xdr:col>
      <xdr:colOff>65949</xdr:colOff>
      <xdr:row>121</xdr:row>
      <xdr:rowOff>210118</xdr:rowOff>
    </xdr:from>
    <xdr:to>
      <xdr:col>51</xdr:col>
      <xdr:colOff>132832</xdr:colOff>
      <xdr:row>123</xdr:row>
      <xdr:rowOff>64995</xdr:rowOff>
    </xdr:to>
    <xdr:sp macro="" textlink="">
      <xdr:nvSpPr>
        <xdr:cNvPr id="571" name="正方形/長方形 570">
          <a:extLst>
            <a:ext uri="{FF2B5EF4-FFF2-40B4-BE49-F238E27FC236}">
              <a16:creationId xmlns:a16="http://schemas.microsoft.com/office/drawing/2014/main" id="{41567CDC-D66B-436B-8718-AC9078405942}"/>
            </a:ext>
          </a:extLst>
        </xdr:cNvPr>
        <xdr:cNvSpPr/>
      </xdr:nvSpPr>
      <xdr:spPr>
        <a:xfrm>
          <a:off x="13089222" y="29547118"/>
          <a:ext cx="1175246" cy="339786"/>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制御レジスタ</a:t>
          </a:r>
        </a:p>
      </xdr:txBody>
    </xdr:sp>
    <xdr:clientData/>
  </xdr:twoCellAnchor>
  <xdr:twoCellAnchor>
    <xdr:from>
      <xdr:col>51</xdr:col>
      <xdr:colOff>223631</xdr:colOff>
      <xdr:row>121</xdr:row>
      <xdr:rowOff>183101</xdr:rowOff>
    </xdr:from>
    <xdr:to>
      <xdr:col>53</xdr:col>
      <xdr:colOff>69521</xdr:colOff>
      <xdr:row>121</xdr:row>
      <xdr:rowOff>183101</xdr:rowOff>
    </xdr:to>
    <xdr:cxnSp macro="">
      <xdr:nvCxnSpPr>
        <xdr:cNvPr id="572" name="直線矢印コネクタ 571">
          <a:extLst>
            <a:ext uri="{FF2B5EF4-FFF2-40B4-BE49-F238E27FC236}">
              <a16:creationId xmlns:a16="http://schemas.microsoft.com/office/drawing/2014/main" id="{4FE050A2-76B7-41D0-B906-14AFD78673C0}"/>
            </a:ext>
          </a:extLst>
        </xdr:cNvPr>
        <xdr:cNvCxnSpPr/>
      </xdr:nvCxnSpPr>
      <xdr:spPr>
        <a:xfrm>
          <a:off x="14355267" y="29520101"/>
          <a:ext cx="400072"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53</xdr:col>
      <xdr:colOff>67817</xdr:colOff>
      <xdr:row>120</xdr:row>
      <xdr:rowOff>20205</xdr:rowOff>
    </xdr:from>
    <xdr:to>
      <xdr:col>53</xdr:col>
      <xdr:colOff>67817</xdr:colOff>
      <xdr:row>132</xdr:row>
      <xdr:rowOff>209550</xdr:rowOff>
    </xdr:to>
    <xdr:cxnSp macro="">
      <xdr:nvCxnSpPr>
        <xdr:cNvPr id="573" name="直線コネクタ 572">
          <a:extLst>
            <a:ext uri="{FF2B5EF4-FFF2-40B4-BE49-F238E27FC236}">
              <a16:creationId xmlns:a16="http://schemas.microsoft.com/office/drawing/2014/main" id="{56B199E8-56A2-437C-81AE-D481B9B8969B}"/>
            </a:ext>
          </a:extLst>
        </xdr:cNvPr>
        <xdr:cNvCxnSpPr/>
      </xdr:nvCxnSpPr>
      <xdr:spPr>
        <a:xfrm>
          <a:off x="14707742" y="28595205"/>
          <a:ext cx="0" cy="3046845"/>
        </a:xfrm>
        <a:prstGeom prst="line">
          <a:avLst/>
        </a:prstGeom>
        <a:ln>
          <a:solidFill>
            <a:schemeClr val="tx1"/>
          </a:solidFill>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53</xdr:col>
      <xdr:colOff>67352</xdr:colOff>
      <xdr:row>120</xdr:row>
      <xdr:rowOff>79281</xdr:rowOff>
    </xdr:from>
    <xdr:to>
      <xdr:col>55</xdr:col>
      <xdr:colOff>64039</xdr:colOff>
      <xdr:row>120</xdr:row>
      <xdr:rowOff>79281</xdr:rowOff>
    </xdr:to>
    <xdr:cxnSp macro="">
      <xdr:nvCxnSpPr>
        <xdr:cNvPr id="574" name="直線矢印コネクタ 573">
          <a:extLst>
            <a:ext uri="{FF2B5EF4-FFF2-40B4-BE49-F238E27FC236}">
              <a16:creationId xmlns:a16="http://schemas.microsoft.com/office/drawing/2014/main" id="{9B7445BB-6755-4EE6-A40F-492CF61F3317}"/>
            </a:ext>
          </a:extLst>
        </xdr:cNvPr>
        <xdr:cNvCxnSpPr/>
      </xdr:nvCxnSpPr>
      <xdr:spPr>
        <a:xfrm>
          <a:off x="14753170" y="29173826"/>
          <a:ext cx="550869"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53</xdr:col>
      <xdr:colOff>63268</xdr:colOff>
      <xdr:row>132</xdr:row>
      <xdr:rowOff>113080</xdr:rowOff>
    </xdr:from>
    <xdr:to>
      <xdr:col>55</xdr:col>
      <xdr:colOff>67068</xdr:colOff>
      <xdr:row>132</xdr:row>
      <xdr:rowOff>113080</xdr:rowOff>
    </xdr:to>
    <xdr:cxnSp macro="">
      <xdr:nvCxnSpPr>
        <xdr:cNvPr id="575" name="直線矢印コネクタ 574">
          <a:extLst>
            <a:ext uri="{FF2B5EF4-FFF2-40B4-BE49-F238E27FC236}">
              <a16:creationId xmlns:a16="http://schemas.microsoft.com/office/drawing/2014/main" id="{0F48F40C-D9C9-44CB-B632-22ACF8DAB7AE}"/>
            </a:ext>
          </a:extLst>
        </xdr:cNvPr>
        <xdr:cNvCxnSpPr/>
      </xdr:nvCxnSpPr>
      <xdr:spPr>
        <a:xfrm>
          <a:off x="14703193" y="31545580"/>
          <a:ext cx="556250"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110473</xdr:colOff>
      <xdr:row>118</xdr:row>
      <xdr:rowOff>233873</xdr:rowOff>
    </xdr:from>
    <xdr:to>
      <xdr:col>54</xdr:col>
      <xdr:colOff>110473</xdr:colOff>
      <xdr:row>131</xdr:row>
      <xdr:rowOff>219075</xdr:rowOff>
    </xdr:to>
    <xdr:cxnSp macro="">
      <xdr:nvCxnSpPr>
        <xdr:cNvPr id="370" name="直線コネクタ 369">
          <a:extLst>
            <a:ext uri="{FF2B5EF4-FFF2-40B4-BE49-F238E27FC236}">
              <a16:creationId xmlns:a16="http://schemas.microsoft.com/office/drawing/2014/main" id="{76B260EB-19A0-4A7A-967A-4B3EA886EA44}"/>
            </a:ext>
          </a:extLst>
        </xdr:cNvPr>
        <xdr:cNvCxnSpPr/>
      </xdr:nvCxnSpPr>
      <xdr:spPr>
        <a:xfrm>
          <a:off x="15026623" y="28332623"/>
          <a:ext cx="0" cy="3080827"/>
        </a:xfrm>
        <a:prstGeom prst="line">
          <a:avLst/>
        </a:prstGeom>
        <a:ln>
          <a:solidFill>
            <a:srgbClr val="FF0000"/>
          </a:solidFill>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57</xdr:col>
      <xdr:colOff>163636</xdr:colOff>
      <xdr:row>120</xdr:row>
      <xdr:rowOff>88351</xdr:rowOff>
    </xdr:from>
    <xdr:to>
      <xdr:col>59</xdr:col>
      <xdr:colOff>64622</xdr:colOff>
      <xdr:row>120</xdr:row>
      <xdr:rowOff>88351</xdr:rowOff>
    </xdr:to>
    <xdr:cxnSp macro="">
      <xdr:nvCxnSpPr>
        <xdr:cNvPr id="408" name="直線矢印コネクタ 407">
          <a:extLst>
            <a:ext uri="{FF2B5EF4-FFF2-40B4-BE49-F238E27FC236}">
              <a16:creationId xmlns:a16="http://schemas.microsoft.com/office/drawing/2014/main" id="{BC6F5DD4-A338-4D54-87D8-CDA396EE0610}"/>
            </a:ext>
          </a:extLst>
        </xdr:cNvPr>
        <xdr:cNvCxnSpPr/>
      </xdr:nvCxnSpPr>
      <xdr:spPr>
        <a:xfrm>
          <a:off x="15957818" y="29182896"/>
          <a:ext cx="455168"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57</xdr:col>
      <xdr:colOff>151730</xdr:colOff>
      <xdr:row>122</xdr:row>
      <xdr:rowOff>188363</xdr:rowOff>
    </xdr:from>
    <xdr:to>
      <xdr:col>59</xdr:col>
      <xdr:colOff>62241</xdr:colOff>
      <xdr:row>122</xdr:row>
      <xdr:rowOff>188363</xdr:rowOff>
    </xdr:to>
    <xdr:cxnSp macro="">
      <xdr:nvCxnSpPr>
        <xdr:cNvPr id="420" name="直線矢印コネクタ 419">
          <a:extLst>
            <a:ext uri="{FF2B5EF4-FFF2-40B4-BE49-F238E27FC236}">
              <a16:creationId xmlns:a16="http://schemas.microsoft.com/office/drawing/2014/main" id="{F6678B6D-68DC-4729-B560-20A629523836}"/>
            </a:ext>
          </a:extLst>
        </xdr:cNvPr>
        <xdr:cNvCxnSpPr/>
      </xdr:nvCxnSpPr>
      <xdr:spPr>
        <a:xfrm>
          <a:off x="15945912" y="29767818"/>
          <a:ext cx="464693"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57</xdr:col>
      <xdr:colOff>170780</xdr:colOff>
      <xdr:row>125</xdr:row>
      <xdr:rowOff>40646</xdr:rowOff>
    </xdr:from>
    <xdr:to>
      <xdr:col>59</xdr:col>
      <xdr:colOff>68710</xdr:colOff>
      <xdr:row>125</xdr:row>
      <xdr:rowOff>40646</xdr:rowOff>
    </xdr:to>
    <xdr:cxnSp macro="">
      <xdr:nvCxnSpPr>
        <xdr:cNvPr id="422" name="直線矢印コネクタ 421">
          <a:extLst>
            <a:ext uri="{FF2B5EF4-FFF2-40B4-BE49-F238E27FC236}">
              <a16:creationId xmlns:a16="http://schemas.microsoft.com/office/drawing/2014/main" id="{40A6C6ED-1A23-4B17-928E-041E45375659}"/>
            </a:ext>
          </a:extLst>
        </xdr:cNvPr>
        <xdr:cNvCxnSpPr/>
      </xdr:nvCxnSpPr>
      <xdr:spPr>
        <a:xfrm>
          <a:off x="15964962" y="30347464"/>
          <a:ext cx="452112"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57</xdr:col>
      <xdr:colOff>162446</xdr:colOff>
      <xdr:row>127</xdr:row>
      <xdr:rowOff>169312</xdr:rowOff>
    </xdr:from>
    <xdr:to>
      <xdr:col>59</xdr:col>
      <xdr:colOff>63432</xdr:colOff>
      <xdr:row>127</xdr:row>
      <xdr:rowOff>169312</xdr:rowOff>
    </xdr:to>
    <xdr:cxnSp macro="">
      <xdr:nvCxnSpPr>
        <xdr:cNvPr id="438" name="直線矢印コネクタ 437">
          <a:extLst>
            <a:ext uri="{FF2B5EF4-FFF2-40B4-BE49-F238E27FC236}">
              <a16:creationId xmlns:a16="http://schemas.microsoft.com/office/drawing/2014/main" id="{83D58AC0-40A8-4020-BFB0-A8AF8290BF61}"/>
            </a:ext>
          </a:extLst>
        </xdr:cNvPr>
        <xdr:cNvCxnSpPr/>
      </xdr:nvCxnSpPr>
      <xdr:spPr>
        <a:xfrm>
          <a:off x="15956628" y="30961039"/>
          <a:ext cx="455168"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57</xdr:col>
      <xdr:colOff>167208</xdr:colOff>
      <xdr:row>130</xdr:row>
      <xdr:rowOff>19751</xdr:rowOff>
    </xdr:from>
    <xdr:to>
      <xdr:col>59</xdr:col>
      <xdr:colOff>68194</xdr:colOff>
      <xdr:row>130</xdr:row>
      <xdr:rowOff>19751</xdr:rowOff>
    </xdr:to>
    <xdr:cxnSp macro="">
      <xdr:nvCxnSpPr>
        <xdr:cNvPr id="441" name="直線矢印コネクタ 440">
          <a:extLst>
            <a:ext uri="{FF2B5EF4-FFF2-40B4-BE49-F238E27FC236}">
              <a16:creationId xmlns:a16="http://schemas.microsoft.com/office/drawing/2014/main" id="{6E009422-75A6-4B17-ADEE-594FAFE3BD65}"/>
            </a:ext>
          </a:extLst>
        </xdr:cNvPr>
        <xdr:cNvCxnSpPr/>
      </xdr:nvCxnSpPr>
      <xdr:spPr>
        <a:xfrm>
          <a:off x="15912033" y="30976001"/>
          <a:ext cx="453436"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57</xdr:col>
      <xdr:colOff>164827</xdr:colOff>
      <xdr:row>132</xdr:row>
      <xdr:rowOff>149842</xdr:rowOff>
    </xdr:from>
    <xdr:to>
      <xdr:col>59</xdr:col>
      <xdr:colOff>65813</xdr:colOff>
      <xdr:row>132</xdr:row>
      <xdr:rowOff>149842</xdr:rowOff>
    </xdr:to>
    <xdr:cxnSp macro="">
      <xdr:nvCxnSpPr>
        <xdr:cNvPr id="442" name="直線矢印コネクタ 441">
          <a:extLst>
            <a:ext uri="{FF2B5EF4-FFF2-40B4-BE49-F238E27FC236}">
              <a16:creationId xmlns:a16="http://schemas.microsoft.com/office/drawing/2014/main" id="{98B963AD-AA8B-42D0-A167-9ACA979C8475}"/>
            </a:ext>
          </a:extLst>
        </xdr:cNvPr>
        <xdr:cNvCxnSpPr/>
      </xdr:nvCxnSpPr>
      <xdr:spPr>
        <a:xfrm>
          <a:off x="15909652" y="31582342"/>
          <a:ext cx="453436"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55</xdr:col>
      <xdr:colOff>68312</xdr:colOff>
      <xdr:row>118</xdr:row>
      <xdr:rowOff>180846</xdr:rowOff>
    </xdr:from>
    <xdr:to>
      <xdr:col>58</xdr:col>
      <xdr:colOff>27665</xdr:colOff>
      <xdr:row>120</xdr:row>
      <xdr:rowOff>151121</xdr:rowOff>
    </xdr:to>
    <xdr:sp macro="" textlink="">
      <xdr:nvSpPr>
        <xdr:cNvPr id="443" name="正方形/長方形 442">
          <a:extLst>
            <a:ext uri="{FF2B5EF4-FFF2-40B4-BE49-F238E27FC236}">
              <a16:creationId xmlns:a16="http://schemas.microsoft.com/office/drawing/2014/main" id="{D9C1F5B4-3E56-4B70-BDA0-5DE9181891AD}"/>
            </a:ext>
          </a:extLst>
        </xdr:cNvPr>
        <xdr:cNvSpPr/>
      </xdr:nvSpPr>
      <xdr:spPr>
        <a:xfrm>
          <a:off x="15308312" y="28790482"/>
          <a:ext cx="790626" cy="455184"/>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AWG 0</a:t>
          </a:r>
          <a:endParaRPr kumimoji="1" lang="ja-JP" altLang="en-US" sz="1200">
            <a:solidFill>
              <a:schemeClr val="tx1"/>
            </a:solidFill>
          </a:endParaRPr>
        </a:p>
      </xdr:txBody>
    </xdr:sp>
    <xdr:clientData/>
  </xdr:twoCellAnchor>
  <xdr:twoCellAnchor>
    <xdr:from>
      <xdr:col>55</xdr:col>
      <xdr:colOff>66399</xdr:colOff>
      <xdr:row>121</xdr:row>
      <xdr:rowOff>37443</xdr:rowOff>
    </xdr:from>
    <xdr:to>
      <xdr:col>58</xdr:col>
      <xdr:colOff>14692</xdr:colOff>
      <xdr:row>123</xdr:row>
      <xdr:rowOff>9245</xdr:rowOff>
    </xdr:to>
    <xdr:sp macro="" textlink="">
      <xdr:nvSpPr>
        <xdr:cNvPr id="444" name="正方形/長方形 443">
          <a:extLst>
            <a:ext uri="{FF2B5EF4-FFF2-40B4-BE49-F238E27FC236}">
              <a16:creationId xmlns:a16="http://schemas.microsoft.com/office/drawing/2014/main" id="{BC639D1C-C28A-44DE-AEAA-F0CF58EF74EB}"/>
            </a:ext>
          </a:extLst>
        </xdr:cNvPr>
        <xdr:cNvSpPr/>
      </xdr:nvSpPr>
      <xdr:spPr>
        <a:xfrm>
          <a:off x="15306399" y="29374443"/>
          <a:ext cx="779566" cy="456711"/>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AWG 1</a:t>
          </a:r>
          <a:endParaRPr kumimoji="1" lang="ja-JP" altLang="en-US" sz="1200">
            <a:solidFill>
              <a:schemeClr val="tx1"/>
            </a:solidFill>
          </a:endParaRPr>
        </a:p>
      </xdr:txBody>
    </xdr:sp>
    <xdr:clientData/>
  </xdr:twoCellAnchor>
  <xdr:twoCellAnchor>
    <xdr:from>
      <xdr:col>55</xdr:col>
      <xdr:colOff>66655</xdr:colOff>
      <xdr:row>123</xdr:row>
      <xdr:rowOff>164592</xdr:rowOff>
    </xdr:from>
    <xdr:to>
      <xdr:col>58</xdr:col>
      <xdr:colOff>26008</xdr:colOff>
      <xdr:row>125</xdr:row>
      <xdr:rowOff>113015</xdr:rowOff>
    </xdr:to>
    <xdr:sp macro="" textlink="">
      <xdr:nvSpPr>
        <xdr:cNvPr id="576" name="正方形/長方形 575">
          <a:extLst>
            <a:ext uri="{FF2B5EF4-FFF2-40B4-BE49-F238E27FC236}">
              <a16:creationId xmlns:a16="http://schemas.microsoft.com/office/drawing/2014/main" id="{E754388B-5558-4A2F-8F8B-F099570F3D6D}"/>
            </a:ext>
          </a:extLst>
        </xdr:cNvPr>
        <xdr:cNvSpPr/>
      </xdr:nvSpPr>
      <xdr:spPr>
        <a:xfrm>
          <a:off x="15306655" y="29986501"/>
          <a:ext cx="790626" cy="433332"/>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AWG 2</a:t>
          </a:r>
          <a:endParaRPr kumimoji="1" lang="ja-JP" altLang="en-US" sz="1200">
            <a:solidFill>
              <a:schemeClr val="tx1"/>
            </a:solidFill>
          </a:endParaRPr>
        </a:p>
      </xdr:txBody>
    </xdr:sp>
    <xdr:clientData/>
  </xdr:twoCellAnchor>
  <xdr:twoCellAnchor>
    <xdr:from>
      <xdr:col>55</xdr:col>
      <xdr:colOff>69968</xdr:colOff>
      <xdr:row>126</xdr:row>
      <xdr:rowOff>19327</xdr:rowOff>
    </xdr:from>
    <xdr:to>
      <xdr:col>58</xdr:col>
      <xdr:colOff>29321</xdr:colOff>
      <xdr:row>127</xdr:row>
      <xdr:rowOff>234858</xdr:rowOff>
    </xdr:to>
    <xdr:sp macro="" textlink="">
      <xdr:nvSpPr>
        <xdr:cNvPr id="577" name="正方形/長方形 576">
          <a:extLst>
            <a:ext uri="{FF2B5EF4-FFF2-40B4-BE49-F238E27FC236}">
              <a16:creationId xmlns:a16="http://schemas.microsoft.com/office/drawing/2014/main" id="{79021822-F2A8-4112-86C6-60D82EF77F34}"/>
            </a:ext>
          </a:extLst>
        </xdr:cNvPr>
        <xdr:cNvSpPr/>
      </xdr:nvSpPr>
      <xdr:spPr>
        <a:xfrm>
          <a:off x="15309968" y="30568600"/>
          <a:ext cx="790626" cy="457985"/>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AWG 3</a:t>
          </a:r>
          <a:endParaRPr kumimoji="1" lang="ja-JP" altLang="en-US" sz="1200">
            <a:solidFill>
              <a:schemeClr val="tx1"/>
            </a:solidFill>
          </a:endParaRPr>
        </a:p>
      </xdr:txBody>
    </xdr:sp>
    <xdr:clientData/>
  </xdr:twoCellAnchor>
  <xdr:twoCellAnchor>
    <xdr:from>
      <xdr:col>55</xdr:col>
      <xdr:colOff>64741</xdr:colOff>
      <xdr:row>128</xdr:row>
      <xdr:rowOff>149035</xdr:rowOff>
    </xdr:from>
    <xdr:to>
      <xdr:col>58</xdr:col>
      <xdr:colOff>9112</xdr:colOff>
      <xdr:row>130</xdr:row>
      <xdr:rowOff>112179</xdr:rowOff>
    </xdr:to>
    <xdr:sp macro="" textlink="">
      <xdr:nvSpPr>
        <xdr:cNvPr id="580" name="正方形/長方形 579">
          <a:extLst>
            <a:ext uri="{FF2B5EF4-FFF2-40B4-BE49-F238E27FC236}">
              <a16:creationId xmlns:a16="http://schemas.microsoft.com/office/drawing/2014/main" id="{C382F7FB-5F5C-402F-80A3-2235102C940A}"/>
            </a:ext>
          </a:extLst>
        </xdr:cNvPr>
        <xdr:cNvSpPr/>
      </xdr:nvSpPr>
      <xdr:spPr>
        <a:xfrm>
          <a:off x="15257116" y="30629035"/>
          <a:ext cx="773046" cy="439394"/>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AWG 6</a:t>
          </a:r>
          <a:endParaRPr kumimoji="1" lang="ja-JP" altLang="en-US" sz="1200">
            <a:solidFill>
              <a:schemeClr val="tx1"/>
            </a:solidFill>
          </a:endParaRPr>
        </a:p>
      </xdr:txBody>
    </xdr:sp>
    <xdr:clientData/>
  </xdr:twoCellAnchor>
  <xdr:twoCellAnchor>
    <xdr:from>
      <xdr:col>55</xdr:col>
      <xdr:colOff>68054</xdr:colOff>
      <xdr:row>130</xdr:row>
      <xdr:rowOff>228343</xdr:rowOff>
    </xdr:from>
    <xdr:to>
      <xdr:col>58</xdr:col>
      <xdr:colOff>16347</xdr:colOff>
      <xdr:row>133</xdr:row>
      <xdr:rowOff>7015</xdr:rowOff>
    </xdr:to>
    <xdr:sp macro="" textlink="">
      <xdr:nvSpPr>
        <xdr:cNvPr id="581" name="正方形/長方形 580">
          <a:extLst>
            <a:ext uri="{FF2B5EF4-FFF2-40B4-BE49-F238E27FC236}">
              <a16:creationId xmlns:a16="http://schemas.microsoft.com/office/drawing/2014/main" id="{C52E2273-3970-4D14-B163-E9F8697548C1}"/>
            </a:ext>
          </a:extLst>
        </xdr:cNvPr>
        <xdr:cNvSpPr/>
      </xdr:nvSpPr>
      <xdr:spPr>
        <a:xfrm>
          <a:off x="15260429" y="31184593"/>
          <a:ext cx="776968" cy="493047"/>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AWG 7</a:t>
          </a:r>
          <a:endParaRPr kumimoji="1" lang="ja-JP" altLang="en-US" sz="1200">
            <a:solidFill>
              <a:schemeClr val="tx1"/>
            </a:solidFill>
          </a:endParaRPr>
        </a:p>
      </xdr:txBody>
    </xdr:sp>
    <xdr:clientData/>
  </xdr:twoCellAnchor>
  <xdr:twoCellAnchor>
    <xdr:from>
      <xdr:col>54</xdr:col>
      <xdr:colOff>116745</xdr:colOff>
      <xdr:row>119</xdr:row>
      <xdr:rowOff>26722</xdr:rowOff>
    </xdr:from>
    <xdr:to>
      <xdr:col>55</xdr:col>
      <xdr:colOff>52615</xdr:colOff>
      <xdr:row>119</xdr:row>
      <xdr:rowOff>26722</xdr:rowOff>
    </xdr:to>
    <xdr:cxnSp macro="">
      <xdr:nvCxnSpPr>
        <xdr:cNvPr id="582" name="直線矢印コネクタ 581">
          <a:extLst>
            <a:ext uri="{FF2B5EF4-FFF2-40B4-BE49-F238E27FC236}">
              <a16:creationId xmlns:a16="http://schemas.microsoft.com/office/drawing/2014/main" id="{84C4CE57-3A07-4512-A51C-8A7CC0C5F190}"/>
            </a:ext>
          </a:extLst>
        </xdr:cNvPr>
        <xdr:cNvCxnSpPr/>
      </xdr:nvCxnSpPr>
      <xdr:spPr>
        <a:xfrm>
          <a:off x="15079654" y="28878813"/>
          <a:ext cx="212961"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114364</xdr:colOff>
      <xdr:row>121</xdr:row>
      <xdr:rowOff>145865</xdr:rowOff>
    </xdr:from>
    <xdr:to>
      <xdr:col>55</xdr:col>
      <xdr:colOff>50234</xdr:colOff>
      <xdr:row>121</xdr:row>
      <xdr:rowOff>145865</xdr:rowOff>
    </xdr:to>
    <xdr:cxnSp macro="">
      <xdr:nvCxnSpPr>
        <xdr:cNvPr id="583" name="直線矢印コネクタ 582">
          <a:extLst>
            <a:ext uri="{FF2B5EF4-FFF2-40B4-BE49-F238E27FC236}">
              <a16:creationId xmlns:a16="http://schemas.microsoft.com/office/drawing/2014/main" id="{BAEC5CA2-768F-4CA5-8964-8E5920E54E91}"/>
            </a:ext>
          </a:extLst>
        </xdr:cNvPr>
        <xdr:cNvCxnSpPr/>
      </xdr:nvCxnSpPr>
      <xdr:spPr>
        <a:xfrm>
          <a:off x="15077273" y="29482865"/>
          <a:ext cx="212961"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123889</xdr:colOff>
      <xdr:row>124</xdr:row>
      <xdr:rowOff>15745</xdr:rowOff>
    </xdr:from>
    <xdr:to>
      <xdr:col>55</xdr:col>
      <xdr:colOff>59759</xdr:colOff>
      <xdr:row>124</xdr:row>
      <xdr:rowOff>15745</xdr:rowOff>
    </xdr:to>
    <xdr:cxnSp macro="">
      <xdr:nvCxnSpPr>
        <xdr:cNvPr id="584" name="直線矢印コネクタ 583">
          <a:extLst>
            <a:ext uri="{FF2B5EF4-FFF2-40B4-BE49-F238E27FC236}">
              <a16:creationId xmlns:a16="http://schemas.microsoft.com/office/drawing/2014/main" id="{8A7E00B2-3B9C-4C6B-86C9-DF6CDF7C04C0}"/>
            </a:ext>
          </a:extLst>
        </xdr:cNvPr>
        <xdr:cNvCxnSpPr/>
      </xdr:nvCxnSpPr>
      <xdr:spPr>
        <a:xfrm>
          <a:off x="15086798" y="30080109"/>
          <a:ext cx="212961"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115555</xdr:colOff>
      <xdr:row>126</xdr:row>
      <xdr:rowOff>107684</xdr:rowOff>
    </xdr:from>
    <xdr:to>
      <xdr:col>55</xdr:col>
      <xdr:colOff>51425</xdr:colOff>
      <xdr:row>126</xdr:row>
      <xdr:rowOff>107684</xdr:rowOff>
    </xdr:to>
    <xdr:cxnSp macro="">
      <xdr:nvCxnSpPr>
        <xdr:cNvPr id="585" name="直線矢印コネクタ 584">
          <a:extLst>
            <a:ext uri="{FF2B5EF4-FFF2-40B4-BE49-F238E27FC236}">
              <a16:creationId xmlns:a16="http://schemas.microsoft.com/office/drawing/2014/main" id="{2345F4B1-1154-4EEF-8C1C-7D644E5163AD}"/>
            </a:ext>
          </a:extLst>
        </xdr:cNvPr>
        <xdr:cNvCxnSpPr/>
      </xdr:nvCxnSpPr>
      <xdr:spPr>
        <a:xfrm>
          <a:off x="15078464" y="30656957"/>
          <a:ext cx="212961"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120317</xdr:colOff>
      <xdr:row>129</xdr:row>
      <xdr:rowOff>6561</xdr:rowOff>
    </xdr:from>
    <xdr:to>
      <xdr:col>55</xdr:col>
      <xdr:colOff>56187</xdr:colOff>
      <xdr:row>129</xdr:row>
      <xdr:rowOff>6561</xdr:rowOff>
    </xdr:to>
    <xdr:cxnSp macro="">
      <xdr:nvCxnSpPr>
        <xdr:cNvPr id="588" name="直線矢印コネクタ 587">
          <a:extLst>
            <a:ext uri="{FF2B5EF4-FFF2-40B4-BE49-F238E27FC236}">
              <a16:creationId xmlns:a16="http://schemas.microsoft.com/office/drawing/2014/main" id="{B3D9BE23-7010-4897-BD88-08FDC1324785}"/>
            </a:ext>
          </a:extLst>
        </xdr:cNvPr>
        <xdr:cNvCxnSpPr/>
      </xdr:nvCxnSpPr>
      <xdr:spPr>
        <a:xfrm>
          <a:off x="15036467" y="30724686"/>
          <a:ext cx="212095"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117936</xdr:colOff>
      <xdr:row>131</xdr:row>
      <xdr:rowOff>110147</xdr:rowOff>
    </xdr:from>
    <xdr:to>
      <xdr:col>55</xdr:col>
      <xdr:colOff>53806</xdr:colOff>
      <xdr:row>131</xdr:row>
      <xdr:rowOff>110147</xdr:rowOff>
    </xdr:to>
    <xdr:cxnSp macro="">
      <xdr:nvCxnSpPr>
        <xdr:cNvPr id="589" name="直線矢印コネクタ 588">
          <a:extLst>
            <a:ext uri="{FF2B5EF4-FFF2-40B4-BE49-F238E27FC236}">
              <a16:creationId xmlns:a16="http://schemas.microsoft.com/office/drawing/2014/main" id="{B66D7483-BCF7-4BC1-898A-D1521FA3D38C}"/>
            </a:ext>
          </a:extLst>
        </xdr:cNvPr>
        <xdr:cNvCxnSpPr/>
      </xdr:nvCxnSpPr>
      <xdr:spPr>
        <a:xfrm>
          <a:off x="15034086" y="31304522"/>
          <a:ext cx="212095"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47</xdr:col>
      <xdr:colOff>41305</xdr:colOff>
      <xdr:row>151</xdr:row>
      <xdr:rowOff>191886</xdr:rowOff>
    </xdr:from>
    <xdr:to>
      <xdr:col>52</xdr:col>
      <xdr:colOff>94543</xdr:colOff>
      <xdr:row>156</xdr:row>
      <xdr:rowOff>23196</xdr:rowOff>
    </xdr:to>
    <xdr:sp macro="" textlink="">
      <xdr:nvSpPr>
        <xdr:cNvPr id="590" name="正方形/長方形 589">
          <a:extLst>
            <a:ext uri="{FF2B5EF4-FFF2-40B4-BE49-F238E27FC236}">
              <a16:creationId xmlns:a16="http://schemas.microsoft.com/office/drawing/2014/main" id="{EE2559CE-D137-4D96-BD73-3AFFBBC60579}"/>
            </a:ext>
          </a:extLst>
        </xdr:cNvPr>
        <xdr:cNvSpPr/>
      </xdr:nvSpPr>
      <xdr:spPr>
        <a:xfrm>
          <a:off x="13208217" y="35725739"/>
          <a:ext cx="1453973" cy="1007928"/>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100">
              <a:solidFill>
                <a:schemeClr val="tx1"/>
              </a:solidFill>
            </a:rPr>
            <a:t>ディジタル出力</a:t>
          </a:r>
          <a:endParaRPr kumimoji="1" lang="en-US" altLang="ja-JP" sz="1100">
            <a:solidFill>
              <a:schemeClr val="tx1"/>
            </a:solidFill>
          </a:endParaRPr>
        </a:p>
        <a:p>
          <a:pPr algn="ctr"/>
          <a:r>
            <a:rPr kumimoji="1" lang="ja-JP" altLang="en-US" sz="1100">
              <a:solidFill>
                <a:schemeClr val="tx1"/>
              </a:solidFill>
            </a:rPr>
            <a:t>コントローラ</a:t>
          </a:r>
          <a:endParaRPr kumimoji="1" lang="en-US" altLang="ja-JP" sz="1100">
            <a:solidFill>
              <a:schemeClr val="tx1"/>
            </a:solidFill>
          </a:endParaRPr>
        </a:p>
        <a:p>
          <a:pPr algn="ctr"/>
          <a:endParaRPr kumimoji="1" lang="ja-JP" altLang="en-US" sz="1100">
            <a:solidFill>
              <a:schemeClr val="tx1"/>
            </a:solidFill>
          </a:endParaRPr>
        </a:p>
      </xdr:txBody>
    </xdr:sp>
    <xdr:clientData/>
  </xdr:twoCellAnchor>
  <xdr:twoCellAnchor>
    <xdr:from>
      <xdr:col>47</xdr:col>
      <xdr:colOff>182549</xdr:colOff>
      <xdr:row>154</xdr:row>
      <xdr:rowOff>68403</xdr:rowOff>
    </xdr:from>
    <xdr:to>
      <xdr:col>51</xdr:col>
      <xdr:colOff>217958</xdr:colOff>
      <xdr:row>155</xdr:row>
      <xdr:rowOff>169066</xdr:rowOff>
    </xdr:to>
    <xdr:sp macro="" textlink="">
      <xdr:nvSpPr>
        <xdr:cNvPr id="591" name="正方形/長方形 590">
          <a:extLst>
            <a:ext uri="{FF2B5EF4-FFF2-40B4-BE49-F238E27FC236}">
              <a16:creationId xmlns:a16="http://schemas.microsoft.com/office/drawing/2014/main" id="{22A0797E-C3CE-4FBC-A8D6-987C22F9228D}"/>
            </a:ext>
          </a:extLst>
        </xdr:cNvPr>
        <xdr:cNvSpPr/>
      </xdr:nvSpPr>
      <xdr:spPr>
        <a:xfrm>
          <a:off x="13349461" y="36308227"/>
          <a:ext cx="1155997" cy="335986"/>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制御レジスタ</a:t>
          </a:r>
        </a:p>
      </xdr:txBody>
    </xdr:sp>
    <xdr:clientData/>
  </xdr:twoCellAnchor>
  <xdr:twoCellAnchor>
    <xdr:from>
      <xdr:col>54</xdr:col>
      <xdr:colOff>69444</xdr:colOff>
      <xdr:row>152</xdr:row>
      <xdr:rowOff>100545</xdr:rowOff>
    </xdr:from>
    <xdr:to>
      <xdr:col>59</xdr:col>
      <xdr:colOff>64761</xdr:colOff>
      <xdr:row>155</xdr:row>
      <xdr:rowOff>66383</xdr:rowOff>
    </xdr:to>
    <xdr:sp macro="" textlink="">
      <xdr:nvSpPr>
        <xdr:cNvPr id="592" name="正方形/長方形 591">
          <a:extLst>
            <a:ext uri="{FF2B5EF4-FFF2-40B4-BE49-F238E27FC236}">
              <a16:creationId xmlns:a16="http://schemas.microsoft.com/office/drawing/2014/main" id="{803A0CEA-1613-4828-89EA-FBB03496489A}"/>
            </a:ext>
          </a:extLst>
        </xdr:cNvPr>
        <xdr:cNvSpPr/>
      </xdr:nvSpPr>
      <xdr:spPr>
        <a:xfrm>
          <a:off x="15197385" y="35869721"/>
          <a:ext cx="1396052" cy="671809"/>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ディジタル出力</a:t>
          </a:r>
          <a:endParaRPr kumimoji="1" lang="en-US" altLang="ja-JP" sz="1100">
            <a:solidFill>
              <a:schemeClr val="tx1"/>
            </a:solidFill>
          </a:endParaRPr>
        </a:p>
        <a:p>
          <a:pPr algn="ctr"/>
          <a:r>
            <a:rPr kumimoji="1" lang="ja-JP" altLang="en-US" sz="1100">
              <a:solidFill>
                <a:schemeClr val="tx1"/>
              </a:solidFill>
            </a:rPr>
            <a:t>モジュール</a:t>
          </a:r>
          <a:r>
            <a:rPr kumimoji="1" lang="en-US" altLang="ja-JP" sz="1100">
              <a:solidFill>
                <a:schemeClr val="tx1"/>
              </a:solidFill>
            </a:rPr>
            <a:t> 0</a:t>
          </a:r>
          <a:endParaRPr kumimoji="1" lang="ja-JP" altLang="en-US" sz="1100">
            <a:solidFill>
              <a:schemeClr val="tx1"/>
            </a:solidFill>
          </a:endParaRPr>
        </a:p>
      </xdr:txBody>
    </xdr:sp>
    <xdr:clientData/>
  </xdr:twoCellAnchor>
  <xdr:twoCellAnchor>
    <xdr:from>
      <xdr:col>53</xdr:col>
      <xdr:colOff>65887</xdr:colOff>
      <xdr:row>122</xdr:row>
      <xdr:rowOff>179658</xdr:rowOff>
    </xdr:from>
    <xdr:to>
      <xdr:col>55</xdr:col>
      <xdr:colOff>62574</xdr:colOff>
      <xdr:row>122</xdr:row>
      <xdr:rowOff>179658</xdr:rowOff>
    </xdr:to>
    <xdr:cxnSp macro="">
      <xdr:nvCxnSpPr>
        <xdr:cNvPr id="594" name="直線矢印コネクタ 593">
          <a:extLst>
            <a:ext uri="{FF2B5EF4-FFF2-40B4-BE49-F238E27FC236}">
              <a16:creationId xmlns:a16="http://schemas.microsoft.com/office/drawing/2014/main" id="{91222AE4-8223-4A2D-B0B9-BA16CD0B55A7}"/>
            </a:ext>
          </a:extLst>
        </xdr:cNvPr>
        <xdr:cNvCxnSpPr/>
      </xdr:nvCxnSpPr>
      <xdr:spPr>
        <a:xfrm>
          <a:off x="14751705" y="29759113"/>
          <a:ext cx="550869"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53</xdr:col>
      <xdr:colOff>68693</xdr:colOff>
      <xdr:row>125</xdr:row>
      <xdr:rowOff>35904</xdr:rowOff>
    </xdr:from>
    <xdr:to>
      <xdr:col>55</xdr:col>
      <xdr:colOff>68436</xdr:colOff>
      <xdr:row>125</xdr:row>
      <xdr:rowOff>35904</xdr:rowOff>
    </xdr:to>
    <xdr:cxnSp macro="">
      <xdr:nvCxnSpPr>
        <xdr:cNvPr id="595" name="直線矢印コネクタ 594">
          <a:extLst>
            <a:ext uri="{FF2B5EF4-FFF2-40B4-BE49-F238E27FC236}">
              <a16:creationId xmlns:a16="http://schemas.microsoft.com/office/drawing/2014/main" id="{6C2F5CE5-108A-45CE-9763-6A4D210D4B08}"/>
            </a:ext>
          </a:extLst>
        </xdr:cNvPr>
        <xdr:cNvCxnSpPr/>
      </xdr:nvCxnSpPr>
      <xdr:spPr>
        <a:xfrm>
          <a:off x="14754511" y="30342722"/>
          <a:ext cx="553925"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53</xdr:col>
      <xdr:colOff>62956</xdr:colOff>
      <xdr:row>127</xdr:row>
      <xdr:rowOff>132033</xdr:rowOff>
    </xdr:from>
    <xdr:to>
      <xdr:col>55</xdr:col>
      <xdr:colOff>59643</xdr:colOff>
      <xdr:row>127</xdr:row>
      <xdr:rowOff>132033</xdr:rowOff>
    </xdr:to>
    <xdr:cxnSp macro="">
      <xdr:nvCxnSpPr>
        <xdr:cNvPr id="596" name="直線矢印コネクタ 595">
          <a:extLst>
            <a:ext uri="{FF2B5EF4-FFF2-40B4-BE49-F238E27FC236}">
              <a16:creationId xmlns:a16="http://schemas.microsoft.com/office/drawing/2014/main" id="{B335BE79-3FF6-4CCF-912C-16D1A6E2F1FD}"/>
            </a:ext>
          </a:extLst>
        </xdr:cNvPr>
        <xdr:cNvCxnSpPr/>
      </xdr:nvCxnSpPr>
      <xdr:spPr>
        <a:xfrm>
          <a:off x="14748774" y="30923760"/>
          <a:ext cx="550869"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52</xdr:col>
      <xdr:colOff>109587</xdr:colOff>
      <xdr:row>153</xdr:row>
      <xdr:rowOff>222412</xdr:rowOff>
    </xdr:from>
    <xdr:to>
      <xdr:col>54</xdr:col>
      <xdr:colOff>65746</xdr:colOff>
      <xdr:row>153</xdr:row>
      <xdr:rowOff>222412</xdr:rowOff>
    </xdr:to>
    <xdr:cxnSp macro="">
      <xdr:nvCxnSpPr>
        <xdr:cNvPr id="598" name="直線矢印コネクタ 597">
          <a:extLst>
            <a:ext uri="{FF2B5EF4-FFF2-40B4-BE49-F238E27FC236}">
              <a16:creationId xmlns:a16="http://schemas.microsoft.com/office/drawing/2014/main" id="{4344D9C7-6550-437D-94B2-349C7BC7ACB4}"/>
            </a:ext>
          </a:extLst>
        </xdr:cNvPr>
        <xdr:cNvCxnSpPr/>
      </xdr:nvCxnSpPr>
      <xdr:spPr>
        <a:xfrm>
          <a:off x="14677234" y="36226912"/>
          <a:ext cx="516453"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47</xdr:col>
      <xdr:colOff>39906</xdr:colOff>
      <xdr:row>120</xdr:row>
      <xdr:rowOff>56029</xdr:rowOff>
    </xdr:from>
    <xdr:to>
      <xdr:col>59</xdr:col>
      <xdr:colOff>56031</xdr:colOff>
      <xdr:row>152</xdr:row>
      <xdr:rowOff>87796</xdr:rowOff>
    </xdr:to>
    <xdr:cxnSp macro="">
      <xdr:nvCxnSpPr>
        <xdr:cNvPr id="599" name="コネクタ: カギ線 598">
          <a:extLst>
            <a:ext uri="{FF2B5EF4-FFF2-40B4-BE49-F238E27FC236}">
              <a16:creationId xmlns:a16="http://schemas.microsoft.com/office/drawing/2014/main" id="{888BF42E-0B5C-4669-98CD-8D7C30DD570D}"/>
            </a:ext>
          </a:extLst>
        </xdr:cNvPr>
        <xdr:cNvCxnSpPr>
          <a:cxnSpLocks/>
          <a:endCxn id="600" idx="1"/>
        </xdr:cNvCxnSpPr>
      </xdr:nvCxnSpPr>
      <xdr:spPr>
        <a:xfrm rot="5400000">
          <a:off x="11114703" y="30386968"/>
          <a:ext cx="7562119" cy="3377889"/>
        </a:xfrm>
        <a:prstGeom prst="bentConnector4">
          <a:avLst>
            <a:gd name="adj1" fmla="val 46231"/>
            <a:gd name="adj2" fmla="val 115062"/>
          </a:avLst>
        </a:prstGeom>
        <a:ln>
          <a:solidFill>
            <a:srgbClr val="00B050"/>
          </a:solidFill>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47</xdr:col>
      <xdr:colOff>39905</xdr:colOff>
      <xdr:row>151</xdr:row>
      <xdr:rowOff>201316</xdr:rowOff>
    </xdr:from>
    <xdr:to>
      <xdr:col>48</xdr:col>
      <xdr:colOff>97711</xdr:colOff>
      <xdr:row>152</xdr:row>
      <xdr:rowOff>209598</xdr:rowOff>
    </xdr:to>
    <xdr:sp macro="" textlink="">
      <xdr:nvSpPr>
        <xdr:cNvPr id="600" name="正方形/長方形 599">
          <a:extLst>
            <a:ext uri="{FF2B5EF4-FFF2-40B4-BE49-F238E27FC236}">
              <a16:creationId xmlns:a16="http://schemas.microsoft.com/office/drawing/2014/main" id="{A0AD7AFE-E296-4A36-A8F5-FB7D5E6D8510}"/>
            </a:ext>
          </a:extLst>
        </xdr:cNvPr>
        <xdr:cNvSpPr/>
      </xdr:nvSpPr>
      <xdr:spPr>
        <a:xfrm>
          <a:off x="13206817" y="35735169"/>
          <a:ext cx="337953" cy="24360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46</xdr:col>
      <xdr:colOff>11206</xdr:colOff>
      <xdr:row>150</xdr:row>
      <xdr:rowOff>145111</xdr:rowOff>
    </xdr:from>
    <xdr:to>
      <xdr:col>47</xdr:col>
      <xdr:colOff>42114</xdr:colOff>
      <xdr:row>152</xdr:row>
      <xdr:rowOff>89648</xdr:rowOff>
    </xdr:to>
    <xdr:cxnSp macro="">
      <xdr:nvCxnSpPr>
        <xdr:cNvPr id="601" name="直線コネクタ 600">
          <a:extLst>
            <a:ext uri="{FF2B5EF4-FFF2-40B4-BE49-F238E27FC236}">
              <a16:creationId xmlns:a16="http://schemas.microsoft.com/office/drawing/2014/main" id="{611EF542-810C-46D5-A71D-31C41038C494}"/>
            </a:ext>
          </a:extLst>
        </xdr:cNvPr>
        <xdr:cNvCxnSpPr/>
      </xdr:nvCxnSpPr>
      <xdr:spPr>
        <a:xfrm flipH="1">
          <a:off x="12897971" y="35443640"/>
          <a:ext cx="311055" cy="415184"/>
        </a:xfrm>
        <a:prstGeom prst="line">
          <a:avLst/>
        </a:prstGeom>
        <a:ln>
          <a:solidFill>
            <a:schemeClr val="tx1"/>
          </a:solidFill>
          <a:prstDash val="dash"/>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156153</xdr:colOff>
      <xdr:row>148</xdr:row>
      <xdr:rowOff>65901</xdr:rowOff>
    </xdr:from>
    <xdr:to>
      <xdr:col>51</xdr:col>
      <xdr:colOff>89114</xdr:colOff>
      <xdr:row>150</xdr:row>
      <xdr:rowOff>225962</xdr:rowOff>
    </xdr:to>
    <xdr:sp macro="" textlink="">
      <xdr:nvSpPr>
        <xdr:cNvPr id="602" name="正方形/長方形 601">
          <a:extLst>
            <a:ext uri="{FF2B5EF4-FFF2-40B4-BE49-F238E27FC236}">
              <a16:creationId xmlns:a16="http://schemas.microsoft.com/office/drawing/2014/main" id="{49FA58D5-A6C2-4EF3-A367-10C0DB4B5D18}"/>
            </a:ext>
          </a:extLst>
        </xdr:cNvPr>
        <xdr:cNvSpPr/>
      </xdr:nvSpPr>
      <xdr:spPr>
        <a:xfrm>
          <a:off x="12762771" y="34893783"/>
          <a:ext cx="1613843" cy="63070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ディジタル出力</a:t>
          </a:r>
          <a:endParaRPr kumimoji="1" lang="en-US" altLang="ja-JP" sz="1100">
            <a:solidFill>
              <a:schemeClr val="tx1"/>
            </a:solidFill>
          </a:endParaRPr>
        </a:p>
        <a:p>
          <a:pPr algn="ctr"/>
          <a:r>
            <a:rPr kumimoji="1" lang="ja-JP" altLang="en-US" sz="1100">
              <a:solidFill>
                <a:schemeClr val="tx1"/>
              </a:solidFill>
            </a:rPr>
            <a:t>制御信号</a:t>
          </a:r>
          <a:endParaRPr kumimoji="1" lang="en-US" altLang="ja-JP" sz="1100">
            <a:solidFill>
              <a:schemeClr val="tx1"/>
            </a:solidFill>
          </a:endParaRPr>
        </a:p>
      </xdr:txBody>
    </xdr:sp>
    <xdr:clientData/>
  </xdr:twoCellAnchor>
  <xdr:twoCellAnchor>
    <xdr:from>
      <xdr:col>59</xdr:col>
      <xdr:colOff>93738</xdr:colOff>
      <xdr:row>154</xdr:row>
      <xdr:rowOff>22243</xdr:rowOff>
    </xdr:from>
    <xdr:to>
      <xdr:col>64</xdr:col>
      <xdr:colOff>103022</xdr:colOff>
      <xdr:row>154</xdr:row>
      <xdr:rowOff>22243</xdr:rowOff>
    </xdr:to>
    <xdr:cxnSp macro="">
      <xdr:nvCxnSpPr>
        <xdr:cNvPr id="603" name="直線矢印コネクタ 602">
          <a:extLst>
            <a:ext uri="{FF2B5EF4-FFF2-40B4-BE49-F238E27FC236}">
              <a16:creationId xmlns:a16="http://schemas.microsoft.com/office/drawing/2014/main" id="{7ABDE950-E966-45B3-A31E-13649D9179A0}"/>
            </a:ext>
          </a:extLst>
        </xdr:cNvPr>
        <xdr:cNvCxnSpPr/>
      </xdr:nvCxnSpPr>
      <xdr:spPr>
        <a:xfrm>
          <a:off x="16622414" y="36262067"/>
          <a:ext cx="1410020" cy="0"/>
        </a:xfrm>
        <a:prstGeom prst="straightConnector1">
          <a:avLst/>
        </a:prstGeom>
        <a:ln>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46</xdr:col>
      <xdr:colOff>33598</xdr:colOff>
      <xdr:row>127</xdr:row>
      <xdr:rowOff>113671</xdr:rowOff>
    </xdr:from>
    <xdr:to>
      <xdr:col>47</xdr:col>
      <xdr:colOff>194592</xdr:colOff>
      <xdr:row>127</xdr:row>
      <xdr:rowOff>113671</xdr:rowOff>
    </xdr:to>
    <xdr:cxnSp macro="">
      <xdr:nvCxnSpPr>
        <xdr:cNvPr id="604" name="直線矢印コネクタ 603">
          <a:extLst>
            <a:ext uri="{FF2B5EF4-FFF2-40B4-BE49-F238E27FC236}">
              <a16:creationId xmlns:a16="http://schemas.microsoft.com/office/drawing/2014/main" id="{4B017856-1676-4950-A4C1-3D58C672244A}"/>
            </a:ext>
          </a:extLst>
        </xdr:cNvPr>
        <xdr:cNvCxnSpPr/>
      </xdr:nvCxnSpPr>
      <xdr:spPr>
        <a:xfrm>
          <a:off x="12779780" y="30905398"/>
          <a:ext cx="438085"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44</xdr:col>
      <xdr:colOff>99435</xdr:colOff>
      <xdr:row>123</xdr:row>
      <xdr:rowOff>13323</xdr:rowOff>
    </xdr:from>
    <xdr:to>
      <xdr:col>46</xdr:col>
      <xdr:colOff>248036</xdr:colOff>
      <xdr:row>126</xdr:row>
      <xdr:rowOff>188070</xdr:rowOff>
    </xdr:to>
    <xdr:cxnSp macro="">
      <xdr:nvCxnSpPr>
        <xdr:cNvPr id="605" name="コネクタ: カギ線 604">
          <a:extLst>
            <a:ext uri="{FF2B5EF4-FFF2-40B4-BE49-F238E27FC236}">
              <a16:creationId xmlns:a16="http://schemas.microsoft.com/office/drawing/2014/main" id="{8135A906-BE60-4EE8-810E-0F54DED1D884}"/>
            </a:ext>
          </a:extLst>
        </xdr:cNvPr>
        <xdr:cNvCxnSpPr>
          <a:stCxn id="629" idx="1"/>
          <a:endCxn id="607" idx="0"/>
        </xdr:cNvCxnSpPr>
      </xdr:nvCxnSpPr>
      <xdr:spPr>
        <a:xfrm rot="10800000" flipV="1">
          <a:off x="12291435" y="29835232"/>
          <a:ext cx="702783" cy="902111"/>
        </a:xfrm>
        <a:prstGeom prst="bentConnector2">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44</xdr:col>
      <xdr:colOff>103264</xdr:colOff>
      <xdr:row>129</xdr:row>
      <xdr:rowOff>188072</xdr:rowOff>
    </xdr:from>
    <xdr:to>
      <xdr:col>47</xdr:col>
      <xdr:colOff>41305</xdr:colOff>
      <xdr:row>153</xdr:row>
      <xdr:rowOff>225203</xdr:rowOff>
    </xdr:to>
    <xdr:cxnSp macro="">
      <xdr:nvCxnSpPr>
        <xdr:cNvPr id="606" name="コネクタ: カギ線 605">
          <a:extLst>
            <a:ext uri="{FF2B5EF4-FFF2-40B4-BE49-F238E27FC236}">
              <a16:creationId xmlns:a16="http://schemas.microsoft.com/office/drawing/2014/main" id="{510E390A-F844-4DE0-891C-F9A5E934A4F2}"/>
            </a:ext>
          </a:extLst>
        </xdr:cNvPr>
        <xdr:cNvCxnSpPr>
          <a:stCxn id="590" idx="1"/>
          <a:endCxn id="607" idx="2"/>
        </xdr:cNvCxnSpPr>
      </xdr:nvCxnSpPr>
      <xdr:spPr>
        <a:xfrm rot="10800000">
          <a:off x="12429735" y="30544807"/>
          <a:ext cx="778482" cy="5684896"/>
        </a:xfrm>
        <a:prstGeom prst="bentConnector2">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42</xdr:col>
      <xdr:colOff>93287</xdr:colOff>
      <xdr:row>126</xdr:row>
      <xdr:rowOff>188071</xdr:rowOff>
    </xdr:from>
    <xdr:to>
      <xdr:col>46</xdr:col>
      <xdr:colOff>113242</xdr:colOff>
      <xdr:row>129</xdr:row>
      <xdr:rowOff>188072</xdr:rowOff>
    </xdr:to>
    <xdr:sp macro="" textlink="">
      <xdr:nvSpPr>
        <xdr:cNvPr id="607" name="正方形/長方形 606">
          <a:extLst>
            <a:ext uri="{FF2B5EF4-FFF2-40B4-BE49-F238E27FC236}">
              <a16:creationId xmlns:a16="http://schemas.microsoft.com/office/drawing/2014/main" id="{30BD00D7-C4B9-474A-AC81-76CCF04A47AB}"/>
            </a:ext>
          </a:extLst>
        </xdr:cNvPr>
        <xdr:cNvSpPr/>
      </xdr:nvSpPr>
      <xdr:spPr>
        <a:xfrm>
          <a:off x="11731105" y="30737344"/>
          <a:ext cx="1128319" cy="727364"/>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UDP/IP </a:t>
          </a:r>
          <a:r>
            <a:rPr kumimoji="1" lang="ja-JP" altLang="en-US" sz="1100">
              <a:solidFill>
                <a:schemeClr val="tx1"/>
              </a:solidFill>
            </a:rPr>
            <a:t>通信</a:t>
          </a:r>
          <a:endParaRPr kumimoji="1" lang="en-US" altLang="ja-JP" sz="1100">
            <a:solidFill>
              <a:schemeClr val="tx1"/>
            </a:solidFill>
          </a:endParaRPr>
        </a:p>
        <a:p>
          <a:pPr algn="ctr"/>
          <a:r>
            <a:rPr kumimoji="1" lang="ja-JP" altLang="en-US" sz="1100">
              <a:solidFill>
                <a:schemeClr val="tx1"/>
              </a:solidFill>
            </a:rPr>
            <a:t>コントローラ</a:t>
          </a:r>
        </a:p>
      </xdr:txBody>
    </xdr:sp>
    <xdr:clientData/>
  </xdr:twoCellAnchor>
  <xdr:twoCellAnchor>
    <xdr:from>
      <xdr:col>45</xdr:col>
      <xdr:colOff>111778</xdr:colOff>
      <xdr:row>124</xdr:row>
      <xdr:rowOff>114211</xdr:rowOff>
    </xdr:from>
    <xdr:to>
      <xdr:col>49</xdr:col>
      <xdr:colOff>195845</xdr:colOff>
      <xdr:row>125</xdr:row>
      <xdr:rowOff>233750</xdr:rowOff>
    </xdr:to>
    <xdr:sp macro="" textlink="">
      <xdr:nvSpPr>
        <xdr:cNvPr id="608" name="正方形/長方形 607">
          <a:extLst>
            <a:ext uri="{FF2B5EF4-FFF2-40B4-BE49-F238E27FC236}">
              <a16:creationId xmlns:a16="http://schemas.microsoft.com/office/drawing/2014/main" id="{170FF3E6-A672-4E5D-BA0B-D66DF4CE3166}"/>
            </a:ext>
          </a:extLst>
        </xdr:cNvPr>
        <xdr:cNvSpPr/>
      </xdr:nvSpPr>
      <xdr:spPr>
        <a:xfrm>
          <a:off x="12580869" y="30178575"/>
          <a:ext cx="1192431" cy="36199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波形データ</a:t>
          </a:r>
        </a:p>
      </xdr:txBody>
    </xdr:sp>
    <xdr:clientData/>
  </xdr:twoCellAnchor>
  <xdr:twoCellAnchor>
    <xdr:from>
      <xdr:col>47</xdr:col>
      <xdr:colOff>37914</xdr:colOff>
      <xdr:row>125</xdr:row>
      <xdr:rowOff>194967</xdr:rowOff>
    </xdr:from>
    <xdr:to>
      <xdr:col>47</xdr:col>
      <xdr:colOff>69152</xdr:colOff>
      <xdr:row>127</xdr:row>
      <xdr:rowOff>99559</xdr:rowOff>
    </xdr:to>
    <xdr:cxnSp macro="">
      <xdr:nvCxnSpPr>
        <xdr:cNvPr id="609" name="直線コネクタ 608">
          <a:extLst>
            <a:ext uri="{FF2B5EF4-FFF2-40B4-BE49-F238E27FC236}">
              <a16:creationId xmlns:a16="http://schemas.microsoft.com/office/drawing/2014/main" id="{8BB54B27-85B2-470C-B9BA-E806412A97E2}"/>
            </a:ext>
          </a:extLst>
        </xdr:cNvPr>
        <xdr:cNvCxnSpPr/>
      </xdr:nvCxnSpPr>
      <xdr:spPr>
        <a:xfrm flipH="1">
          <a:off x="13061187" y="30501785"/>
          <a:ext cx="31238" cy="389501"/>
        </a:xfrm>
        <a:prstGeom prst="line">
          <a:avLst/>
        </a:prstGeom>
        <a:ln>
          <a:solidFill>
            <a:schemeClr val="tx1"/>
          </a:solidFill>
          <a:prstDash val="dash"/>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32</xdr:col>
      <xdr:colOff>31716</xdr:colOff>
      <xdr:row>125</xdr:row>
      <xdr:rowOff>22672</xdr:rowOff>
    </xdr:from>
    <xdr:to>
      <xdr:col>36</xdr:col>
      <xdr:colOff>206931</xdr:colOff>
      <xdr:row>130</xdr:row>
      <xdr:rowOff>79821</xdr:rowOff>
    </xdr:to>
    <xdr:pic>
      <xdr:nvPicPr>
        <xdr:cNvPr id="610" name="グラフィックス 609" descr="コンピューター 単色塗りつぶし">
          <a:extLst>
            <a:ext uri="{FF2B5EF4-FFF2-40B4-BE49-F238E27FC236}">
              <a16:creationId xmlns:a16="http://schemas.microsoft.com/office/drawing/2014/main" id="{20AA26A1-3D9E-4B65-806C-1E083A5DBBBB}"/>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8898625" y="30329490"/>
          <a:ext cx="1283579" cy="1269422"/>
        </a:xfrm>
        <a:prstGeom prst="rect">
          <a:avLst/>
        </a:prstGeom>
      </xdr:spPr>
    </xdr:pic>
    <xdr:clientData/>
  </xdr:twoCellAnchor>
  <xdr:twoCellAnchor>
    <xdr:from>
      <xdr:col>36</xdr:col>
      <xdr:colOff>141542</xdr:colOff>
      <xdr:row>113</xdr:row>
      <xdr:rowOff>176483</xdr:rowOff>
    </xdr:from>
    <xdr:to>
      <xdr:col>41</xdr:col>
      <xdr:colOff>63008</xdr:colOff>
      <xdr:row>115</xdr:row>
      <xdr:rowOff>213029</xdr:rowOff>
    </xdr:to>
    <xdr:sp macro="" textlink="">
      <xdr:nvSpPr>
        <xdr:cNvPr id="611" name="正方形/長方形 610">
          <a:extLst>
            <a:ext uri="{FF2B5EF4-FFF2-40B4-BE49-F238E27FC236}">
              <a16:creationId xmlns:a16="http://schemas.microsoft.com/office/drawing/2014/main" id="{2854EC6F-0795-440D-AA3C-26B250302A32}"/>
            </a:ext>
          </a:extLst>
        </xdr:cNvPr>
        <xdr:cNvSpPr/>
      </xdr:nvSpPr>
      <xdr:spPr>
        <a:xfrm>
          <a:off x="10116815" y="27573847"/>
          <a:ext cx="1306920" cy="52145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10/100/1000 Mb </a:t>
          </a:r>
        </a:p>
        <a:p>
          <a:pPr algn="ctr"/>
          <a:r>
            <a:rPr kumimoji="1" lang="en-US" altLang="ja-JP" sz="1100">
              <a:solidFill>
                <a:schemeClr val="tx1"/>
              </a:solidFill>
            </a:rPr>
            <a:t>Ethernet</a:t>
          </a:r>
          <a:endParaRPr kumimoji="1" lang="ja-JP" altLang="en-US" sz="1100">
            <a:solidFill>
              <a:schemeClr val="tx1"/>
            </a:solidFill>
          </a:endParaRPr>
        </a:p>
      </xdr:txBody>
    </xdr:sp>
    <xdr:clientData/>
  </xdr:twoCellAnchor>
  <xdr:twoCellAnchor>
    <xdr:from>
      <xdr:col>32</xdr:col>
      <xdr:colOff>17319</xdr:colOff>
      <xdr:row>123</xdr:row>
      <xdr:rowOff>4865</xdr:rowOff>
    </xdr:from>
    <xdr:to>
      <xdr:col>35</xdr:col>
      <xdr:colOff>116742</xdr:colOff>
      <xdr:row>125</xdr:row>
      <xdr:rowOff>149672</xdr:rowOff>
    </xdr:to>
    <xdr:sp macro="" textlink="">
      <xdr:nvSpPr>
        <xdr:cNvPr id="612" name="正方形/長方形 611">
          <a:extLst>
            <a:ext uri="{FF2B5EF4-FFF2-40B4-BE49-F238E27FC236}">
              <a16:creationId xmlns:a16="http://schemas.microsoft.com/office/drawing/2014/main" id="{5769D583-7F26-49E4-A424-B2B441E8E786}"/>
            </a:ext>
          </a:extLst>
        </xdr:cNvPr>
        <xdr:cNvSpPr/>
      </xdr:nvSpPr>
      <xdr:spPr>
        <a:xfrm>
          <a:off x="8884228" y="29826774"/>
          <a:ext cx="930696" cy="62971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a:solidFill>
                <a:schemeClr val="tx1"/>
              </a:solidFill>
            </a:rPr>
            <a:t>Python</a:t>
          </a:r>
        </a:p>
        <a:p>
          <a:pPr algn="ctr"/>
          <a:r>
            <a:rPr kumimoji="1" lang="ja-JP" altLang="en-US" sz="1050">
              <a:solidFill>
                <a:schemeClr val="tx1"/>
              </a:solidFill>
            </a:rPr>
            <a:t>プログラム</a:t>
          </a:r>
        </a:p>
      </xdr:txBody>
    </xdr:sp>
    <xdr:clientData/>
  </xdr:twoCellAnchor>
  <xdr:twoCellAnchor>
    <xdr:from>
      <xdr:col>53</xdr:col>
      <xdr:colOff>68693</xdr:colOff>
      <xdr:row>129</xdr:row>
      <xdr:rowOff>208233</xdr:rowOff>
    </xdr:from>
    <xdr:to>
      <xdr:col>55</xdr:col>
      <xdr:colOff>68436</xdr:colOff>
      <xdr:row>129</xdr:row>
      <xdr:rowOff>208233</xdr:rowOff>
    </xdr:to>
    <xdr:cxnSp macro="">
      <xdr:nvCxnSpPr>
        <xdr:cNvPr id="613" name="直線矢印コネクタ 612">
          <a:extLst>
            <a:ext uri="{FF2B5EF4-FFF2-40B4-BE49-F238E27FC236}">
              <a16:creationId xmlns:a16="http://schemas.microsoft.com/office/drawing/2014/main" id="{FC71AED7-C8D9-42CF-84A6-4565EC2AB7C2}"/>
            </a:ext>
          </a:extLst>
        </xdr:cNvPr>
        <xdr:cNvCxnSpPr/>
      </xdr:nvCxnSpPr>
      <xdr:spPr>
        <a:xfrm>
          <a:off x="14708618" y="30926358"/>
          <a:ext cx="552193"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44</xdr:col>
      <xdr:colOff>45788</xdr:colOff>
      <xdr:row>119</xdr:row>
      <xdr:rowOff>87549</xdr:rowOff>
    </xdr:from>
    <xdr:to>
      <xdr:col>45</xdr:col>
      <xdr:colOff>28230</xdr:colOff>
      <xdr:row>120</xdr:row>
      <xdr:rowOff>218123</xdr:rowOff>
    </xdr:to>
    <xdr:cxnSp macro="">
      <xdr:nvCxnSpPr>
        <xdr:cNvPr id="614" name="直線コネクタ 613">
          <a:extLst>
            <a:ext uri="{FF2B5EF4-FFF2-40B4-BE49-F238E27FC236}">
              <a16:creationId xmlns:a16="http://schemas.microsoft.com/office/drawing/2014/main" id="{EBA85CA9-DE57-48F6-954B-93F86BF8B977}"/>
            </a:ext>
          </a:extLst>
        </xdr:cNvPr>
        <xdr:cNvCxnSpPr/>
      </xdr:nvCxnSpPr>
      <xdr:spPr>
        <a:xfrm flipV="1">
          <a:off x="12237788" y="28939640"/>
          <a:ext cx="259533" cy="373028"/>
        </a:xfrm>
        <a:prstGeom prst="line">
          <a:avLst/>
        </a:prstGeom>
        <a:ln>
          <a:solidFill>
            <a:schemeClr val="tx1"/>
          </a:solidFill>
          <a:prstDash val="dash"/>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42</xdr:col>
      <xdr:colOff>195034</xdr:colOff>
      <xdr:row>118</xdr:row>
      <xdr:rowOff>42896</xdr:rowOff>
    </xdr:from>
    <xdr:to>
      <xdr:col>48</xdr:col>
      <xdr:colOff>113733</xdr:colOff>
      <xdr:row>119</xdr:row>
      <xdr:rowOff>146649</xdr:rowOff>
    </xdr:to>
    <xdr:sp macro="" textlink="">
      <xdr:nvSpPr>
        <xdr:cNvPr id="615" name="正方形/長方形 614">
          <a:extLst>
            <a:ext uri="{FF2B5EF4-FFF2-40B4-BE49-F238E27FC236}">
              <a16:creationId xmlns:a16="http://schemas.microsoft.com/office/drawing/2014/main" id="{05E17152-6CE6-49B5-97AC-D37E9E715CDA}"/>
            </a:ext>
          </a:extLst>
        </xdr:cNvPr>
        <xdr:cNvSpPr/>
      </xdr:nvSpPr>
      <xdr:spPr>
        <a:xfrm>
          <a:off x="11832852" y="28652532"/>
          <a:ext cx="1581245" cy="34620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外部スタートトリガ</a:t>
          </a:r>
        </a:p>
      </xdr:txBody>
    </xdr:sp>
    <xdr:clientData/>
  </xdr:twoCellAnchor>
  <xdr:twoCellAnchor>
    <xdr:from>
      <xdr:col>42</xdr:col>
      <xdr:colOff>267223</xdr:colOff>
      <xdr:row>120</xdr:row>
      <xdr:rowOff>233927</xdr:rowOff>
    </xdr:from>
    <xdr:to>
      <xdr:col>46</xdr:col>
      <xdr:colOff>212825</xdr:colOff>
      <xdr:row>120</xdr:row>
      <xdr:rowOff>233927</xdr:rowOff>
    </xdr:to>
    <xdr:cxnSp macro="">
      <xdr:nvCxnSpPr>
        <xdr:cNvPr id="616" name="直線矢印コネクタ 615">
          <a:extLst>
            <a:ext uri="{FF2B5EF4-FFF2-40B4-BE49-F238E27FC236}">
              <a16:creationId xmlns:a16="http://schemas.microsoft.com/office/drawing/2014/main" id="{03B33AAA-34EE-46B5-8459-C24C482154D0}"/>
            </a:ext>
          </a:extLst>
        </xdr:cNvPr>
        <xdr:cNvCxnSpPr/>
      </xdr:nvCxnSpPr>
      <xdr:spPr>
        <a:xfrm flipH="1">
          <a:off x="11905041" y="29328472"/>
          <a:ext cx="1053966" cy="0"/>
        </a:xfrm>
        <a:prstGeom prst="straightConnector1">
          <a:avLst/>
        </a:prstGeom>
        <a:ln>
          <a:headEnd type="triangle" w="sm" len="med"/>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36</xdr:col>
      <xdr:colOff>260043</xdr:colOff>
      <xdr:row>128</xdr:row>
      <xdr:rowOff>22799</xdr:rowOff>
    </xdr:from>
    <xdr:to>
      <xdr:col>41</xdr:col>
      <xdr:colOff>235530</xdr:colOff>
      <xdr:row>132</xdr:row>
      <xdr:rowOff>8864</xdr:rowOff>
    </xdr:to>
    <xdr:sp macro="" textlink="">
      <xdr:nvSpPr>
        <xdr:cNvPr id="617" name="正方形/長方形 616">
          <a:extLst>
            <a:ext uri="{FF2B5EF4-FFF2-40B4-BE49-F238E27FC236}">
              <a16:creationId xmlns:a16="http://schemas.microsoft.com/office/drawing/2014/main" id="{57BC3D84-1A45-44EF-B43F-BA1052B3A0FF}"/>
            </a:ext>
          </a:extLst>
        </xdr:cNvPr>
        <xdr:cNvSpPr/>
      </xdr:nvSpPr>
      <xdr:spPr>
        <a:xfrm>
          <a:off x="10235316" y="31056981"/>
          <a:ext cx="1360941" cy="95588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100">
              <a:solidFill>
                <a:schemeClr val="tx1"/>
              </a:solidFill>
            </a:rPr>
            <a:t>波形データ</a:t>
          </a:r>
          <a:endParaRPr kumimoji="1" lang="en-US" altLang="ja-JP" sz="1100">
            <a:solidFill>
              <a:schemeClr val="tx1"/>
            </a:solidFill>
          </a:endParaRPr>
        </a:p>
        <a:p>
          <a:pPr algn="l"/>
          <a:r>
            <a:rPr kumimoji="1" lang="ja-JP" altLang="en-US" sz="1100">
              <a:solidFill>
                <a:schemeClr val="tx1"/>
              </a:solidFill>
            </a:rPr>
            <a:t>キャプチャデータ</a:t>
          </a:r>
          <a:endParaRPr kumimoji="1" lang="en-US" altLang="ja-JP" sz="1100">
            <a:solidFill>
              <a:schemeClr val="tx1"/>
            </a:solidFill>
          </a:endParaRPr>
        </a:p>
        <a:p>
          <a:pPr algn="l"/>
          <a:r>
            <a:rPr kumimoji="1" lang="ja-JP" altLang="en-US" sz="1100">
              <a:solidFill>
                <a:schemeClr val="tx1"/>
              </a:solidFill>
            </a:rPr>
            <a:t>制御レジスタ値</a:t>
          </a:r>
          <a:endParaRPr kumimoji="1" lang="en-US" altLang="ja-JP" sz="1100">
            <a:solidFill>
              <a:schemeClr val="tx1"/>
            </a:solidFill>
          </a:endParaRPr>
        </a:p>
      </xdr:txBody>
    </xdr:sp>
    <xdr:clientData/>
  </xdr:twoCellAnchor>
  <xdr:twoCellAnchor>
    <xdr:from>
      <xdr:col>51</xdr:col>
      <xdr:colOff>156122</xdr:colOff>
      <xdr:row>131</xdr:row>
      <xdr:rowOff>175694</xdr:rowOff>
    </xdr:from>
    <xdr:to>
      <xdr:col>54</xdr:col>
      <xdr:colOff>107162</xdr:colOff>
      <xdr:row>131</xdr:row>
      <xdr:rowOff>175694</xdr:rowOff>
    </xdr:to>
    <xdr:cxnSp macro="">
      <xdr:nvCxnSpPr>
        <xdr:cNvPr id="618" name="直線矢印コネクタ 617">
          <a:extLst>
            <a:ext uri="{FF2B5EF4-FFF2-40B4-BE49-F238E27FC236}">
              <a16:creationId xmlns:a16="http://schemas.microsoft.com/office/drawing/2014/main" id="{E7EFFAC4-A9D6-4E54-B6B0-90B03B5E910D}"/>
            </a:ext>
          </a:extLst>
        </xdr:cNvPr>
        <xdr:cNvCxnSpPr/>
      </xdr:nvCxnSpPr>
      <xdr:spPr>
        <a:xfrm>
          <a:off x="14287758" y="31937239"/>
          <a:ext cx="782313"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49</xdr:col>
      <xdr:colOff>268053</xdr:colOff>
      <xdr:row>129</xdr:row>
      <xdr:rowOff>83407</xdr:rowOff>
    </xdr:from>
    <xdr:to>
      <xdr:col>49</xdr:col>
      <xdr:colOff>268053</xdr:colOff>
      <xdr:row>130</xdr:row>
      <xdr:rowOff>150910</xdr:rowOff>
    </xdr:to>
    <xdr:cxnSp macro="">
      <xdr:nvCxnSpPr>
        <xdr:cNvPr id="619" name="直線矢印コネクタ 618">
          <a:extLst>
            <a:ext uri="{FF2B5EF4-FFF2-40B4-BE49-F238E27FC236}">
              <a16:creationId xmlns:a16="http://schemas.microsoft.com/office/drawing/2014/main" id="{F9D39953-A83B-4B05-9D79-495573677389}"/>
            </a:ext>
          </a:extLst>
        </xdr:cNvPr>
        <xdr:cNvCxnSpPr/>
      </xdr:nvCxnSpPr>
      <xdr:spPr>
        <a:xfrm>
          <a:off x="13845508" y="31360043"/>
          <a:ext cx="0" cy="309958"/>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47</xdr:col>
      <xdr:colOff>195108</xdr:colOff>
      <xdr:row>126</xdr:row>
      <xdr:rowOff>207230</xdr:rowOff>
    </xdr:from>
    <xdr:to>
      <xdr:col>52</xdr:col>
      <xdr:colOff>168227</xdr:colOff>
      <xdr:row>129</xdr:row>
      <xdr:rowOff>134270</xdr:rowOff>
    </xdr:to>
    <xdr:sp macro="" textlink="">
      <xdr:nvSpPr>
        <xdr:cNvPr id="620" name="正方形/長方形 619">
          <a:extLst>
            <a:ext uri="{FF2B5EF4-FFF2-40B4-BE49-F238E27FC236}">
              <a16:creationId xmlns:a16="http://schemas.microsoft.com/office/drawing/2014/main" id="{68FE12AC-E58B-4DEF-A752-497B2C7D7CE5}"/>
            </a:ext>
          </a:extLst>
        </xdr:cNvPr>
        <xdr:cNvSpPr/>
      </xdr:nvSpPr>
      <xdr:spPr>
        <a:xfrm>
          <a:off x="13218381" y="30756503"/>
          <a:ext cx="1358573" cy="654403"/>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メモリアクセス</a:t>
          </a:r>
          <a:endParaRPr kumimoji="1" lang="en-US" altLang="ja-JP" sz="1100">
            <a:solidFill>
              <a:schemeClr val="tx1"/>
            </a:solidFill>
          </a:endParaRPr>
        </a:p>
        <a:p>
          <a:pPr algn="ctr"/>
          <a:r>
            <a:rPr kumimoji="1" lang="ja-JP" altLang="en-US" sz="1100">
              <a:solidFill>
                <a:schemeClr val="tx1"/>
              </a:solidFill>
            </a:rPr>
            <a:t>コントローラ</a:t>
          </a:r>
        </a:p>
      </xdr:txBody>
    </xdr:sp>
    <xdr:clientData/>
  </xdr:twoCellAnchor>
  <xdr:twoCellAnchor>
    <xdr:from>
      <xdr:col>36</xdr:col>
      <xdr:colOff>225196</xdr:colOff>
      <xdr:row>125</xdr:row>
      <xdr:rowOff>237964</xdr:rowOff>
    </xdr:from>
    <xdr:to>
      <xdr:col>41</xdr:col>
      <xdr:colOff>39043</xdr:colOff>
      <xdr:row>129</xdr:row>
      <xdr:rowOff>13711</xdr:rowOff>
    </xdr:to>
    <xdr:sp macro="" textlink="">
      <xdr:nvSpPr>
        <xdr:cNvPr id="621" name="正方形/長方形 620">
          <a:extLst>
            <a:ext uri="{FF2B5EF4-FFF2-40B4-BE49-F238E27FC236}">
              <a16:creationId xmlns:a16="http://schemas.microsoft.com/office/drawing/2014/main" id="{F23F0859-5002-4A24-AC2D-582C4CD3938C}"/>
            </a:ext>
          </a:extLst>
        </xdr:cNvPr>
        <xdr:cNvSpPr/>
      </xdr:nvSpPr>
      <xdr:spPr>
        <a:xfrm>
          <a:off x="10200469" y="30544782"/>
          <a:ext cx="1199301" cy="74556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10 Gb </a:t>
          </a:r>
        </a:p>
        <a:p>
          <a:pPr algn="ctr"/>
          <a:r>
            <a:rPr kumimoji="1" lang="en-US" altLang="ja-JP" sz="1100">
              <a:solidFill>
                <a:schemeClr val="tx1"/>
              </a:solidFill>
            </a:rPr>
            <a:t>Ethernet</a:t>
          </a:r>
          <a:endParaRPr kumimoji="1" lang="ja-JP" altLang="en-US" sz="1100">
            <a:solidFill>
              <a:schemeClr val="tx1"/>
            </a:solidFill>
          </a:endParaRPr>
        </a:p>
      </xdr:txBody>
    </xdr:sp>
    <xdr:clientData/>
  </xdr:twoCellAnchor>
  <xdr:twoCellAnchor>
    <xdr:from>
      <xdr:col>36</xdr:col>
      <xdr:colOff>179940</xdr:colOff>
      <xdr:row>128</xdr:row>
      <xdr:rowOff>92404</xdr:rowOff>
    </xdr:from>
    <xdr:to>
      <xdr:col>42</xdr:col>
      <xdr:colOff>68919</xdr:colOff>
      <xdr:row>128</xdr:row>
      <xdr:rowOff>92404</xdr:rowOff>
    </xdr:to>
    <xdr:cxnSp macro="">
      <xdr:nvCxnSpPr>
        <xdr:cNvPr id="622" name="直線矢印コネクタ 621">
          <a:extLst>
            <a:ext uri="{FF2B5EF4-FFF2-40B4-BE49-F238E27FC236}">
              <a16:creationId xmlns:a16="http://schemas.microsoft.com/office/drawing/2014/main" id="{B7AF952F-CE2C-4CB1-B7CC-3E210F30B5E0}"/>
            </a:ext>
          </a:extLst>
        </xdr:cNvPr>
        <xdr:cNvCxnSpPr/>
      </xdr:nvCxnSpPr>
      <xdr:spPr>
        <a:xfrm>
          <a:off x="10155213" y="31126586"/>
          <a:ext cx="1551524"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39</xdr:col>
      <xdr:colOff>258421</xdr:colOff>
      <xdr:row>119</xdr:row>
      <xdr:rowOff>208181</xdr:rowOff>
    </xdr:from>
    <xdr:to>
      <xdr:col>43</xdr:col>
      <xdr:colOff>23264</xdr:colOff>
      <xdr:row>122</xdr:row>
      <xdr:rowOff>7208</xdr:rowOff>
    </xdr:to>
    <xdr:sp macro="" textlink="">
      <xdr:nvSpPr>
        <xdr:cNvPr id="623" name="正方形/長方形 622">
          <a:extLst>
            <a:ext uri="{FF2B5EF4-FFF2-40B4-BE49-F238E27FC236}">
              <a16:creationId xmlns:a16="http://schemas.microsoft.com/office/drawing/2014/main" id="{EA48C9A1-C832-4CC1-8642-F288F03D2632}"/>
            </a:ext>
          </a:extLst>
        </xdr:cNvPr>
        <xdr:cNvSpPr/>
      </xdr:nvSpPr>
      <xdr:spPr>
        <a:xfrm>
          <a:off x="11064966" y="29060272"/>
          <a:ext cx="873207" cy="526391"/>
        </a:xfrm>
        <a:prstGeom prst="rect">
          <a:avLst/>
        </a:prstGeom>
        <a:solidFill>
          <a:schemeClr val="accent6">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PMOD</a:t>
          </a:r>
          <a:r>
            <a:rPr kumimoji="1" lang="en-US" altLang="ja-JP" sz="1100" baseline="0">
              <a:solidFill>
                <a:schemeClr val="tx1"/>
              </a:solidFill>
            </a:rPr>
            <a:t> 1</a:t>
          </a:r>
          <a:endParaRPr kumimoji="1" lang="ja-JP" altLang="en-US" sz="1100">
            <a:solidFill>
              <a:schemeClr val="tx1"/>
            </a:solidFill>
          </a:endParaRPr>
        </a:p>
      </xdr:txBody>
    </xdr:sp>
    <xdr:clientData/>
  </xdr:twoCellAnchor>
  <xdr:twoCellAnchor>
    <xdr:from>
      <xdr:col>64</xdr:col>
      <xdr:colOff>113267</xdr:colOff>
      <xdr:row>152</xdr:row>
      <xdr:rowOff>215297</xdr:rowOff>
    </xdr:from>
    <xdr:to>
      <xdr:col>67</xdr:col>
      <xdr:colOff>155202</xdr:colOff>
      <xdr:row>155</xdr:row>
      <xdr:rowOff>17126</xdr:rowOff>
    </xdr:to>
    <xdr:sp macro="" textlink="">
      <xdr:nvSpPr>
        <xdr:cNvPr id="624" name="正方形/長方形 623">
          <a:extLst>
            <a:ext uri="{FF2B5EF4-FFF2-40B4-BE49-F238E27FC236}">
              <a16:creationId xmlns:a16="http://schemas.microsoft.com/office/drawing/2014/main" id="{11DCC80C-D1DC-4DED-862D-D11252AB7B01}"/>
            </a:ext>
          </a:extLst>
        </xdr:cNvPr>
        <xdr:cNvSpPr/>
      </xdr:nvSpPr>
      <xdr:spPr>
        <a:xfrm>
          <a:off x="18042679" y="35984473"/>
          <a:ext cx="882376" cy="507800"/>
        </a:xfrm>
        <a:prstGeom prst="rect">
          <a:avLst/>
        </a:prstGeom>
        <a:solidFill>
          <a:schemeClr val="accent6">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PMOD</a:t>
          </a:r>
          <a:r>
            <a:rPr kumimoji="1" lang="en-US" altLang="ja-JP" sz="1100" baseline="0">
              <a:solidFill>
                <a:schemeClr val="tx1"/>
              </a:solidFill>
            </a:rPr>
            <a:t> 0</a:t>
          </a:r>
          <a:endParaRPr kumimoji="1" lang="ja-JP" altLang="en-US" sz="1100">
            <a:solidFill>
              <a:schemeClr val="tx1"/>
            </a:solidFill>
          </a:endParaRPr>
        </a:p>
      </xdr:txBody>
    </xdr:sp>
    <xdr:clientData/>
  </xdr:twoCellAnchor>
  <xdr:twoCellAnchor>
    <xdr:from>
      <xdr:col>43</xdr:col>
      <xdr:colOff>171286</xdr:colOff>
      <xdr:row>114</xdr:row>
      <xdr:rowOff>102054</xdr:rowOff>
    </xdr:from>
    <xdr:to>
      <xdr:col>46</xdr:col>
      <xdr:colOff>194412</xdr:colOff>
      <xdr:row>116</xdr:row>
      <xdr:rowOff>185129</xdr:rowOff>
    </xdr:to>
    <xdr:sp macro="" textlink="">
      <xdr:nvSpPr>
        <xdr:cNvPr id="625" name="正方形/長方形 624">
          <a:extLst>
            <a:ext uri="{FF2B5EF4-FFF2-40B4-BE49-F238E27FC236}">
              <a16:creationId xmlns:a16="http://schemas.microsoft.com/office/drawing/2014/main" id="{AC167BDE-EDFB-4193-A1AE-28DD4F1C0ACE}"/>
            </a:ext>
          </a:extLst>
        </xdr:cNvPr>
        <xdr:cNvSpPr/>
      </xdr:nvSpPr>
      <xdr:spPr>
        <a:xfrm>
          <a:off x="12086195" y="27741872"/>
          <a:ext cx="854399" cy="567984"/>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CPU</a:t>
          </a:r>
          <a:endParaRPr kumimoji="1" lang="ja-JP" altLang="en-US" sz="1200">
            <a:solidFill>
              <a:schemeClr val="tx1"/>
            </a:solidFill>
          </a:endParaRPr>
        </a:p>
      </xdr:txBody>
    </xdr:sp>
    <xdr:clientData/>
  </xdr:twoCellAnchor>
  <xdr:twoCellAnchor>
    <xdr:from>
      <xdr:col>35</xdr:col>
      <xdr:colOff>256141</xdr:colOff>
      <xdr:row>115</xdr:row>
      <xdr:rowOff>143591</xdr:rowOff>
    </xdr:from>
    <xdr:to>
      <xdr:col>43</xdr:col>
      <xdr:colOff>171287</xdr:colOff>
      <xdr:row>126</xdr:row>
      <xdr:rowOff>27913</xdr:rowOff>
    </xdr:to>
    <xdr:cxnSp macro="">
      <xdr:nvCxnSpPr>
        <xdr:cNvPr id="626" name="コネクタ: カギ線 625">
          <a:extLst>
            <a:ext uri="{FF2B5EF4-FFF2-40B4-BE49-F238E27FC236}">
              <a16:creationId xmlns:a16="http://schemas.microsoft.com/office/drawing/2014/main" id="{9791E088-D65E-4A01-9DE6-6E416A4D3BCA}"/>
            </a:ext>
          </a:extLst>
        </xdr:cNvPr>
        <xdr:cNvCxnSpPr>
          <a:endCxn id="625" idx="1"/>
        </xdr:cNvCxnSpPr>
      </xdr:nvCxnSpPr>
      <xdr:spPr>
        <a:xfrm rot="5400000" flipH="1" flipV="1">
          <a:off x="9744599" y="28235588"/>
          <a:ext cx="2551322" cy="2131873"/>
        </a:xfrm>
        <a:prstGeom prst="bentConnector2">
          <a:avLst/>
        </a:prstGeom>
        <a:ln>
          <a:solidFill>
            <a:schemeClr val="tx1"/>
          </a:solidFill>
          <a:headEnd type="triangle" w="sm" len="med"/>
          <a:tailEnd type="triangle"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36</xdr:col>
      <xdr:colOff>220493</xdr:colOff>
      <xdr:row>115</xdr:row>
      <xdr:rowOff>149938</xdr:rowOff>
    </xdr:from>
    <xdr:to>
      <xdr:col>41</xdr:col>
      <xdr:colOff>203641</xdr:colOff>
      <xdr:row>118</xdr:row>
      <xdr:rowOff>102872</xdr:rowOff>
    </xdr:to>
    <xdr:sp macro="" textlink="">
      <xdr:nvSpPr>
        <xdr:cNvPr id="627" name="正方形/長方形 626">
          <a:extLst>
            <a:ext uri="{FF2B5EF4-FFF2-40B4-BE49-F238E27FC236}">
              <a16:creationId xmlns:a16="http://schemas.microsoft.com/office/drawing/2014/main" id="{3D482156-95F3-4CE2-BCF4-27E97A1DEBDF}"/>
            </a:ext>
          </a:extLst>
        </xdr:cNvPr>
        <xdr:cNvSpPr/>
      </xdr:nvSpPr>
      <xdr:spPr>
        <a:xfrm>
          <a:off x="10195766" y="28032211"/>
          <a:ext cx="1368602" cy="68029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RF</a:t>
          </a:r>
          <a:r>
            <a:rPr kumimoji="1" lang="en-US" altLang="ja-JP" sz="1100" baseline="0">
              <a:solidFill>
                <a:schemeClr val="tx1"/>
              </a:solidFill>
            </a:rPr>
            <a:t> Data Converter</a:t>
          </a:r>
        </a:p>
        <a:p>
          <a:pPr algn="ctr"/>
          <a:r>
            <a:rPr kumimoji="1" lang="ja-JP" altLang="en-US" sz="1100" baseline="0">
              <a:solidFill>
                <a:schemeClr val="tx1"/>
              </a:solidFill>
            </a:rPr>
            <a:t>制御コマンド</a:t>
          </a:r>
          <a:endParaRPr kumimoji="1" lang="en-US" altLang="ja-JP" sz="1100">
            <a:solidFill>
              <a:schemeClr val="tx1"/>
            </a:solidFill>
          </a:endParaRPr>
        </a:p>
      </xdr:txBody>
    </xdr:sp>
    <xdr:clientData/>
  </xdr:twoCellAnchor>
  <xdr:twoCellAnchor>
    <xdr:from>
      <xdr:col>46</xdr:col>
      <xdr:colOff>190817</xdr:colOff>
      <xdr:row>115</xdr:row>
      <xdr:rowOff>163636</xdr:rowOff>
    </xdr:from>
    <xdr:to>
      <xdr:col>59</xdr:col>
      <xdr:colOff>268673</xdr:colOff>
      <xdr:row>115</xdr:row>
      <xdr:rowOff>163636</xdr:rowOff>
    </xdr:to>
    <xdr:cxnSp macro="">
      <xdr:nvCxnSpPr>
        <xdr:cNvPr id="628" name="直線矢印コネクタ 627">
          <a:extLst>
            <a:ext uri="{FF2B5EF4-FFF2-40B4-BE49-F238E27FC236}">
              <a16:creationId xmlns:a16="http://schemas.microsoft.com/office/drawing/2014/main" id="{081A466B-56CA-4ECF-B590-4AC252201C07}"/>
            </a:ext>
          </a:extLst>
        </xdr:cNvPr>
        <xdr:cNvCxnSpPr/>
      </xdr:nvCxnSpPr>
      <xdr:spPr>
        <a:xfrm>
          <a:off x="12936999" y="28045909"/>
          <a:ext cx="3680038"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46</xdr:col>
      <xdr:colOff>248035</xdr:colOff>
      <xdr:row>122</xdr:row>
      <xdr:rowOff>91274</xdr:rowOff>
    </xdr:from>
    <xdr:to>
      <xdr:col>48</xdr:col>
      <xdr:colOff>10838</xdr:colOff>
      <xdr:row>123</xdr:row>
      <xdr:rowOff>180952</xdr:rowOff>
    </xdr:to>
    <xdr:sp macro="" textlink="">
      <xdr:nvSpPr>
        <xdr:cNvPr id="629" name="正方形/長方形 628">
          <a:extLst>
            <a:ext uri="{FF2B5EF4-FFF2-40B4-BE49-F238E27FC236}">
              <a16:creationId xmlns:a16="http://schemas.microsoft.com/office/drawing/2014/main" id="{327FE5FD-FD77-4ACE-BDC8-1747F9B2432C}"/>
            </a:ext>
          </a:extLst>
        </xdr:cNvPr>
        <xdr:cNvSpPr/>
      </xdr:nvSpPr>
      <xdr:spPr>
        <a:xfrm>
          <a:off x="12994217" y="29670729"/>
          <a:ext cx="316985" cy="33213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ja-JP" altLang="en-US" sz="1100">
            <a:solidFill>
              <a:schemeClr val="tx1"/>
            </a:solidFill>
          </a:endParaRPr>
        </a:p>
      </xdr:txBody>
    </xdr:sp>
    <xdr:clientData/>
  </xdr:twoCellAnchor>
  <xdr:twoCellAnchor>
    <xdr:from>
      <xdr:col>49</xdr:col>
      <xdr:colOff>1591</xdr:colOff>
      <xdr:row>130</xdr:row>
      <xdr:rowOff>151746</xdr:rowOff>
    </xdr:from>
    <xdr:to>
      <xdr:col>52</xdr:col>
      <xdr:colOff>204000</xdr:colOff>
      <xdr:row>132</xdr:row>
      <xdr:rowOff>232428</xdr:rowOff>
    </xdr:to>
    <xdr:sp macro="" textlink="">
      <xdr:nvSpPr>
        <xdr:cNvPr id="630" name="正方形/長方形 629">
          <a:extLst>
            <a:ext uri="{FF2B5EF4-FFF2-40B4-BE49-F238E27FC236}">
              <a16:creationId xmlns:a16="http://schemas.microsoft.com/office/drawing/2014/main" id="{4B90BE58-9CFB-4BA7-A3F9-6B38ADD9DDD8}"/>
            </a:ext>
          </a:extLst>
        </xdr:cNvPr>
        <xdr:cNvSpPr/>
      </xdr:nvSpPr>
      <xdr:spPr>
        <a:xfrm>
          <a:off x="13579046" y="31670837"/>
          <a:ext cx="1033681" cy="565591"/>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200">
              <a:solidFill>
                <a:schemeClr val="tx1"/>
              </a:solidFill>
            </a:rPr>
            <a:t>波形データ</a:t>
          </a:r>
          <a:endParaRPr kumimoji="1" lang="en-US" altLang="ja-JP" sz="1200">
            <a:solidFill>
              <a:schemeClr val="tx1"/>
            </a:solidFill>
          </a:endParaRPr>
        </a:p>
        <a:p>
          <a:pPr algn="ctr"/>
          <a:r>
            <a:rPr kumimoji="1" lang="en-US" altLang="ja-JP" sz="1200">
              <a:solidFill>
                <a:schemeClr val="tx1"/>
              </a:solidFill>
            </a:rPr>
            <a:t>RAM</a:t>
          </a:r>
          <a:endParaRPr kumimoji="1" lang="ja-JP" altLang="en-US" sz="1200">
            <a:solidFill>
              <a:schemeClr val="tx1"/>
            </a:solidFill>
          </a:endParaRPr>
        </a:p>
      </xdr:txBody>
    </xdr:sp>
    <xdr:clientData/>
  </xdr:twoCellAnchor>
  <xdr:twoCellAnchor>
    <xdr:from>
      <xdr:col>55</xdr:col>
      <xdr:colOff>75037</xdr:colOff>
      <xdr:row>137</xdr:row>
      <xdr:rowOff>12224</xdr:rowOff>
    </xdr:from>
    <xdr:to>
      <xdr:col>59</xdr:col>
      <xdr:colOff>57491</xdr:colOff>
      <xdr:row>139</xdr:row>
      <xdr:rowOff>169107</xdr:rowOff>
    </xdr:to>
    <xdr:sp macro="" textlink="">
      <xdr:nvSpPr>
        <xdr:cNvPr id="631" name="正方形/長方形 630">
          <a:extLst>
            <a:ext uri="{FF2B5EF4-FFF2-40B4-BE49-F238E27FC236}">
              <a16:creationId xmlns:a16="http://schemas.microsoft.com/office/drawing/2014/main" id="{0AA23C63-6550-4AE2-A6C5-8AF554493708}"/>
            </a:ext>
          </a:extLst>
        </xdr:cNvPr>
        <xdr:cNvSpPr/>
      </xdr:nvSpPr>
      <xdr:spPr>
        <a:xfrm>
          <a:off x="15483125" y="32251548"/>
          <a:ext cx="1103042" cy="627530"/>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a:t>
          </a:r>
          <a:endParaRPr kumimoji="1" lang="en-US" altLang="ja-JP" sz="1100">
            <a:solidFill>
              <a:schemeClr val="tx1"/>
            </a:solidFill>
          </a:endParaRPr>
        </a:p>
        <a:p>
          <a:pPr algn="ctr"/>
          <a:r>
            <a:rPr kumimoji="1" lang="ja-JP" altLang="en-US" sz="1100">
              <a:solidFill>
                <a:schemeClr val="tx1"/>
              </a:solidFill>
            </a:rPr>
            <a:t>ユニット</a:t>
          </a:r>
          <a:r>
            <a:rPr kumimoji="1" lang="en-US" altLang="ja-JP" sz="1100">
              <a:solidFill>
                <a:schemeClr val="tx1"/>
              </a:solidFill>
            </a:rPr>
            <a:t> 0</a:t>
          </a:r>
          <a:endParaRPr kumimoji="1" lang="ja-JP" altLang="en-US" sz="1100">
            <a:solidFill>
              <a:schemeClr val="tx1"/>
            </a:solidFill>
          </a:endParaRPr>
        </a:p>
      </xdr:txBody>
    </xdr:sp>
    <xdr:clientData/>
  </xdr:twoCellAnchor>
  <xdr:twoCellAnchor>
    <xdr:from>
      <xdr:col>55</xdr:col>
      <xdr:colOff>70555</xdr:colOff>
      <xdr:row>140</xdr:row>
      <xdr:rowOff>52566</xdr:rowOff>
    </xdr:from>
    <xdr:to>
      <xdr:col>59</xdr:col>
      <xdr:colOff>53009</xdr:colOff>
      <xdr:row>142</xdr:row>
      <xdr:rowOff>209450</xdr:rowOff>
    </xdr:to>
    <xdr:sp macro="" textlink="">
      <xdr:nvSpPr>
        <xdr:cNvPr id="632" name="正方形/長方形 631">
          <a:extLst>
            <a:ext uri="{FF2B5EF4-FFF2-40B4-BE49-F238E27FC236}">
              <a16:creationId xmlns:a16="http://schemas.microsoft.com/office/drawing/2014/main" id="{66FA3E2C-D687-4133-B6EF-EDBF556F7AD0}"/>
            </a:ext>
          </a:extLst>
        </xdr:cNvPr>
        <xdr:cNvSpPr/>
      </xdr:nvSpPr>
      <xdr:spPr>
        <a:xfrm>
          <a:off x="15478643" y="32997860"/>
          <a:ext cx="1103042" cy="627531"/>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a:t>
          </a:r>
          <a:endParaRPr kumimoji="1" lang="en-US" altLang="ja-JP" sz="1100">
            <a:solidFill>
              <a:schemeClr val="tx1"/>
            </a:solidFill>
          </a:endParaRPr>
        </a:p>
        <a:p>
          <a:pPr algn="ctr"/>
          <a:r>
            <a:rPr kumimoji="1" lang="ja-JP" altLang="en-US" sz="1100">
              <a:solidFill>
                <a:schemeClr val="tx1"/>
              </a:solidFill>
            </a:rPr>
            <a:t>ユニット</a:t>
          </a:r>
          <a:r>
            <a:rPr kumimoji="1" lang="en-US" altLang="ja-JP" sz="1100">
              <a:solidFill>
                <a:schemeClr val="tx1"/>
              </a:solidFill>
            </a:rPr>
            <a:t> 1</a:t>
          </a:r>
          <a:endParaRPr kumimoji="1" lang="ja-JP" altLang="en-US" sz="1100">
            <a:solidFill>
              <a:schemeClr val="tx1"/>
            </a:solidFill>
          </a:endParaRPr>
        </a:p>
      </xdr:txBody>
    </xdr:sp>
    <xdr:clientData/>
  </xdr:twoCellAnchor>
  <xdr:twoCellAnchor>
    <xdr:from>
      <xdr:col>47</xdr:col>
      <xdr:colOff>23640</xdr:colOff>
      <xdr:row>143</xdr:row>
      <xdr:rowOff>2554</xdr:rowOff>
    </xdr:from>
    <xdr:to>
      <xdr:col>51</xdr:col>
      <xdr:colOff>272668</xdr:colOff>
      <xdr:row>147</xdr:row>
      <xdr:rowOff>45210</xdr:rowOff>
    </xdr:to>
    <xdr:sp macro="" textlink="">
      <xdr:nvSpPr>
        <xdr:cNvPr id="640" name="正方形/長方形 639">
          <a:extLst>
            <a:ext uri="{FF2B5EF4-FFF2-40B4-BE49-F238E27FC236}">
              <a16:creationId xmlns:a16="http://schemas.microsoft.com/office/drawing/2014/main" id="{0E521E68-CAE7-4E33-96F3-CEF81FD568BD}"/>
            </a:ext>
          </a:extLst>
        </xdr:cNvPr>
        <xdr:cNvSpPr/>
      </xdr:nvSpPr>
      <xdr:spPr>
        <a:xfrm>
          <a:off x="13190552" y="33653819"/>
          <a:ext cx="1369616" cy="983950"/>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100">
              <a:solidFill>
                <a:schemeClr val="tx1"/>
              </a:solidFill>
            </a:rPr>
            <a:t>キャプチャ</a:t>
          </a:r>
          <a:r>
            <a:rPr kumimoji="1" lang="en-US" altLang="ja-JP" sz="1100">
              <a:solidFill>
                <a:schemeClr val="tx1"/>
              </a:solidFill>
            </a:rPr>
            <a:t> </a:t>
          </a:r>
        </a:p>
        <a:p>
          <a:pPr algn="ctr"/>
          <a:r>
            <a:rPr kumimoji="1" lang="ja-JP" altLang="en-US" sz="1100">
              <a:solidFill>
                <a:schemeClr val="tx1"/>
              </a:solidFill>
            </a:rPr>
            <a:t>コントローラ</a:t>
          </a:r>
          <a:endParaRPr kumimoji="1" lang="en-US" altLang="ja-JP" sz="1100">
            <a:solidFill>
              <a:schemeClr val="tx1"/>
            </a:solidFill>
          </a:endParaRPr>
        </a:p>
        <a:p>
          <a:pPr algn="ctr"/>
          <a:endParaRPr kumimoji="1" lang="ja-JP" altLang="en-US" sz="1100">
            <a:solidFill>
              <a:schemeClr val="tx1"/>
            </a:solidFill>
          </a:endParaRPr>
        </a:p>
      </xdr:txBody>
    </xdr:sp>
    <xdr:clientData/>
  </xdr:twoCellAnchor>
  <xdr:twoCellAnchor>
    <xdr:from>
      <xdr:col>47</xdr:col>
      <xdr:colOff>117190</xdr:colOff>
      <xdr:row>145</xdr:row>
      <xdr:rowOff>64772</xdr:rowOff>
    </xdr:from>
    <xdr:to>
      <xdr:col>51</xdr:col>
      <xdr:colOff>184074</xdr:colOff>
      <xdr:row>146</xdr:row>
      <xdr:rowOff>159707</xdr:rowOff>
    </xdr:to>
    <xdr:sp macro="" textlink="">
      <xdr:nvSpPr>
        <xdr:cNvPr id="641" name="正方形/長方形 640">
          <a:extLst>
            <a:ext uri="{FF2B5EF4-FFF2-40B4-BE49-F238E27FC236}">
              <a16:creationId xmlns:a16="http://schemas.microsoft.com/office/drawing/2014/main" id="{EA0EED31-19A8-4C93-895A-8704084EEE63}"/>
            </a:ext>
          </a:extLst>
        </xdr:cNvPr>
        <xdr:cNvSpPr/>
      </xdr:nvSpPr>
      <xdr:spPr>
        <a:xfrm>
          <a:off x="13284102" y="34186684"/>
          <a:ext cx="1187472" cy="330258"/>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制御レジスタ</a:t>
          </a:r>
        </a:p>
      </xdr:txBody>
    </xdr:sp>
    <xdr:clientData/>
  </xdr:twoCellAnchor>
  <xdr:twoCellAnchor>
    <xdr:from>
      <xdr:col>46</xdr:col>
      <xdr:colOff>156497</xdr:colOff>
      <xdr:row>145</xdr:row>
      <xdr:rowOff>179182</xdr:rowOff>
    </xdr:from>
    <xdr:to>
      <xdr:col>47</xdr:col>
      <xdr:colOff>193493</xdr:colOff>
      <xdr:row>147</xdr:row>
      <xdr:rowOff>35607</xdr:rowOff>
    </xdr:to>
    <xdr:sp macro="" textlink="">
      <xdr:nvSpPr>
        <xdr:cNvPr id="642" name="正方形/長方形 641">
          <a:extLst>
            <a:ext uri="{FF2B5EF4-FFF2-40B4-BE49-F238E27FC236}">
              <a16:creationId xmlns:a16="http://schemas.microsoft.com/office/drawing/2014/main" id="{EAFD5931-E2EC-4946-8D7D-5671B2456B91}"/>
            </a:ext>
          </a:extLst>
        </xdr:cNvPr>
        <xdr:cNvSpPr/>
      </xdr:nvSpPr>
      <xdr:spPr>
        <a:xfrm>
          <a:off x="13043262" y="34301094"/>
          <a:ext cx="317143" cy="32707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ja-JP" altLang="en-US" sz="1100">
            <a:solidFill>
              <a:schemeClr val="tx1"/>
            </a:solidFill>
          </a:endParaRPr>
        </a:p>
      </xdr:txBody>
    </xdr:sp>
    <xdr:clientData/>
  </xdr:twoCellAnchor>
  <xdr:twoCellAnchor>
    <xdr:from>
      <xdr:col>59</xdr:col>
      <xdr:colOff>63084</xdr:colOff>
      <xdr:row>138</xdr:row>
      <xdr:rowOff>73412</xdr:rowOff>
    </xdr:from>
    <xdr:to>
      <xdr:col>61</xdr:col>
      <xdr:colOff>226420</xdr:colOff>
      <xdr:row>138</xdr:row>
      <xdr:rowOff>73412</xdr:rowOff>
    </xdr:to>
    <xdr:cxnSp macro="">
      <xdr:nvCxnSpPr>
        <xdr:cNvPr id="643" name="直線矢印コネクタ 642">
          <a:extLst>
            <a:ext uri="{FF2B5EF4-FFF2-40B4-BE49-F238E27FC236}">
              <a16:creationId xmlns:a16="http://schemas.microsoft.com/office/drawing/2014/main" id="{446450C4-8ED3-4E26-B552-24453D470883}"/>
            </a:ext>
          </a:extLst>
        </xdr:cNvPr>
        <xdr:cNvCxnSpPr/>
      </xdr:nvCxnSpPr>
      <xdr:spPr>
        <a:xfrm>
          <a:off x="16591760" y="32548059"/>
          <a:ext cx="723631" cy="0"/>
        </a:xfrm>
        <a:prstGeom prst="straightConnector1">
          <a:avLst/>
        </a:prstGeom>
        <a:ln>
          <a:solidFill>
            <a:srgbClr val="00B0F0"/>
          </a:solidFill>
          <a:headEnd type="triangle"/>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59</xdr:col>
      <xdr:colOff>59828</xdr:colOff>
      <xdr:row>141</xdr:row>
      <xdr:rowOff>126422</xdr:rowOff>
    </xdr:from>
    <xdr:to>
      <xdr:col>61</xdr:col>
      <xdr:colOff>223164</xdr:colOff>
      <xdr:row>141</xdr:row>
      <xdr:rowOff>126422</xdr:rowOff>
    </xdr:to>
    <xdr:cxnSp macro="">
      <xdr:nvCxnSpPr>
        <xdr:cNvPr id="644" name="直線矢印コネクタ 643">
          <a:extLst>
            <a:ext uri="{FF2B5EF4-FFF2-40B4-BE49-F238E27FC236}">
              <a16:creationId xmlns:a16="http://schemas.microsoft.com/office/drawing/2014/main" id="{7FFCBD1F-CE0B-4DBE-89B7-C0668015670E}"/>
            </a:ext>
          </a:extLst>
        </xdr:cNvPr>
        <xdr:cNvCxnSpPr/>
      </xdr:nvCxnSpPr>
      <xdr:spPr>
        <a:xfrm>
          <a:off x="16588504" y="33307040"/>
          <a:ext cx="723631" cy="0"/>
        </a:xfrm>
        <a:prstGeom prst="straightConnector1">
          <a:avLst/>
        </a:prstGeom>
        <a:ln>
          <a:solidFill>
            <a:srgbClr val="00B0F0"/>
          </a:solidFill>
          <a:headEnd type="triangle"/>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135234</xdr:colOff>
      <xdr:row>137</xdr:row>
      <xdr:rowOff>171837</xdr:rowOff>
    </xdr:from>
    <xdr:to>
      <xdr:col>55</xdr:col>
      <xdr:colOff>68048</xdr:colOff>
      <xdr:row>137</xdr:row>
      <xdr:rowOff>171837</xdr:rowOff>
    </xdr:to>
    <xdr:cxnSp macro="">
      <xdr:nvCxnSpPr>
        <xdr:cNvPr id="651" name="直線矢印コネクタ 650">
          <a:extLst>
            <a:ext uri="{FF2B5EF4-FFF2-40B4-BE49-F238E27FC236}">
              <a16:creationId xmlns:a16="http://schemas.microsoft.com/office/drawing/2014/main" id="{93BD721B-EC9F-4FE8-B672-457A55222FC7}"/>
            </a:ext>
          </a:extLst>
        </xdr:cNvPr>
        <xdr:cNvCxnSpPr/>
      </xdr:nvCxnSpPr>
      <xdr:spPr>
        <a:xfrm>
          <a:off x="15263175" y="32411161"/>
          <a:ext cx="212961" cy="0"/>
        </a:xfrm>
        <a:prstGeom prst="straightConnector1">
          <a:avLst/>
        </a:prstGeom>
        <a:ln>
          <a:solidFill>
            <a:srgbClr val="00B0F0"/>
          </a:solidFill>
          <a:headEnd type="triangle"/>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132853</xdr:colOff>
      <xdr:row>141</xdr:row>
      <xdr:rowOff>17557</xdr:rowOff>
    </xdr:from>
    <xdr:to>
      <xdr:col>55</xdr:col>
      <xdr:colOff>65667</xdr:colOff>
      <xdr:row>141</xdr:row>
      <xdr:rowOff>17557</xdr:rowOff>
    </xdr:to>
    <xdr:cxnSp macro="">
      <xdr:nvCxnSpPr>
        <xdr:cNvPr id="652" name="直線矢印コネクタ 651">
          <a:extLst>
            <a:ext uri="{FF2B5EF4-FFF2-40B4-BE49-F238E27FC236}">
              <a16:creationId xmlns:a16="http://schemas.microsoft.com/office/drawing/2014/main" id="{3EFB51FB-0C0A-4E4E-9945-3BFFF9C81E7C}"/>
            </a:ext>
          </a:extLst>
        </xdr:cNvPr>
        <xdr:cNvCxnSpPr/>
      </xdr:nvCxnSpPr>
      <xdr:spPr>
        <a:xfrm>
          <a:off x="15260794" y="33198175"/>
          <a:ext cx="212961" cy="0"/>
        </a:xfrm>
        <a:prstGeom prst="straightConnector1">
          <a:avLst/>
        </a:prstGeom>
        <a:ln>
          <a:solidFill>
            <a:srgbClr val="00B0F0"/>
          </a:solidFill>
          <a:headEnd type="triangle"/>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119437</xdr:colOff>
      <xdr:row>137</xdr:row>
      <xdr:rowOff>124283</xdr:rowOff>
    </xdr:from>
    <xdr:to>
      <xdr:col>54</xdr:col>
      <xdr:colOff>119437</xdr:colOff>
      <xdr:row>141</xdr:row>
      <xdr:rowOff>67235</xdr:rowOff>
    </xdr:to>
    <xdr:cxnSp macro="">
      <xdr:nvCxnSpPr>
        <xdr:cNvPr id="659" name="直線コネクタ 658">
          <a:extLst>
            <a:ext uri="{FF2B5EF4-FFF2-40B4-BE49-F238E27FC236}">
              <a16:creationId xmlns:a16="http://schemas.microsoft.com/office/drawing/2014/main" id="{96E1C34A-00DE-4494-B19A-506E11487922}"/>
            </a:ext>
          </a:extLst>
        </xdr:cNvPr>
        <xdr:cNvCxnSpPr/>
      </xdr:nvCxnSpPr>
      <xdr:spPr>
        <a:xfrm>
          <a:off x="15247378" y="32363607"/>
          <a:ext cx="0" cy="884246"/>
        </a:xfrm>
        <a:prstGeom prst="line">
          <a:avLst/>
        </a:prstGeom>
        <a:ln>
          <a:solidFill>
            <a:srgbClr val="00B0F0"/>
          </a:solidFill>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52</xdr:col>
      <xdr:colOff>112295</xdr:colOff>
      <xdr:row>138</xdr:row>
      <xdr:rowOff>152726</xdr:rowOff>
    </xdr:from>
    <xdr:to>
      <xdr:col>54</xdr:col>
      <xdr:colOff>115335</xdr:colOff>
      <xdr:row>138</xdr:row>
      <xdr:rowOff>152726</xdr:rowOff>
    </xdr:to>
    <xdr:cxnSp macro="">
      <xdr:nvCxnSpPr>
        <xdr:cNvPr id="660" name="直線矢印コネクタ 659">
          <a:extLst>
            <a:ext uri="{FF2B5EF4-FFF2-40B4-BE49-F238E27FC236}">
              <a16:creationId xmlns:a16="http://schemas.microsoft.com/office/drawing/2014/main" id="{70DA78E7-0879-4623-8FE6-2761E723EFE1}"/>
            </a:ext>
          </a:extLst>
        </xdr:cNvPr>
        <xdr:cNvCxnSpPr/>
      </xdr:nvCxnSpPr>
      <xdr:spPr>
        <a:xfrm>
          <a:off x="14679942" y="32627373"/>
          <a:ext cx="563334" cy="0"/>
        </a:xfrm>
        <a:prstGeom prst="straightConnector1">
          <a:avLst/>
        </a:prstGeom>
        <a:ln>
          <a:solidFill>
            <a:srgbClr val="00B0F0"/>
          </a:solidFill>
          <a:headEnd type="triangle"/>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48</xdr:col>
      <xdr:colOff>88667</xdr:colOff>
      <xdr:row>129</xdr:row>
      <xdr:rowOff>136353</xdr:rowOff>
    </xdr:from>
    <xdr:to>
      <xdr:col>48</xdr:col>
      <xdr:colOff>88667</xdr:colOff>
      <xdr:row>138</xdr:row>
      <xdr:rowOff>156882</xdr:rowOff>
    </xdr:to>
    <xdr:cxnSp macro="">
      <xdr:nvCxnSpPr>
        <xdr:cNvPr id="661" name="直線矢印コネクタ 660">
          <a:extLst>
            <a:ext uri="{FF2B5EF4-FFF2-40B4-BE49-F238E27FC236}">
              <a16:creationId xmlns:a16="http://schemas.microsoft.com/office/drawing/2014/main" id="{9C99E4F0-F102-40F8-98FE-F53DE9A60736}"/>
            </a:ext>
          </a:extLst>
        </xdr:cNvPr>
        <xdr:cNvCxnSpPr/>
      </xdr:nvCxnSpPr>
      <xdr:spPr>
        <a:xfrm>
          <a:off x="13535726" y="30493088"/>
          <a:ext cx="0" cy="2138441"/>
        </a:xfrm>
        <a:prstGeom prst="straightConnector1">
          <a:avLst/>
        </a:prstGeom>
        <a:ln>
          <a:solidFill>
            <a:srgbClr val="00B0F0"/>
          </a:solidFill>
          <a:headEnd type="triangle"/>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46</xdr:col>
      <xdr:colOff>110743</xdr:colOff>
      <xdr:row>129</xdr:row>
      <xdr:rowOff>965</xdr:rowOff>
    </xdr:from>
    <xdr:to>
      <xdr:col>47</xdr:col>
      <xdr:colOff>190197</xdr:colOff>
      <xdr:row>129</xdr:row>
      <xdr:rowOff>965</xdr:rowOff>
    </xdr:to>
    <xdr:cxnSp macro="">
      <xdr:nvCxnSpPr>
        <xdr:cNvPr id="662" name="直線矢印コネクタ 661">
          <a:extLst>
            <a:ext uri="{FF2B5EF4-FFF2-40B4-BE49-F238E27FC236}">
              <a16:creationId xmlns:a16="http://schemas.microsoft.com/office/drawing/2014/main" id="{34ADA587-E5D9-4D7D-94CB-5D8228077E5A}"/>
            </a:ext>
          </a:extLst>
        </xdr:cNvPr>
        <xdr:cNvCxnSpPr/>
      </xdr:nvCxnSpPr>
      <xdr:spPr>
        <a:xfrm>
          <a:off x="12856925" y="31277601"/>
          <a:ext cx="356545" cy="0"/>
        </a:xfrm>
        <a:prstGeom prst="straightConnector1">
          <a:avLst/>
        </a:prstGeom>
        <a:ln>
          <a:solidFill>
            <a:srgbClr val="00B0F0"/>
          </a:solidFill>
          <a:headEnd type="triangle"/>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44</xdr:col>
      <xdr:colOff>38375</xdr:colOff>
      <xdr:row>130</xdr:row>
      <xdr:rowOff>83438</xdr:rowOff>
    </xdr:from>
    <xdr:to>
      <xdr:col>48</xdr:col>
      <xdr:colOff>121110</xdr:colOff>
      <xdr:row>132</xdr:row>
      <xdr:rowOff>172987</xdr:rowOff>
    </xdr:to>
    <xdr:sp macro="" textlink="">
      <xdr:nvSpPr>
        <xdr:cNvPr id="663" name="正方形/長方形 662">
          <a:extLst>
            <a:ext uri="{FF2B5EF4-FFF2-40B4-BE49-F238E27FC236}">
              <a16:creationId xmlns:a16="http://schemas.microsoft.com/office/drawing/2014/main" id="{1A87CBC8-206B-4104-B1E0-EDB5D93ED284}"/>
            </a:ext>
          </a:extLst>
        </xdr:cNvPr>
        <xdr:cNvSpPr/>
      </xdr:nvSpPr>
      <xdr:spPr>
        <a:xfrm>
          <a:off x="12230375" y="31602529"/>
          <a:ext cx="1191099" cy="57445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a:t>
          </a:r>
          <a:endParaRPr kumimoji="1" lang="en-US" altLang="ja-JP" sz="1100">
            <a:solidFill>
              <a:schemeClr val="tx1"/>
            </a:solidFill>
          </a:endParaRPr>
        </a:p>
        <a:p>
          <a:pPr algn="ctr"/>
          <a:r>
            <a:rPr kumimoji="1" lang="ja-JP" altLang="en-US" sz="1100">
              <a:solidFill>
                <a:schemeClr val="tx1"/>
              </a:solidFill>
            </a:rPr>
            <a:t>データ</a:t>
          </a:r>
        </a:p>
      </xdr:txBody>
    </xdr:sp>
    <xdr:clientData/>
  </xdr:twoCellAnchor>
  <xdr:twoCellAnchor>
    <xdr:from>
      <xdr:col>47</xdr:col>
      <xdr:colOff>14468</xdr:colOff>
      <xdr:row>129</xdr:row>
      <xdr:rowOff>10328</xdr:rowOff>
    </xdr:from>
    <xdr:to>
      <xdr:col>47</xdr:col>
      <xdr:colOff>47038</xdr:colOff>
      <xdr:row>130</xdr:row>
      <xdr:rowOff>156707</xdr:rowOff>
    </xdr:to>
    <xdr:cxnSp macro="">
      <xdr:nvCxnSpPr>
        <xdr:cNvPr id="664" name="直線コネクタ 663">
          <a:extLst>
            <a:ext uri="{FF2B5EF4-FFF2-40B4-BE49-F238E27FC236}">
              <a16:creationId xmlns:a16="http://schemas.microsoft.com/office/drawing/2014/main" id="{D19F3E90-A629-454E-A57D-9BD885DD7C22}"/>
            </a:ext>
          </a:extLst>
        </xdr:cNvPr>
        <xdr:cNvCxnSpPr/>
      </xdr:nvCxnSpPr>
      <xdr:spPr>
        <a:xfrm flipH="1">
          <a:off x="13037741" y="31286964"/>
          <a:ext cx="32570" cy="388834"/>
        </a:xfrm>
        <a:prstGeom prst="line">
          <a:avLst/>
        </a:prstGeom>
        <a:ln>
          <a:solidFill>
            <a:schemeClr val="tx1"/>
          </a:solidFill>
          <a:prstDash val="dash"/>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44</xdr:col>
      <xdr:colOff>107053</xdr:colOff>
      <xdr:row>146</xdr:row>
      <xdr:rowOff>42388</xdr:rowOff>
    </xdr:from>
    <xdr:to>
      <xdr:col>47</xdr:col>
      <xdr:colOff>1460</xdr:colOff>
      <xdr:row>146</xdr:row>
      <xdr:rowOff>42388</xdr:rowOff>
    </xdr:to>
    <xdr:cxnSp macro="">
      <xdr:nvCxnSpPr>
        <xdr:cNvPr id="665" name="直線矢印コネクタ 664">
          <a:extLst>
            <a:ext uri="{FF2B5EF4-FFF2-40B4-BE49-F238E27FC236}">
              <a16:creationId xmlns:a16="http://schemas.microsoft.com/office/drawing/2014/main" id="{7582CE4B-0002-485D-BCE9-34819FDA076A}"/>
            </a:ext>
          </a:extLst>
        </xdr:cNvPr>
        <xdr:cNvCxnSpPr/>
      </xdr:nvCxnSpPr>
      <xdr:spPr>
        <a:xfrm>
          <a:off x="12433524" y="34399623"/>
          <a:ext cx="734848"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53</xdr:col>
      <xdr:colOff>41980</xdr:colOff>
      <xdr:row>142</xdr:row>
      <xdr:rowOff>86745</xdr:rowOff>
    </xdr:from>
    <xdr:to>
      <xdr:col>55</xdr:col>
      <xdr:colOff>44914</xdr:colOff>
      <xdr:row>142</xdr:row>
      <xdr:rowOff>86745</xdr:rowOff>
    </xdr:to>
    <xdr:cxnSp macro="">
      <xdr:nvCxnSpPr>
        <xdr:cNvPr id="666" name="直線矢印コネクタ 665">
          <a:extLst>
            <a:ext uri="{FF2B5EF4-FFF2-40B4-BE49-F238E27FC236}">
              <a16:creationId xmlns:a16="http://schemas.microsoft.com/office/drawing/2014/main" id="{B02FAAEC-7335-4AF0-B33C-A1A86C170569}"/>
            </a:ext>
          </a:extLst>
        </xdr:cNvPr>
        <xdr:cNvCxnSpPr/>
      </xdr:nvCxnSpPr>
      <xdr:spPr>
        <a:xfrm>
          <a:off x="14889774" y="33502686"/>
          <a:ext cx="563228"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53</xdr:col>
      <xdr:colOff>49585</xdr:colOff>
      <xdr:row>139</xdr:row>
      <xdr:rowOff>24405</xdr:rowOff>
    </xdr:from>
    <xdr:to>
      <xdr:col>53</xdr:col>
      <xdr:colOff>49585</xdr:colOff>
      <xdr:row>145</xdr:row>
      <xdr:rowOff>112058</xdr:rowOff>
    </xdr:to>
    <xdr:cxnSp macro="">
      <xdr:nvCxnSpPr>
        <xdr:cNvPr id="667" name="直線コネクタ 666">
          <a:extLst>
            <a:ext uri="{FF2B5EF4-FFF2-40B4-BE49-F238E27FC236}">
              <a16:creationId xmlns:a16="http://schemas.microsoft.com/office/drawing/2014/main" id="{B1A8427A-E2A2-431B-9585-C22829F18047}"/>
            </a:ext>
          </a:extLst>
        </xdr:cNvPr>
        <xdr:cNvCxnSpPr/>
      </xdr:nvCxnSpPr>
      <xdr:spPr>
        <a:xfrm>
          <a:off x="14897379" y="32734376"/>
          <a:ext cx="0" cy="1499594"/>
        </a:xfrm>
        <a:prstGeom prst="line">
          <a:avLst/>
        </a:prstGeom>
        <a:ln>
          <a:solidFill>
            <a:schemeClr val="tx1"/>
          </a:solidFill>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53</xdr:col>
      <xdr:colOff>61030</xdr:colOff>
      <xdr:row>139</xdr:row>
      <xdr:rowOff>60655</xdr:rowOff>
    </xdr:from>
    <xdr:to>
      <xdr:col>55</xdr:col>
      <xdr:colOff>67729</xdr:colOff>
      <xdr:row>139</xdr:row>
      <xdr:rowOff>60655</xdr:rowOff>
    </xdr:to>
    <xdr:cxnSp macro="">
      <xdr:nvCxnSpPr>
        <xdr:cNvPr id="668" name="直線矢印コネクタ 667">
          <a:extLst>
            <a:ext uri="{FF2B5EF4-FFF2-40B4-BE49-F238E27FC236}">
              <a16:creationId xmlns:a16="http://schemas.microsoft.com/office/drawing/2014/main" id="{146DE625-C266-4650-9F86-45787538DAA1}"/>
            </a:ext>
          </a:extLst>
        </xdr:cNvPr>
        <xdr:cNvCxnSpPr/>
      </xdr:nvCxnSpPr>
      <xdr:spPr>
        <a:xfrm>
          <a:off x="14908824" y="32770626"/>
          <a:ext cx="566993"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60</xdr:col>
      <xdr:colOff>186993</xdr:colOff>
      <xdr:row>137</xdr:row>
      <xdr:rowOff>60487</xdr:rowOff>
    </xdr:from>
    <xdr:to>
      <xdr:col>64</xdr:col>
      <xdr:colOff>140293</xdr:colOff>
      <xdr:row>139</xdr:row>
      <xdr:rowOff>117539</xdr:rowOff>
    </xdr:to>
    <xdr:sp macro="" textlink="">
      <xdr:nvSpPr>
        <xdr:cNvPr id="669" name="正方形/長方形 668">
          <a:extLst>
            <a:ext uri="{FF2B5EF4-FFF2-40B4-BE49-F238E27FC236}">
              <a16:creationId xmlns:a16="http://schemas.microsoft.com/office/drawing/2014/main" id="{213BDDEB-33FE-4954-86D8-508998FDFA30}"/>
            </a:ext>
          </a:extLst>
        </xdr:cNvPr>
        <xdr:cNvSpPr/>
      </xdr:nvSpPr>
      <xdr:spPr>
        <a:xfrm>
          <a:off x="16995817" y="32299811"/>
          <a:ext cx="1073888" cy="527699"/>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ADC</a:t>
          </a:r>
        </a:p>
        <a:p>
          <a:pPr algn="ctr"/>
          <a:r>
            <a:rPr kumimoji="1" lang="en-US" altLang="ja-JP" sz="1200">
              <a:solidFill>
                <a:schemeClr val="tx1"/>
              </a:solidFill>
            </a:rPr>
            <a:t>Tile</a:t>
          </a:r>
          <a:r>
            <a:rPr kumimoji="1" lang="en-US" altLang="ja-JP" sz="1200" baseline="0">
              <a:solidFill>
                <a:schemeClr val="tx1"/>
              </a:solidFill>
            </a:rPr>
            <a:t> 224   Ch 0</a:t>
          </a:r>
          <a:endParaRPr kumimoji="1" lang="ja-JP" altLang="en-US" sz="1400">
            <a:solidFill>
              <a:schemeClr val="tx1"/>
            </a:solidFill>
          </a:endParaRPr>
        </a:p>
      </xdr:txBody>
    </xdr:sp>
    <xdr:clientData/>
  </xdr:twoCellAnchor>
  <xdr:twoCellAnchor>
    <xdr:from>
      <xdr:col>60</xdr:col>
      <xdr:colOff>182024</xdr:colOff>
      <xdr:row>140</xdr:row>
      <xdr:rowOff>110707</xdr:rowOff>
    </xdr:from>
    <xdr:to>
      <xdr:col>64</xdr:col>
      <xdr:colOff>135324</xdr:colOff>
      <xdr:row>142</xdr:row>
      <xdr:rowOff>157397</xdr:rowOff>
    </xdr:to>
    <xdr:sp macro="" textlink="">
      <xdr:nvSpPr>
        <xdr:cNvPr id="670" name="正方形/長方形 669">
          <a:extLst>
            <a:ext uri="{FF2B5EF4-FFF2-40B4-BE49-F238E27FC236}">
              <a16:creationId xmlns:a16="http://schemas.microsoft.com/office/drawing/2014/main" id="{E453B66C-B9B2-4CFA-897C-5C6C3FF207E3}"/>
            </a:ext>
          </a:extLst>
        </xdr:cNvPr>
        <xdr:cNvSpPr/>
      </xdr:nvSpPr>
      <xdr:spPr>
        <a:xfrm>
          <a:off x="16990848" y="33056001"/>
          <a:ext cx="1073888" cy="517337"/>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ADC</a:t>
          </a:r>
        </a:p>
        <a:p>
          <a:pPr algn="ctr"/>
          <a:r>
            <a:rPr kumimoji="1" lang="en-US" altLang="ja-JP" sz="1200">
              <a:solidFill>
                <a:schemeClr val="tx1"/>
              </a:solidFill>
            </a:rPr>
            <a:t>Tile</a:t>
          </a:r>
          <a:r>
            <a:rPr kumimoji="1" lang="en-US" altLang="ja-JP" sz="1200" baseline="0">
              <a:solidFill>
                <a:schemeClr val="tx1"/>
              </a:solidFill>
            </a:rPr>
            <a:t> 224   Ch 1</a:t>
          </a:r>
          <a:endParaRPr kumimoji="1" lang="ja-JP" altLang="en-US" sz="1400">
            <a:solidFill>
              <a:schemeClr val="tx1"/>
            </a:solidFill>
          </a:endParaRPr>
        </a:p>
      </xdr:txBody>
    </xdr:sp>
    <xdr:clientData/>
  </xdr:twoCellAnchor>
  <xdr:twoCellAnchor>
    <xdr:from>
      <xdr:col>52</xdr:col>
      <xdr:colOff>1461</xdr:colOff>
      <xdr:row>145</xdr:row>
      <xdr:rowOff>31206</xdr:rowOff>
    </xdr:from>
    <xdr:to>
      <xdr:col>53</xdr:col>
      <xdr:colOff>53592</xdr:colOff>
      <xdr:row>145</xdr:row>
      <xdr:rowOff>31206</xdr:rowOff>
    </xdr:to>
    <xdr:cxnSp macro="">
      <xdr:nvCxnSpPr>
        <xdr:cNvPr id="683" name="直線矢印コネクタ 682">
          <a:extLst>
            <a:ext uri="{FF2B5EF4-FFF2-40B4-BE49-F238E27FC236}">
              <a16:creationId xmlns:a16="http://schemas.microsoft.com/office/drawing/2014/main" id="{72287B8F-5256-4382-99D1-DCF2F8A6E389}"/>
            </a:ext>
          </a:extLst>
        </xdr:cNvPr>
        <xdr:cNvCxnSpPr/>
      </xdr:nvCxnSpPr>
      <xdr:spPr>
        <a:xfrm>
          <a:off x="14569108" y="34153118"/>
          <a:ext cx="332278"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45</xdr:col>
      <xdr:colOff>93109</xdr:colOff>
      <xdr:row>144</xdr:row>
      <xdr:rowOff>140875</xdr:rowOff>
    </xdr:from>
    <xdr:to>
      <xdr:col>47</xdr:col>
      <xdr:colOff>12666</xdr:colOff>
      <xdr:row>144</xdr:row>
      <xdr:rowOff>140875</xdr:rowOff>
    </xdr:to>
    <xdr:cxnSp macro="">
      <xdr:nvCxnSpPr>
        <xdr:cNvPr id="684" name="直線矢印コネクタ 683">
          <a:extLst>
            <a:ext uri="{FF2B5EF4-FFF2-40B4-BE49-F238E27FC236}">
              <a16:creationId xmlns:a16="http://schemas.microsoft.com/office/drawing/2014/main" id="{CC2D0061-2B63-4994-A526-BA0BF0253F4C}"/>
            </a:ext>
          </a:extLst>
        </xdr:cNvPr>
        <xdr:cNvCxnSpPr/>
      </xdr:nvCxnSpPr>
      <xdr:spPr>
        <a:xfrm>
          <a:off x="12699727" y="34027463"/>
          <a:ext cx="479851"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45</xdr:col>
      <xdr:colOff>67816</xdr:colOff>
      <xdr:row>140</xdr:row>
      <xdr:rowOff>136425</xdr:rowOff>
    </xdr:from>
    <xdr:to>
      <xdr:col>50</xdr:col>
      <xdr:colOff>211316</xdr:colOff>
      <xdr:row>142</xdr:row>
      <xdr:rowOff>6378</xdr:rowOff>
    </xdr:to>
    <xdr:sp macro="" textlink="">
      <xdr:nvSpPr>
        <xdr:cNvPr id="685" name="正方形/長方形 684">
          <a:extLst>
            <a:ext uri="{FF2B5EF4-FFF2-40B4-BE49-F238E27FC236}">
              <a16:creationId xmlns:a16="http://schemas.microsoft.com/office/drawing/2014/main" id="{1CA42801-7BAF-4FE9-ACF2-2B21E9EC0B32}"/>
            </a:ext>
          </a:extLst>
        </xdr:cNvPr>
        <xdr:cNvSpPr/>
      </xdr:nvSpPr>
      <xdr:spPr>
        <a:xfrm>
          <a:off x="12674434" y="33081719"/>
          <a:ext cx="1544235" cy="3406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キャプチャ開始信号</a:t>
          </a:r>
        </a:p>
      </xdr:txBody>
    </xdr:sp>
    <xdr:clientData/>
  </xdr:twoCellAnchor>
  <xdr:twoCellAnchor>
    <xdr:from>
      <xdr:col>46</xdr:col>
      <xdr:colOff>12666</xdr:colOff>
      <xdr:row>141</xdr:row>
      <xdr:rowOff>210049</xdr:rowOff>
    </xdr:from>
    <xdr:to>
      <xdr:col>47</xdr:col>
      <xdr:colOff>28246</xdr:colOff>
      <xdr:row>144</xdr:row>
      <xdr:rowOff>146693</xdr:rowOff>
    </xdr:to>
    <xdr:cxnSp macro="">
      <xdr:nvCxnSpPr>
        <xdr:cNvPr id="686" name="直線コネクタ 685">
          <a:extLst>
            <a:ext uri="{FF2B5EF4-FFF2-40B4-BE49-F238E27FC236}">
              <a16:creationId xmlns:a16="http://schemas.microsoft.com/office/drawing/2014/main" id="{4AB9536C-DA64-4DCD-99E7-BC2CE0907D4D}"/>
            </a:ext>
          </a:extLst>
        </xdr:cNvPr>
        <xdr:cNvCxnSpPr/>
      </xdr:nvCxnSpPr>
      <xdr:spPr>
        <a:xfrm flipH="1">
          <a:off x="12899431" y="33390667"/>
          <a:ext cx="295727" cy="642614"/>
        </a:xfrm>
        <a:prstGeom prst="line">
          <a:avLst/>
        </a:prstGeom>
        <a:ln>
          <a:solidFill>
            <a:schemeClr val="tx1"/>
          </a:solidFill>
          <a:prstDash val="dash"/>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47</xdr:col>
      <xdr:colOff>11706</xdr:colOff>
      <xdr:row>137</xdr:row>
      <xdr:rowOff>113984</xdr:rowOff>
    </xdr:from>
    <xdr:to>
      <xdr:col>52</xdr:col>
      <xdr:colOff>123144</xdr:colOff>
      <xdr:row>139</xdr:row>
      <xdr:rowOff>221577</xdr:rowOff>
    </xdr:to>
    <xdr:sp macro="" textlink="">
      <xdr:nvSpPr>
        <xdr:cNvPr id="639" name="正方形/長方形 638">
          <a:extLst>
            <a:ext uri="{FF2B5EF4-FFF2-40B4-BE49-F238E27FC236}">
              <a16:creationId xmlns:a16="http://schemas.microsoft.com/office/drawing/2014/main" id="{3AF99CA1-838C-4750-8C9A-1E703263365A}"/>
            </a:ext>
          </a:extLst>
        </xdr:cNvPr>
        <xdr:cNvSpPr/>
      </xdr:nvSpPr>
      <xdr:spPr>
        <a:xfrm>
          <a:off x="13178618" y="32353308"/>
          <a:ext cx="1512173" cy="578240"/>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200">
              <a:solidFill>
                <a:schemeClr val="tx1"/>
              </a:solidFill>
            </a:rPr>
            <a:t>キャプチャデータ</a:t>
          </a:r>
          <a:endParaRPr kumimoji="1" lang="en-US" altLang="ja-JP" sz="1200">
            <a:solidFill>
              <a:schemeClr val="tx1"/>
            </a:solidFill>
          </a:endParaRPr>
        </a:p>
        <a:p>
          <a:pPr algn="ctr"/>
          <a:r>
            <a:rPr kumimoji="1" lang="en-US" altLang="ja-JP" sz="1200">
              <a:solidFill>
                <a:schemeClr val="tx1"/>
              </a:solidFill>
            </a:rPr>
            <a:t>RAM</a:t>
          </a:r>
          <a:endParaRPr kumimoji="1" lang="ja-JP" altLang="en-US" sz="1200">
            <a:solidFill>
              <a:schemeClr val="tx1"/>
            </a:solidFill>
          </a:endParaRPr>
        </a:p>
      </xdr:txBody>
    </xdr:sp>
    <xdr:clientData/>
  </xdr:twoCellAnchor>
  <xdr:twoCellAnchor editAs="oneCell">
    <xdr:from>
      <xdr:col>31</xdr:col>
      <xdr:colOff>9703</xdr:colOff>
      <xdr:row>120</xdr:row>
      <xdr:rowOff>192310</xdr:rowOff>
    </xdr:from>
    <xdr:to>
      <xdr:col>36</xdr:col>
      <xdr:colOff>86085</xdr:colOff>
      <xdr:row>126</xdr:row>
      <xdr:rowOff>14188</xdr:rowOff>
    </xdr:to>
    <xdr:pic>
      <xdr:nvPicPr>
        <xdr:cNvPr id="498" name="グラフィックス 497" descr="紙 枠線">
          <a:extLst>
            <a:ext uri="{FF2B5EF4-FFF2-40B4-BE49-F238E27FC236}">
              <a16:creationId xmlns:a16="http://schemas.microsoft.com/office/drawing/2014/main" id="{FA0225FC-BE26-4D6B-AB46-FB89BF7BE109}"/>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 uri="{96DAC541-7B7A-43D3-8B79-37D633B846F1}">
              <asvg:svgBlip xmlns:asvg="http://schemas.microsoft.com/office/drawing/2016/SVG/main" r:embed="rId4"/>
            </a:ext>
          </a:extLst>
        </a:blip>
        <a:stretch>
          <a:fillRect/>
        </a:stretch>
      </xdr:blipFill>
      <xdr:spPr>
        <a:xfrm>
          <a:off x="8599521" y="29304174"/>
          <a:ext cx="1461837" cy="127660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2</xdr:col>
      <xdr:colOff>99801</xdr:colOff>
      <xdr:row>2</xdr:row>
      <xdr:rowOff>94130</xdr:rowOff>
    </xdr:from>
    <xdr:to>
      <xdr:col>4</xdr:col>
      <xdr:colOff>254043</xdr:colOff>
      <xdr:row>5</xdr:row>
      <xdr:rowOff>88057</xdr:rowOff>
    </xdr:to>
    <xdr:sp macro="" textlink="">
      <xdr:nvSpPr>
        <xdr:cNvPr id="53" name="正方形/長方形 52">
          <a:extLst>
            <a:ext uri="{FF2B5EF4-FFF2-40B4-BE49-F238E27FC236}">
              <a16:creationId xmlns:a16="http://schemas.microsoft.com/office/drawing/2014/main" id="{706213F7-5317-4DF1-8532-E9491843140A}"/>
            </a:ext>
          </a:extLst>
        </xdr:cNvPr>
        <xdr:cNvSpPr/>
      </xdr:nvSpPr>
      <xdr:spPr>
        <a:xfrm>
          <a:off x="1466919" y="564777"/>
          <a:ext cx="1521359" cy="699898"/>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RESET</a:t>
          </a:r>
          <a:endParaRPr kumimoji="1" lang="ja-JP" altLang="en-US" sz="1400" b="1">
            <a:solidFill>
              <a:schemeClr val="tx1"/>
            </a:solidFill>
          </a:endParaRPr>
        </a:p>
      </xdr:txBody>
    </xdr:sp>
    <xdr:clientData/>
  </xdr:twoCellAnchor>
  <xdr:twoCellAnchor>
    <xdr:from>
      <xdr:col>2</xdr:col>
      <xdr:colOff>127190</xdr:colOff>
      <xdr:row>8</xdr:row>
      <xdr:rowOff>75192</xdr:rowOff>
    </xdr:from>
    <xdr:to>
      <xdr:col>4</xdr:col>
      <xdr:colOff>173331</xdr:colOff>
      <xdr:row>11</xdr:row>
      <xdr:rowOff>94129</xdr:rowOff>
    </xdr:to>
    <xdr:sp macro="" textlink="">
      <xdr:nvSpPr>
        <xdr:cNvPr id="54" name="正方形/長方形 53">
          <a:extLst>
            <a:ext uri="{FF2B5EF4-FFF2-40B4-BE49-F238E27FC236}">
              <a16:creationId xmlns:a16="http://schemas.microsoft.com/office/drawing/2014/main" id="{907DAC81-B032-4068-B7E7-209930A60E80}"/>
            </a:ext>
          </a:extLst>
        </xdr:cNvPr>
        <xdr:cNvSpPr/>
      </xdr:nvSpPr>
      <xdr:spPr>
        <a:xfrm>
          <a:off x="1494308" y="1957780"/>
          <a:ext cx="1413258" cy="724908"/>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IDLE</a:t>
          </a:r>
        </a:p>
      </xdr:txBody>
    </xdr:sp>
    <xdr:clientData/>
  </xdr:twoCellAnchor>
  <xdr:twoCellAnchor>
    <xdr:from>
      <xdr:col>2</xdr:col>
      <xdr:colOff>547326</xdr:colOff>
      <xdr:row>5</xdr:row>
      <xdr:rowOff>82924</xdr:rowOff>
    </xdr:from>
    <xdr:to>
      <xdr:col>2</xdr:col>
      <xdr:colOff>547326</xdr:colOff>
      <xdr:row>8</xdr:row>
      <xdr:rowOff>83850</xdr:rowOff>
    </xdr:to>
    <xdr:cxnSp macro="">
      <xdr:nvCxnSpPr>
        <xdr:cNvPr id="55" name="直線矢印コネクタ 54">
          <a:extLst>
            <a:ext uri="{FF2B5EF4-FFF2-40B4-BE49-F238E27FC236}">
              <a16:creationId xmlns:a16="http://schemas.microsoft.com/office/drawing/2014/main" id="{9E6BE4B1-1C3D-457C-B652-4574A316652E}"/>
            </a:ext>
          </a:extLst>
        </xdr:cNvPr>
        <xdr:cNvCxnSpPr/>
      </xdr:nvCxnSpPr>
      <xdr:spPr>
        <a:xfrm>
          <a:off x="1914444" y="1259542"/>
          <a:ext cx="0" cy="706896"/>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86725</xdr:colOff>
      <xdr:row>15</xdr:row>
      <xdr:rowOff>105331</xdr:rowOff>
    </xdr:from>
    <xdr:to>
      <xdr:col>4</xdr:col>
      <xdr:colOff>177334</xdr:colOff>
      <xdr:row>18</xdr:row>
      <xdr:rowOff>89644</xdr:rowOff>
    </xdr:to>
    <xdr:sp macro="" textlink="">
      <xdr:nvSpPr>
        <xdr:cNvPr id="57" name="正方形/長方形 56">
          <a:extLst>
            <a:ext uri="{FF2B5EF4-FFF2-40B4-BE49-F238E27FC236}">
              <a16:creationId xmlns:a16="http://schemas.microsoft.com/office/drawing/2014/main" id="{0C0E6730-B4AD-4BB6-A436-F8DC7CA4AE8E}"/>
            </a:ext>
          </a:extLst>
        </xdr:cNvPr>
        <xdr:cNvSpPr/>
      </xdr:nvSpPr>
      <xdr:spPr>
        <a:xfrm>
          <a:off x="1453843" y="3635184"/>
          <a:ext cx="1457726" cy="690284"/>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PRELOAD</a:t>
          </a:r>
        </a:p>
      </xdr:txBody>
    </xdr:sp>
    <xdr:clientData/>
  </xdr:twoCellAnchor>
  <xdr:twoCellAnchor>
    <xdr:from>
      <xdr:col>3</xdr:col>
      <xdr:colOff>132028</xdr:colOff>
      <xdr:row>11</xdr:row>
      <xdr:rowOff>94129</xdr:rowOff>
    </xdr:from>
    <xdr:to>
      <xdr:col>3</xdr:col>
      <xdr:colOff>132028</xdr:colOff>
      <xdr:row>15</xdr:row>
      <xdr:rowOff>105331</xdr:rowOff>
    </xdr:to>
    <xdr:cxnSp macro="">
      <xdr:nvCxnSpPr>
        <xdr:cNvPr id="58" name="直線矢印コネクタ 57">
          <a:extLst>
            <a:ext uri="{FF2B5EF4-FFF2-40B4-BE49-F238E27FC236}">
              <a16:creationId xmlns:a16="http://schemas.microsoft.com/office/drawing/2014/main" id="{F90269DC-627F-415F-868E-32BA5E3F9630}"/>
            </a:ext>
          </a:extLst>
        </xdr:cNvPr>
        <xdr:cNvCxnSpPr>
          <a:stCxn id="54" idx="2"/>
          <a:endCxn id="57" idx="0"/>
        </xdr:cNvCxnSpPr>
      </xdr:nvCxnSpPr>
      <xdr:spPr>
        <a:xfrm flipH="1">
          <a:off x="2182704" y="2682688"/>
          <a:ext cx="0" cy="952496"/>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40218</xdr:colOff>
      <xdr:row>15</xdr:row>
      <xdr:rowOff>96485</xdr:rowOff>
    </xdr:from>
    <xdr:to>
      <xdr:col>9</xdr:col>
      <xdr:colOff>196700</xdr:colOff>
      <xdr:row>18</xdr:row>
      <xdr:rowOff>105333</xdr:rowOff>
    </xdr:to>
    <xdr:sp macro="" textlink="">
      <xdr:nvSpPr>
        <xdr:cNvPr id="60" name="正方形/長方形 59">
          <a:extLst>
            <a:ext uri="{FF2B5EF4-FFF2-40B4-BE49-F238E27FC236}">
              <a16:creationId xmlns:a16="http://schemas.microsoft.com/office/drawing/2014/main" id="{DD54CB4C-D981-4BFE-A1C6-591972A98668}"/>
            </a:ext>
          </a:extLst>
        </xdr:cNvPr>
        <xdr:cNvSpPr/>
      </xdr:nvSpPr>
      <xdr:spPr>
        <a:xfrm>
          <a:off x="4825130" y="3626338"/>
          <a:ext cx="1523599" cy="714819"/>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READY</a:t>
          </a:r>
          <a:endParaRPr kumimoji="1" lang="ja-JP" altLang="en-US" sz="1400" b="1">
            <a:solidFill>
              <a:schemeClr val="tx1"/>
            </a:solidFill>
          </a:endParaRPr>
        </a:p>
      </xdr:txBody>
    </xdr:sp>
    <xdr:clientData/>
  </xdr:twoCellAnchor>
  <xdr:twoCellAnchor>
    <xdr:from>
      <xdr:col>4</xdr:col>
      <xdr:colOff>177334</xdr:colOff>
      <xdr:row>16</xdr:row>
      <xdr:rowOff>211789</xdr:rowOff>
    </xdr:from>
    <xdr:to>
      <xdr:col>7</xdr:col>
      <xdr:colOff>40218</xdr:colOff>
      <xdr:row>16</xdr:row>
      <xdr:rowOff>211789</xdr:rowOff>
    </xdr:to>
    <xdr:cxnSp macro="">
      <xdr:nvCxnSpPr>
        <xdr:cNvPr id="62" name="直線矢印コネクタ 61">
          <a:extLst>
            <a:ext uri="{FF2B5EF4-FFF2-40B4-BE49-F238E27FC236}">
              <a16:creationId xmlns:a16="http://schemas.microsoft.com/office/drawing/2014/main" id="{C72ECA53-D8D7-4A66-A884-08FC25BDB911}"/>
            </a:ext>
          </a:extLst>
        </xdr:cNvPr>
        <xdr:cNvCxnSpPr>
          <a:stCxn id="57" idx="3"/>
          <a:endCxn id="60" idx="1"/>
        </xdr:cNvCxnSpPr>
      </xdr:nvCxnSpPr>
      <xdr:spPr>
        <a:xfrm>
          <a:off x="2911569" y="3976965"/>
          <a:ext cx="1913561"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18907</xdr:colOff>
      <xdr:row>8</xdr:row>
      <xdr:rowOff>89036</xdr:rowOff>
    </xdr:from>
    <xdr:to>
      <xdr:col>9</xdr:col>
      <xdr:colOff>212914</xdr:colOff>
      <xdr:row>11</xdr:row>
      <xdr:rowOff>89646</xdr:rowOff>
    </xdr:to>
    <xdr:sp macro="" textlink="">
      <xdr:nvSpPr>
        <xdr:cNvPr id="63" name="正方形/長方形 62">
          <a:extLst>
            <a:ext uri="{FF2B5EF4-FFF2-40B4-BE49-F238E27FC236}">
              <a16:creationId xmlns:a16="http://schemas.microsoft.com/office/drawing/2014/main" id="{ACED9DDD-406E-4539-AE57-698E1711773A}"/>
            </a:ext>
          </a:extLst>
        </xdr:cNvPr>
        <xdr:cNvSpPr/>
      </xdr:nvSpPr>
      <xdr:spPr>
        <a:xfrm>
          <a:off x="4803819" y="1971624"/>
          <a:ext cx="1561124" cy="706581"/>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WAVE GEN</a:t>
          </a:r>
        </a:p>
      </xdr:txBody>
    </xdr:sp>
    <xdr:clientData/>
  </xdr:twoCellAnchor>
  <xdr:twoCellAnchor>
    <xdr:from>
      <xdr:col>5</xdr:col>
      <xdr:colOff>309471</xdr:colOff>
      <xdr:row>3</xdr:row>
      <xdr:rowOff>58841</xdr:rowOff>
    </xdr:from>
    <xdr:to>
      <xdr:col>5</xdr:col>
      <xdr:colOff>634879</xdr:colOff>
      <xdr:row>4</xdr:row>
      <xdr:rowOff>137761</xdr:rowOff>
    </xdr:to>
    <xdr:sp macro="" textlink="">
      <xdr:nvSpPr>
        <xdr:cNvPr id="65" name="楕円 64">
          <a:extLst>
            <a:ext uri="{FF2B5EF4-FFF2-40B4-BE49-F238E27FC236}">
              <a16:creationId xmlns:a16="http://schemas.microsoft.com/office/drawing/2014/main" id="{005AB01A-EDC9-4669-B489-BE5AD0B650FD}"/>
            </a:ext>
          </a:extLst>
        </xdr:cNvPr>
        <xdr:cNvSpPr/>
      </xdr:nvSpPr>
      <xdr:spPr>
        <a:xfrm>
          <a:off x="3727265" y="764812"/>
          <a:ext cx="325408" cy="314243"/>
        </a:xfrm>
        <a:prstGeom prst="ellipse">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xdr:col>
      <xdr:colOff>254043</xdr:colOff>
      <xdr:row>3</xdr:row>
      <xdr:rowOff>208756</xdr:rowOff>
    </xdr:from>
    <xdr:to>
      <xdr:col>5</xdr:col>
      <xdr:colOff>450477</xdr:colOff>
      <xdr:row>3</xdr:row>
      <xdr:rowOff>208756</xdr:rowOff>
    </xdr:to>
    <xdr:cxnSp macro="">
      <xdr:nvCxnSpPr>
        <xdr:cNvPr id="66" name="直線矢印コネクタ 65">
          <a:extLst>
            <a:ext uri="{FF2B5EF4-FFF2-40B4-BE49-F238E27FC236}">
              <a16:creationId xmlns:a16="http://schemas.microsoft.com/office/drawing/2014/main" id="{CEB81617-5E88-4BB9-9A32-B8C442A7EC78}"/>
            </a:ext>
          </a:extLst>
        </xdr:cNvPr>
        <xdr:cNvCxnSpPr>
          <a:endCxn id="53" idx="3"/>
        </xdr:cNvCxnSpPr>
      </xdr:nvCxnSpPr>
      <xdr:spPr>
        <a:xfrm flipH="1">
          <a:off x="2988278" y="914727"/>
          <a:ext cx="879993"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117031</xdr:colOff>
      <xdr:row>11</xdr:row>
      <xdr:rowOff>89646</xdr:rowOff>
    </xdr:from>
    <xdr:to>
      <xdr:col>8</xdr:col>
      <xdr:colOff>117031</xdr:colOff>
      <xdr:row>15</xdr:row>
      <xdr:rowOff>96485</xdr:rowOff>
    </xdr:to>
    <xdr:cxnSp macro="">
      <xdr:nvCxnSpPr>
        <xdr:cNvPr id="71" name="直線矢印コネクタ 70">
          <a:extLst>
            <a:ext uri="{FF2B5EF4-FFF2-40B4-BE49-F238E27FC236}">
              <a16:creationId xmlns:a16="http://schemas.microsoft.com/office/drawing/2014/main" id="{6CE33915-50AF-4456-95F7-4B88F8E45649}"/>
            </a:ext>
          </a:extLst>
        </xdr:cNvPr>
        <xdr:cNvCxnSpPr>
          <a:stCxn id="60" idx="0"/>
          <a:endCxn id="63" idx="2"/>
        </xdr:cNvCxnSpPr>
      </xdr:nvCxnSpPr>
      <xdr:spPr>
        <a:xfrm flipH="1" flipV="1">
          <a:off x="5585502" y="2678205"/>
          <a:ext cx="0" cy="948133"/>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173331</xdr:colOff>
      <xdr:row>9</xdr:row>
      <xdr:rowOff>198961</xdr:rowOff>
    </xdr:from>
    <xdr:to>
      <xdr:col>7</xdr:col>
      <xdr:colOff>18907</xdr:colOff>
      <xdr:row>9</xdr:row>
      <xdr:rowOff>203642</xdr:rowOff>
    </xdr:to>
    <xdr:cxnSp macro="">
      <xdr:nvCxnSpPr>
        <xdr:cNvPr id="72" name="直線矢印コネクタ 71">
          <a:extLst>
            <a:ext uri="{FF2B5EF4-FFF2-40B4-BE49-F238E27FC236}">
              <a16:creationId xmlns:a16="http://schemas.microsoft.com/office/drawing/2014/main" id="{69E84CDD-1713-4FE5-8610-2CF9230371D2}"/>
            </a:ext>
          </a:extLst>
        </xdr:cNvPr>
        <xdr:cNvCxnSpPr>
          <a:stCxn id="63" idx="1"/>
          <a:endCxn id="54" idx="3"/>
        </xdr:cNvCxnSpPr>
      </xdr:nvCxnSpPr>
      <xdr:spPr>
        <a:xfrm flipH="1" flipV="1">
          <a:off x="2907566" y="2316873"/>
          <a:ext cx="1896253" cy="4681"/>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415858</xdr:colOff>
      <xdr:row>5</xdr:row>
      <xdr:rowOff>82924</xdr:rowOff>
    </xdr:from>
    <xdr:to>
      <xdr:col>3</xdr:col>
      <xdr:colOff>415858</xdr:colOff>
      <xdr:row>8</xdr:row>
      <xdr:rowOff>78442</xdr:rowOff>
    </xdr:to>
    <xdr:cxnSp macro="">
      <xdr:nvCxnSpPr>
        <xdr:cNvPr id="76" name="直線矢印コネクタ 75">
          <a:extLst>
            <a:ext uri="{FF2B5EF4-FFF2-40B4-BE49-F238E27FC236}">
              <a16:creationId xmlns:a16="http://schemas.microsoft.com/office/drawing/2014/main" id="{66711048-7AF7-420E-A932-BE86E0D51AC1}"/>
            </a:ext>
          </a:extLst>
        </xdr:cNvPr>
        <xdr:cNvCxnSpPr/>
      </xdr:nvCxnSpPr>
      <xdr:spPr>
        <a:xfrm flipV="1">
          <a:off x="2466534" y="1259542"/>
          <a:ext cx="0" cy="701488"/>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182935</xdr:colOff>
      <xdr:row>6</xdr:row>
      <xdr:rowOff>7209</xdr:rowOff>
    </xdr:from>
    <xdr:to>
      <xdr:col>2</xdr:col>
      <xdr:colOff>645177</xdr:colOff>
      <xdr:row>7</xdr:row>
      <xdr:rowOff>179779</xdr:rowOff>
    </xdr:to>
    <xdr:sp macro="" textlink="">
      <xdr:nvSpPr>
        <xdr:cNvPr id="121" name="正方形/長方形 120">
          <a:extLst>
            <a:ext uri="{FF2B5EF4-FFF2-40B4-BE49-F238E27FC236}">
              <a16:creationId xmlns:a16="http://schemas.microsoft.com/office/drawing/2014/main" id="{C5A6496D-A222-4A2A-8DEA-11A65D240757}"/>
            </a:ext>
          </a:extLst>
        </xdr:cNvPr>
        <xdr:cNvSpPr/>
      </xdr:nvSpPr>
      <xdr:spPr>
        <a:xfrm>
          <a:off x="866494" y="1419150"/>
          <a:ext cx="1145801" cy="40789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リセット完了</a:t>
          </a:r>
        </a:p>
      </xdr:txBody>
    </xdr:sp>
    <xdr:clientData/>
  </xdr:twoCellAnchor>
  <xdr:twoCellAnchor>
    <xdr:from>
      <xdr:col>3</xdr:col>
      <xdr:colOff>223277</xdr:colOff>
      <xdr:row>6</xdr:row>
      <xdr:rowOff>47550</xdr:rowOff>
    </xdr:from>
    <xdr:to>
      <xdr:col>5</xdr:col>
      <xdr:colOff>275945</xdr:colOff>
      <xdr:row>7</xdr:row>
      <xdr:rowOff>213397</xdr:rowOff>
    </xdr:to>
    <xdr:sp macro="" textlink="">
      <xdr:nvSpPr>
        <xdr:cNvPr id="122" name="正方形/長方形 121">
          <a:extLst>
            <a:ext uri="{FF2B5EF4-FFF2-40B4-BE49-F238E27FC236}">
              <a16:creationId xmlns:a16="http://schemas.microsoft.com/office/drawing/2014/main" id="{5BC420A4-EF85-4159-9DEF-E1AF04508BD1}"/>
            </a:ext>
          </a:extLst>
        </xdr:cNvPr>
        <xdr:cNvSpPr/>
      </xdr:nvSpPr>
      <xdr:spPr>
        <a:xfrm>
          <a:off x="2273953" y="1459491"/>
          <a:ext cx="1419786" cy="40117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リセット開始</a:t>
          </a:r>
        </a:p>
      </xdr:txBody>
    </xdr:sp>
    <xdr:clientData/>
  </xdr:twoCellAnchor>
  <xdr:twoCellAnchor>
    <xdr:from>
      <xdr:col>1</xdr:col>
      <xdr:colOff>231121</xdr:colOff>
      <xdr:row>12</xdr:row>
      <xdr:rowOff>25135</xdr:rowOff>
    </xdr:from>
    <xdr:to>
      <xdr:col>3</xdr:col>
      <xdr:colOff>170049</xdr:colOff>
      <xdr:row>14</xdr:row>
      <xdr:rowOff>150155</xdr:rowOff>
    </xdr:to>
    <xdr:sp macro="" textlink="">
      <xdr:nvSpPr>
        <xdr:cNvPr id="124" name="正方形/長方形 123">
          <a:extLst>
            <a:ext uri="{FF2B5EF4-FFF2-40B4-BE49-F238E27FC236}">
              <a16:creationId xmlns:a16="http://schemas.microsoft.com/office/drawing/2014/main" id="{00901320-2F2B-42E2-9990-4BF05DF0F1AB}"/>
            </a:ext>
          </a:extLst>
        </xdr:cNvPr>
        <xdr:cNvSpPr/>
      </xdr:nvSpPr>
      <xdr:spPr>
        <a:xfrm>
          <a:off x="914680" y="2849017"/>
          <a:ext cx="1306045" cy="59566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ユーザ定義波形</a:t>
          </a:r>
          <a:endParaRPr kumimoji="1" lang="en-US" altLang="ja-JP" sz="1100">
            <a:solidFill>
              <a:schemeClr val="tx1"/>
            </a:solidFill>
          </a:endParaRPr>
        </a:p>
        <a:p>
          <a:pPr algn="ctr"/>
          <a:r>
            <a:rPr kumimoji="1" lang="ja-JP" altLang="en-US" sz="1100">
              <a:solidFill>
                <a:schemeClr val="tx1"/>
              </a:solidFill>
            </a:rPr>
            <a:t>出力準備開始</a:t>
          </a:r>
        </a:p>
      </xdr:txBody>
    </xdr:sp>
    <xdr:clientData/>
  </xdr:twoCellAnchor>
  <xdr:twoCellAnchor>
    <xdr:from>
      <xdr:col>4</xdr:col>
      <xdr:colOff>464204</xdr:colOff>
      <xdr:row>16</xdr:row>
      <xdr:rowOff>188741</xdr:rowOff>
    </xdr:from>
    <xdr:to>
      <xdr:col>6</xdr:col>
      <xdr:colOff>393888</xdr:colOff>
      <xdr:row>19</xdr:row>
      <xdr:rowOff>105332</xdr:rowOff>
    </xdr:to>
    <xdr:sp macro="" textlink="">
      <xdr:nvSpPr>
        <xdr:cNvPr id="125" name="正方形/長方形 124">
          <a:extLst>
            <a:ext uri="{FF2B5EF4-FFF2-40B4-BE49-F238E27FC236}">
              <a16:creationId xmlns:a16="http://schemas.microsoft.com/office/drawing/2014/main" id="{C3D7D37E-7707-4F12-8410-4DBA74D107EE}"/>
            </a:ext>
          </a:extLst>
        </xdr:cNvPr>
        <xdr:cNvSpPr/>
      </xdr:nvSpPr>
      <xdr:spPr>
        <a:xfrm>
          <a:off x="3198439" y="3953917"/>
          <a:ext cx="1296802" cy="62256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ユーザ定義波形</a:t>
          </a:r>
          <a:endParaRPr kumimoji="1" lang="en-US" altLang="ja-JP" sz="1100">
            <a:solidFill>
              <a:schemeClr val="tx1"/>
            </a:solidFill>
          </a:endParaRPr>
        </a:p>
        <a:p>
          <a:pPr algn="ctr"/>
          <a:r>
            <a:rPr kumimoji="1" lang="ja-JP" altLang="en-US" sz="1100">
              <a:solidFill>
                <a:schemeClr val="tx1"/>
              </a:solidFill>
            </a:rPr>
            <a:t>出力準備完了</a:t>
          </a:r>
        </a:p>
      </xdr:txBody>
    </xdr:sp>
    <xdr:clientData/>
  </xdr:twoCellAnchor>
  <xdr:twoCellAnchor>
    <xdr:from>
      <xdr:col>8</xdr:col>
      <xdr:colOff>157164</xdr:colOff>
      <xdr:row>12</xdr:row>
      <xdr:rowOff>56510</xdr:rowOff>
    </xdr:from>
    <xdr:to>
      <xdr:col>10</xdr:col>
      <xdr:colOff>93852</xdr:colOff>
      <xdr:row>14</xdr:row>
      <xdr:rowOff>172566</xdr:rowOff>
    </xdr:to>
    <xdr:sp macro="" textlink="">
      <xdr:nvSpPr>
        <xdr:cNvPr id="126" name="正方形/長方形 125">
          <a:extLst>
            <a:ext uri="{FF2B5EF4-FFF2-40B4-BE49-F238E27FC236}">
              <a16:creationId xmlns:a16="http://schemas.microsoft.com/office/drawing/2014/main" id="{3EE9EE9D-5E70-491C-B8CB-4DAFEA973991}"/>
            </a:ext>
          </a:extLst>
        </xdr:cNvPr>
        <xdr:cNvSpPr/>
      </xdr:nvSpPr>
      <xdr:spPr>
        <a:xfrm>
          <a:off x="5625635" y="2880392"/>
          <a:ext cx="1303805" cy="58670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ユーザ定義波形</a:t>
          </a:r>
          <a:endParaRPr kumimoji="1" lang="en-US" altLang="ja-JP" sz="1100">
            <a:solidFill>
              <a:schemeClr val="tx1"/>
            </a:solidFill>
          </a:endParaRPr>
        </a:p>
        <a:p>
          <a:pPr algn="ctr"/>
          <a:r>
            <a:rPr kumimoji="1" lang="ja-JP" altLang="en-US" sz="1100">
              <a:solidFill>
                <a:schemeClr val="tx1"/>
              </a:solidFill>
            </a:rPr>
            <a:t>出力開始</a:t>
          </a:r>
        </a:p>
      </xdr:txBody>
    </xdr:sp>
    <xdr:clientData/>
  </xdr:twoCellAnchor>
  <xdr:twoCellAnchor>
    <xdr:from>
      <xdr:col>4</xdr:col>
      <xdr:colOff>444034</xdr:colOff>
      <xdr:row>10</xdr:row>
      <xdr:rowOff>485</xdr:rowOff>
    </xdr:from>
    <xdr:to>
      <xdr:col>6</xdr:col>
      <xdr:colOff>373718</xdr:colOff>
      <xdr:row>12</xdr:row>
      <xdr:rowOff>123264</xdr:rowOff>
    </xdr:to>
    <xdr:sp macro="" textlink="">
      <xdr:nvSpPr>
        <xdr:cNvPr id="127" name="正方形/長方形 126">
          <a:extLst>
            <a:ext uri="{FF2B5EF4-FFF2-40B4-BE49-F238E27FC236}">
              <a16:creationId xmlns:a16="http://schemas.microsoft.com/office/drawing/2014/main" id="{C33D612D-3B56-462F-A09D-A88D0CDBB5DF}"/>
            </a:ext>
          </a:extLst>
        </xdr:cNvPr>
        <xdr:cNvSpPr/>
      </xdr:nvSpPr>
      <xdr:spPr>
        <a:xfrm>
          <a:off x="3178269" y="2353720"/>
          <a:ext cx="1296802" cy="59342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ユーザ定義波形</a:t>
          </a:r>
          <a:endParaRPr kumimoji="1" lang="en-US" altLang="ja-JP" sz="1100">
            <a:solidFill>
              <a:schemeClr val="tx1"/>
            </a:solidFill>
          </a:endParaRPr>
        </a:p>
        <a:p>
          <a:pPr algn="ctr"/>
          <a:r>
            <a:rPr kumimoji="1" lang="ja-JP" altLang="en-US" sz="1100">
              <a:solidFill>
                <a:schemeClr val="tx1"/>
              </a:solidFill>
            </a:rPr>
            <a:t>出力完了</a:t>
          </a:r>
        </a:p>
      </xdr:txBody>
    </xdr:sp>
    <xdr:clientData/>
  </xdr:twoCellAnchor>
  <xdr:twoCellAnchor>
    <xdr:from>
      <xdr:col>7</xdr:col>
      <xdr:colOff>123962</xdr:colOff>
      <xdr:row>2</xdr:row>
      <xdr:rowOff>91838</xdr:rowOff>
    </xdr:from>
    <xdr:to>
      <xdr:col>9</xdr:col>
      <xdr:colOff>159124</xdr:colOff>
      <xdr:row>5</xdr:row>
      <xdr:rowOff>85725</xdr:rowOff>
    </xdr:to>
    <xdr:sp macro="" textlink="">
      <xdr:nvSpPr>
        <xdr:cNvPr id="28" name="正方形/長方形 27">
          <a:extLst>
            <a:ext uri="{FF2B5EF4-FFF2-40B4-BE49-F238E27FC236}">
              <a16:creationId xmlns:a16="http://schemas.microsoft.com/office/drawing/2014/main" id="{B2091822-6E45-4642-97C5-F0B281EBB768}"/>
            </a:ext>
          </a:extLst>
        </xdr:cNvPr>
        <xdr:cNvSpPr/>
      </xdr:nvSpPr>
      <xdr:spPr>
        <a:xfrm>
          <a:off x="4908874" y="562485"/>
          <a:ext cx="1402279" cy="699858"/>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PAUSE</a:t>
          </a:r>
        </a:p>
      </xdr:txBody>
    </xdr:sp>
    <xdr:clientData/>
  </xdr:twoCellAnchor>
  <xdr:twoCellAnchor>
    <xdr:from>
      <xdr:col>7</xdr:col>
      <xdr:colOff>554330</xdr:colOff>
      <xdr:row>5</xdr:row>
      <xdr:rowOff>88527</xdr:rowOff>
    </xdr:from>
    <xdr:to>
      <xdr:col>7</xdr:col>
      <xdr:colOff>554330</xdr:colOff>
      <xdr:row>8</xdr:row>
      <xdr:rowOff>89453</xdr:rowOff>
    </xdr:to>
    <xdr:cxnSp macro="">
      <xdr:nvCxnSpPr>
        <xdr:cNvPr id="32" name="直線矢印コネクタ 31">
          <a:extLst>
            <a:ext uri="{FF2B5EF4-FFF2-40B4-BE49-F238E27FC236}">
              <a16:creationId xmlns:a16="http://schemas.microsoft.com/office/drawing/2014/main" id="{DEC673D8-6509-4BAF-B902-6B5481B333FE}"/>
            </a:ext>
          </a:extLst>
        </xdr:cNvPr>
        <xdr:cNvCxnSpPr/>
      </xdr:nvCxnSpPr>
      <xdr:spPr>
        <a:xfrm>
          <a:off x="5339242" y="1265145"/>
          <a:ext cx="0" cy="706896"/>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422861</xdr:colOff>
      <xdr:row>5</xdr:row>
      <xdr:rowOff>88527</xdr:rowOff>
    </xdr:from>
    <xdr:to>
      <xdr:col>8</xdr:col>
      <xdr:colOff>422861</xdr:colOff>
      <xdr:row>8</xdr:row>
      <xdr:rowOff>84045</xdr:rowOff>
    </xdr:to>
    <xdr:cxnSp macro="">
      <xdr:nvCxnSpPr>
        <xdr:cNvPr id="33" name="直線矢印コネクタ 32">
          <a:extLst>
            <a:ext uri="{FF2B5EF4-FFF2-40B4-BE49-F238E27FC236}">
              <a16:creationId xmlns:a16="http://schemas.microsoft.com/office/drawing/2014/main" id="{D03BFAAD-2E33-4031-AC9C-9CB0F7A12977}"/>
            </a:ext>
          </a:extLst>
        </xdr:cNvPr>
        <xdr:cNvCxnSpPr/>
      </xdr:nvCxnSpPr>
      <xdr:spPr>
        <a:xfrm flipV="1">
          <a:off x="5891332" y="1265145"/>
          <a:ext cx="0" cy="701488"/>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472888</xdr:colOff>
      <xdr:row>6</xdr:row>
      <xdr:rowOff>35224</xdr:rowOff>
    </xdr:from>
    <xdr:to>
      <xdr:col>7</xdr:col>
      <xdr:colOff>652181</xdr:colOff>
      <xdr:row>7</xdr:row>
      <xdr:rowOff>207794</xdr:rowOff>
    </xdr:to>
    <xdr:sp macro="" textlink="">
      <xdr:nvSpPr>
        <xdr:cNvPr id="34" name="正方形/長方形 33">
          <a:extLst>
            <a:ext uri="{FF2B5EF4-FFF2-40B4-BE49-F238E27FC236}">
              <a16:creationId xmlns:a16="http://schemas.microsoft.com/office/drawing/2014/main" id="{8763A032-6138-443B-96C9-355C3B15193C}"/>
            </a:ext>
          </a:extLst>
        </xdr:cNvPr>
        <xdr:cNvSpPr/>
      </xdr:nvSpPr>
      <xdr:spPr>
        <a:xfrm>
          <a:off x="4574241" y="1447165"/>
          <a:ext cx="862852" cy="40789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再開</a:t>
          </a:r>
        </a:p>
      </xdr:txBody>
    </xdr:sp>
    <xdr:clientData/>
  </xdr:twoCellAnchor>
  <xdr:twoCellAnchor>
    <xdr:from>
      <xdr:col>8</xdr:col>
      <xdr:colOff>230279</xdr:colOff>
      <xdr:row>6</xdr:row>
      <xdr:rowOff>24018</xdr:rowOff>
    </xdr:from>
    <xdr:to>
      <xdr:col>10</xdr:col>
      <xdr:colOff>2241</xdr:colOff>
      <xdr:row>7</xdr:row>
      <xdr:rowOff>196588</xdr:rowOff>
    </xdr:to>
    <xdr:sp macro="" textlink="">
      <xdr:nvSpPr>
        <xdr:cNvPr id="35" name="正方形/長方形 34">
          <a:extLst>
            <a:ext uri="{FF2B5EF4-FFF2-40B4-BE49-F238E27FC236}">
              <a16:creationId xmlns:a16="http://schemas.microsoft.com/office/drawing/2014/main" id="{2215DA03-CB5B-49A2-AC9E-7CA5BC6C22AD}"/>
            </a:ext>
          </a:extLst>
        </xdr:cNvPr>
        <xdr:cNvSpPr/>
      </xdr:nvSpPr>
      <xdr:spPr>
        <a:xfrm>
          <a:off x="5698750" y="1435959"/>
          <a:ext cx="1139079" cy="40789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一時停止</a:t>
          </a:r>
        </a:p>
      </xdr:txBody>
    </xdr:sp>
    <xdr:clientData/>
  </xdr:twoCellAnchor>
  <xdr:twoCellAnchor>
    <xdr:from>
      <xdr:col>1</xdr:col>
      <xdr:colOff>633201</xdr:colOff>
      <xdr:row>23</xdr:row>
      <xdr:rowOff>33059</xdr:rowOff>
    </xdr:from>
    <xdr:to>
      <xdr:col>4</xdr:col>
      <xdr:colOff>103884</xdr:colOff>
      <xdr:row>26</xdr:row>
      <xdr:rowOff>26986</xdr:rowOff>
    </xdr:to>
    <xdr:sp macro="" textlink="">
      <xdr:nvSpPr>
        <xdr:cNvPr id="108" name="正方形/長方形 107">
          <a:extLst>
            <a:ext uri="{FF2B5EF4-FFF2-40B4-BE49-F238E27FC236}">
              <a16:creationId xmlns:a16="http://schemas.microsoft.com/office/drawing/2014/main" id="{DD96B4CC-1BA9-4005-A24D-E67075E3B0F1}"/>
            </a:ext>
          </a:extLst>
        </xdr:cNvPr>
        <xdr:cNvSpPr/>
      </xdr:nvSpPr>
      <xdr:spPr>
        <a:xfrm>
          <a:off x="1319001" y="5509934"/>
          <a:ext cx="1528083" cy="708302"/>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RESET</a:t>
          </a:r>
          <a:endParaRPr kumimoji="1" lang="ja-JP" altLang="en-US" sz="1400" b="1">
            <a:solidFill>
              <a:schemeClr val="tx1"/>
            </a:solidFill>
          </a:endParaRPr>
        </a:p>
      </xdr:txBody>
    </xdr:sp>
    <xdr:clientData/>
  </xdr:twoCellAnchor>
  <xdr:twoCellAnchor>
    <xdr:from>
      <xdr:col>1</xdr:col>
      <xdr:colOff>660590</xdr:colOff>
      <xdr:row>29</xdr:row>
      <xdr:rowOff>137946</xdr:rowOff>
    </xdr:from>
    <xdr:to>
      <xdr:col>4</xdr:col>
      <xdr:colOff>23172</xdr:colOff>
      <xdr:row>32</xdr:row>
      <xdr:rowOff>156883</xdr:rowOff>
    </xdr:to>
    <xdr:sp macro="" textlink="">
      <xdr:nvSpPr>
        <xdr:cNvPr id="109" name="正方形/長方形 108">
          <a:extLst>
            <a:ext uri="{FF2B5EF4-FFF2-40B4-BE49-F238E27FC236}">
              <a16:creationId xmlns:a16="http://schemas.microsoft.com/office/drawing/2014/main" id="{938C1AF7-7724-4218-B3E4-802601F6C5A4}"/>
            </a:ext>
          </a:extLst>
        </xdr:cNvPr>
        <xdr:cNvSpPr/>
      </xdr:nvSpPr>
      <xdr:spPr>
        <a:xfrm>
          <a:off x="1344149" y="6962328"/>
          <a:ext cx="1413258" cy="724908"/>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IDLE</a:t>
          </a:r>
        </a:p>
      </xdr:txBody>
    </xdr:sp>
    <xdr:clientData/>
  </xdr:twoCellAnchor>
  <xdr:twoCellAnchor>
    <xdr:from>
      <xdr:col>2</xdr:col>
      <xdr:colOff>473367</xdr:colOff>
      <xdr:row>26</xdr:row>
      <xdr:rowOff>38100</xdr:rowOff>
    </xdr:from>
    <xdr:to>
      <xdr:col>2</xdr:col>
      <xdr:colOff>473367</xdr:colOff>
      <xdr:row>29</xdr:row>
      <xdr:rowOff>146604</xdr:rowOff>
    </xdr:to>
    <xdr:cxnSp macro="">
      <xdr:nvCxnSpPr>
        <xdr:cNvPr id="110" name="直線矢印コネクタ 109">
          <a:extLst>
            <a:ext uri="{FF2B5EF4-FFF2-40B4-BE49-F238E27FC236}">
              <a16:creationId xmlns:a16="http://schemas.microsoft.com/office/drawing/2014/main" id="{CE3723C0-0B2C-4716-82CA-AC45B2B57A9F}"/>
            </a:ext>
          </a:extLst>
        </xdr:cNvPr>
        <xdr:cNvCxnSpPr/>
      </xdr:nvCxnSpPr>
      <xdr:spPr>
        <a:xfrm>
          <a:off x="1844967" y="6229350"/>
          <a:ext cx="0" cy="822879"/>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259382</xdr:colOff>
      <xdr:row>34</xdr:row>
      <xdr:rowOff>132743</xdr:rowOff>
    </xdr:from>
    <xdr:to>
      <xdr:col>6</xdr:col>
      <xdr:colOff>349990</xdr:colOff>
      <xdr:row>37</xdr:row>
      <xdr:rowOff>117056</xdr:rowOff>
    </xdr:to>
    <xdr:sp macro="" textlink="">
      <xdr:nvSpPr>
        <xdr:cNvPr id="111" name="正方形/長方形 110">
          <a:extLst>
            <a:ext uri="{FF2B5EF4-FFF2-40B4-BE49-F238E27FC236}">
              <a16:creationId xmlns:a16="http://schemas.microsoft.com/office/drawing/2014/main" id="{A4B28F96-AB40-44A0-8491-9B52D74E52F1}"/>
            </a:ext>
          </a:extLst>
        </xdr:cNvPr>
        <xdr:cNvSpPr/>
      </xdr:nvSpPr>
      <xdr:spPr>
        <a:xfrm>
          <a:off x="3014305" y="8353551"/>
          <a:ext cx="1468070" cy="709678"/>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PREPARE</a:t>
          </a:r>
        </a:p>
      </xdr:txBody>
    </xdr:sp>
    <xdr:clientData/>
  </xdr:twoCellAnchor>
  <xdr:twoCellAnchor>
    <xdr:from>
      <xdr:col>6</xdr:col>
      <xdr:colOff>552307</xdr:colOff>
      <xdr:row>29</xdr:row>
      <xdr:rowOff>151790</xdr:rowOff>
    </xdr:from>
    <xdr:to>
      <xdr:col>9</xdr:col>
      <xdr:colOff>62755</xdr:colOff>
      <xdr:row>32</xdr:row>
      <xdr:rowOff>152400</xdr:rowOff>
    </xdr:to>
    <xdr:sp macro="" textlink="">
      <xdr:nvSpPr>
        <xdr:cNvPr id="115" name="正方形/長方形 114">
          <a:extLst>
            <a:ext uri="{FF2B5EF4-FFF2-40B4-BE49-F238E27FC236}">
              <a16:creationId xmlns:a16="http://schemas.microsoft.com/office/drawing/2014/main" id="{7E001AFD-ADE4-4436-A78B-4B6C65569A88}"/>
            </a:ext>
          </a:extLst>
        </xdr:cNvPr>
        <xdr:cNvSpPr/>
      </xdr:nvSpPr>
      <xdr:spPr>
        <a:xfrm>
          <a:off x="4653660" y="6976172"/>
          <a:ext cx="1561124" cy="706581"/>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ACTIVE</a:t>
          </a:r>
        </a:p>
      </xdr:txBody>
    </xdr:sp>
    <xdr:clientData/>
  </xdr:twoCellAnchor>
  <xdr:twoCellAnchor>
    <xdr:from>
      <xdr:col>5</xdr:col>
      <xdr:colOff>159312</xdr:colOff>
      <xdr:row>23</xdr:row>
      <xdr:rowOff>235895</xdr:rowOff>
    </xdr:from>
    <xdr:to>
      <xdr:col>5</xdr:col>
      <xdr:colOff>484720</xdr:colOff>
      <xdr:row>25</xdr:row>
      <xdr:rowOff>76690</xdr:rowOff>
    </xdr:to>
    <xdr:sp macro="" textlink="">
      <xdr:nvSpPr>
        <xdr:cNvPr id="116" name="楕円 115">
          <a:extLst>
            <a:ext uri="{FF2B5EF4-FFF2-40B4-BE49-F238E27FC236}">
              <a16:creationId xmlns:a16="http://schemas.microsoft.com/office/drawing/2014/main" id="{DEF4FC52-50CD-486E-9A5E-6DD2C63440F3}"/>
            </a:ext>
          </a:extLst>
        </xdr:cNvPr>
        <xdr:cNvSpPr/>
      </xdr:nvSpPr>
      <xdr:spPr>
        <a:xfrm>
          <a:off x="3588312" y="5712770"/>
          <a:ext cx="325408" cy="317045"/>
        </a:xfrm>
        <a:prstGeom prst="ellipse">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xdr:col>
      <xdr:colOff>103884</xdr:colOff>
      <xdr:row>24</xdr:row>
      <xdr:rowOff>150487</xdr:rowOff>
    </xdr:from>
    <xdr:to>
      <xdr:col>5</xdr:col>
      <xdr:colOff>300318</xdr:colOff>
      <xdr:row>24</xdr:row>
      <xdr:rowOff>150487</xdr:rowOff>
    </xdr:to>
    <xdr:cxnSp macro="">
      <xdr:nvCxnSpPr>
        <xdr:cNvPr id="117" name="直線矢印コネクタ 116">
          <a:extLst>
            <a:ext uri="{FF2B5EF4-FFF2-40B4-BE49-F238E27FC236}">
              <a16:creationId xmlns:a16="http://schemas.microsoft.com/office/drawing/2014/main" id="{9CB9FF4C-A5DF-4B93-AED4-E650F1456E24}"/>
            </a:ext>
          </a:extLst>
        </xdr:cNvPr>
        <xdr:cNvCxnSpPr>
          <a:endCxn id="108" idx="3"/>
        </xdr:cNvCxnSpPr>
      </xdr:nvCxnSpPr>
      <xdr:spPr>
        <a:xfrm flipH="1">
          <a:off x="2847084" y="5865487"/>
          <a:ext cx="882234"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23172</xdr:colOff>
      <xdr:row>31</xdr:row>
      <xdr:rowOff>26392</xdr:rowOff>
    </xdr:from>
    <xdr:to>
      <xdr:col>6</xdr:col>
      <xdr:colOff>552307</xdr:colOff>
      <xdr:row>31</xdr:row>
      <xdr:rowOff>31073</xdr:rowOff>
    </xdr:to>
    <xdr:cxnSp macro="">
      <xdr:nvCxnSpPr>
        <xdr:cNvPr id="119" name="直線矢印コネクタ 118">
          <a:extLst>
            <a:ext uri="{FF2B5EF4-FFF2-40B4-BE49-F238E27FC236}">
              <a16:creationId xmlns:a16="http://schemas.microsoft.com/office/drawing/2014/main" id="{ACE567AE-90D2-43FC-875C-F5524AD5F26E}"/>
            </a:ext>
          </a:extLst>
        </xdr:cNvPr>
        <xdr:cNvCxnSpPr>
          <a:stCxn id="115" idx="1"/>
          <a:endCxn id="109" idx="3"/>
        </xdr:cNvCxnSpPr>
      </xdr:nvCxnSpPr>
      <xdr:spPr>
        <a:xfrm flipH="1" flipV="1">
          <a:off x="2757407" y="7321421"/>
          <a:ext cx="1896253" cy="4681"/>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189499</xdr:colOff>
      <xdr:row>26</xdr:row>
      <xdr:rowOff>28575</xdr:rowOff>
    </xdr:from>
    <xdr:to>
      <xdr:col>3</xdr:col>
      <xdr:colOff>189499</xdr:colOff>
      <xdr:row>29</xdr:row>
      <xdr:rowOff>141196</xdr:rowOff>
    </xdr:to>
    <xdr:cxnSp macro="">
      <xdr:nvCxnSpPr>
        <xdr:cNvPr id="120" name="直線矢印コネクタ 119">
          <a:extLst>
            <a:ext uri="{FF2B5EF4-FFF2-40B4-BE49-F238E27FC236}">
              <a16:creationId xmlns:a16="http://schemas.microsoft.com/office/drawing/2014/main" id="{A93D79B8-DA25-40D5-A446-CC629335EF9A}"/>
            </a:ext>
          </a:extLst>
        </xdr:cNvPr>
        <xdr:cNvCxnSpPr/>
      </xdr:nvCxnSpPr>
      <xdr:spPr>
        <a:xfrm flipV="1">
          <a:off x="2246899" y="6219825"/>
          <a:ext cx="0" cy="826996"/>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108976</xdr:colOff>
      <xdr:row>26</xdr:row>
      <xdr:rowOff>203313</xdr:rowOff>
    </xdr:from>
    <xdr:to>
      <xdr:col>2</xdr:col>
      <xdr:colOff>571218</xdr:colOff>
      <xdr:row>28</xdr:row>
      <xdr:rowOff>140560</xdr:rowOff>
    </xdr:to>
    <xdr:sp macro="" textlink="">
      <xdr:nvSpPr>
        <xdr:cNvPr id="123" name="正方形/長方形 122">
          <a:extLst>
            <a:ext uri="{FF2B5EF4-FFF2-40B4-BE49-F238E27FC236}">
              <a16:creationId xmlns:a16="http://schemas.microsoft.com/office/drawing/2014/main" id="{17172290-E8DD-4487-84BF-E91CFFCC80DA}"/>
            </a:ext>
          </a:extLst>
        </xdr:cNvPr>
        <xdr:cNvSpPr/>
      </xdr:nvSpPr>
      <xdr:spPr>
        <a:xfrm>
          <a:off x="794776" y="6394563"/>
          <a:ext cx="1148042" cy="41349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リセット完了</a:t>
          </a:r>
        </a:p>
      </xdr:txBody>
    </xdr:sp>
    <xdr:clientData/>
  </xdr:twoCellAnchor>
  <xdr:twoCellAnchor>
    <xdr:from>
      <xdr:col>2</xdr:col>
      <xdr:colOff>682718</xdr:colOff>
      <xdr:row>26</xdr:row>
      <xdr:rowOff>205554</xdr:rowOff>
    </xdr:from>
    <xdr:to>
      <xdr:col>5</xdr:col>
      <xdr:colOff>49586</xdr:colOff>
      <xdr:row>28</xdr:row>
      <xdr:rowOff>136078</xdr:rowOff>
    </xdr:to>
    <xdr:sp macro="" textlink="">
      <xdr:nvSpPr>
        <xdr:cNvPr id="128" name="正方形/長方形 127">
          <a:extLst>
            <a:ext uri="{FF2B5EF4-FFF2-40B4-BE49-F238E27FC236}">
              <a16:creationId xmlns:a16="http://schemas.microsoft.com/office/drawing/2014/main" id="{FA0E3CFB-24FD-4E77-AFB4-655D771A1DEA}"/>
            </a:ext>
          </a:extLst>
        </xdr:cNvPr>
        <xdr:cNvSpPr/>
      </xdr:nvSpPr>
      <xdr:spPr>
        <a:xfrm>
          <a:off x="2054318" y="6396804"/>
          <a:ext cx="1424268" cy="40677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リセット開始</a:t>
          </a:r>
        </a:p>
      </xdr:txBody>
    </xdr:sp>
    <xdr:clientData/>
  </xdr:twoCellAnchor>
  <xdr:twoCellAnchor>
    <xdr:from>
      <xdr:col>1</xdr:col>
      <xdr:colOff>278423</xdr:colOff>
      <xdr:row>33</xdr:row>
      <xdr:rowOff>99956</xdr:rowOff>
    </xdr:from>
    <xdr:to>
      <xdr:col>3</xdr:col>
      <xdr:colOff>82320</xdr:colOff>
      <xdr:row>35</xdr:row>
      <xdr:rowOff>231441</xdr:rowOff>
    </xdr:to>
    <xdr:sp macro="" textlink="">
      <xdr:nvSpPr>
        <xdr:cNvPr id="129" name="正方形/長方形 128">
          <a:extLst>
            <a:ext uri="{FF2B5EF4-FFF2-40B4-BE49-F238E27FC236}">
              <a16:creationId xmlns:a16="http://schemas.microsoft.com/office/drawing/2014/main" id="{4B23050F-830F-41C5-8A06-1053A2C5F1FD}"/>
            </a:ext>
          </a:extLst>
        </xdr:cNvPr>
        <xdr:cNvSpPr/>
      </xdr:nvSpPr>
      <xdr:spPr>
        <a:xfrm>
          <a:off x="967154" y="8078975"/>
          <a:ext cx="1181358" cy="61506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ディジタル値</a:t>
          </a:r>
          <a:endParaRPr kumimoji="1" lang="en-US" altLang="ja-JP" sz="1100">
            <a:solidFill>
              <a:schemeClr val="tx1"/>
            </a:solidFill>
          </a:endParaRPr>
        </a:p>
        <a:p>
          <a:pPr algn="ctr"/>
          <a:r>
            <a:rPr kumimoji="1" lang="ja-JP" altLang="en-US" sz="1100">
              <a:solidFill>
                <a:schemeClr val="tx1"/>
              </a:solidFill>
            </a:rPr>
            <a:t>出力開始</a:t>
          </a:r>
        </a:p>
      </xdr:txBody>
    </xdr:sp>
    <xdr:clientData/>
  </xdr:twoCellAnchor>
  <xdr:twoCellAnchor>
    <xdr:from>
      <xdr:col>7</xdr:col>
      <xdr:colOff>525838</xdr:colOff>
      <xdr:row>33</xdr:row>
      <xdr:rowOff>117108</xdr:rowOff>
    </xdr:from>
    <xdr:to>
      <xdr:col>9</xdr:col>
      <xdr:colOff>462526</xdr:colOff>
      <xdr:row>36</xdr:row>
      <xdr:rowOff>1504</xdr:rowOff>
    </xdr:to>
    <xdr:sp macro="" textlink="">
      <xdr:nvSpPr>
        <xdr:cNvPr id="131" name="正方形/長方形 130">
          <a:extLst>
            <a:ext uri="{FF2B5EF4-FFF2-40B4-BE49-F238E27FC236}">
              <a16:creationId xmlns:a16="http://schemas.microsoft.com/office/drawing/2014/main" id="{7926E5EB-A239-4FB6-B93C-66E619E33F07}"/>
            </a:ext>
          </a:extLst>
        </xdr:cNvPr>
        <xdr:cNvSpPr/>
      </xdr:nvSpPr>
      <xdr:spPr>
        <a:xfrm>
          <a:off x="5326438" y="7975233"/>
          <a:ext cx="1308288" cy="59877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ディジタル値</a:t>
          </a:r>
          <a:endParaRPr kumimoji="1" lang="en-US" altLang="ja-JP" sz="1100">
            <a:solidFill>
              <a:schemeClr val="tx1"/>
            </a:solidFill>
          </a:endParaRPr>
        </a:p>
        <a:p>
          <a:pPr algn="ctr"/>
          <a:r>
            <a:rPr kumimoji="1" lang="ja-JP" altLang="en-US" sz="1100">
              <a:solidFill>
                <a:schemeClr val="tx1"/>
              </a:solidFill>
            </a:rPr>
            <a:t>出力準備完了</a:t>
          </a:r>
          <a:endParaRPr kumimoji="1" lang="en-US" altLang="ja-JP" sz="1100">
            <a:solidFill>
              <a:schemeClr val="tx1"/>
            </a:solidFill>
          </a:endParaRPr>
        </a:p>
      </xdr:txBody>
    </xdr:sp>
    <xdr:clientData/>
  </xdr:twoCellAnchor>
  <xdr:twoCellAnchor>
    <xdr:from>
      <xdr:col>4</xdr:col>
      <xdr:colOff>293875</xdr:colOff>
      <xdr:row>31</xdr:row>
      <xdr:rowOff>4623</xdr:rowOff>
    </xdr:from>
    <xdr:to>
      <xdr:col>6</xdr:col>
      <xdr:colOff>223559</xdr:colOff>
      <xdr:row>33</xdr:row>
      <xdr:rowOff>127402</xdr:rowOff>
    </xdr:to>
    <xdr:sp macro="" textlink="">
      <xdr:nvSpPr>
        <xdr:cNvPr id="132" name="正方形/長方形 131">
          <a:extLst>
            <a:ext uri="{FF2B5EF4-FFF2-40B4-BE49-F238E27FC236}">
              <a16:creationId xmlns:a16="http://schemas.microsoft.com/office/drawing/2014/main" id="{EBF91BD6-5409-4AA8-865B-2A4A69986249}"/>
            </a:ext>
          </a:extLst>
        </xdr:cNvPr>
        <xdr:cNvSpPr/>
      </xdr:nvSpPr>
      <xdr:spPr>
        <a:xfrm>
          <a:off x="3048798" y="7500065"/>
          <a:ext cx="1307146" cy="60635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ディジタル値</a:t>
          </a:r>
        </a:p>
        <a:p>
          <a:pPr algn="ctr"/>
          <a:r>
            <a:rPr kumimoji="1" lang="ja-JP" altLang="en-US" sz="1100">
              <a:solidFill>
                <a:schemeClr val="tx1"/>
              </a:solidFill>
            </a:rPr>
            <a:t>出力完了</a:t>
          </a:r>
        </a:p>
      </xdr:txBody>
    </xdr:sp>
    <xdr:clientData/>
  </xdr:twoCellAnchor>
  <xdr:twoCellAnchor>
    <xdr:from>
      <xdr:col>6</xdr:col>
      <xdr:colOff>657362</xdr:colOff>
      <xdr:row>23</xdr:row>
      <xdr:rowOff>30767</xdr:rowOff>
    </xdr:from>
    <xdr:to>
      <xdr:col>9</xdr:col>
      <xdr:colOff>8965</xdr:colOff>
      <xdr:row>26</xdr:row>
      <xdr:rowOff>24654</xdr:rowOff>
    </xdr:to>
    <xdr:sp macro="" textlink="">
      <xdr:nvSpPr>
        <xdr:cNvPr id="133" name="正方形/長方形 132">
          <a:extLst>
            <a:ext uri="{FF2B5EF4-FFF2-40B4-BE49-F238E27FC236}">
              <a16:creationId xmlns:a16="http://schemas.microsoft.com/office/drawing/2014/main" id="{82DA16CE-AC42-491E-B20B-B6F49CF637C6}"/>
            </a:ext>
          </a:extLst>
        </xdr:cNvPr>
        <xdr:cNvSpPr/>
      </xdr:nvSpPr>
      <xdr:spPr>
        <a:xfrm>
          <a:off x="4772162" y="5507642"/>
          <a:ext cx="1409003" cy="708262"/>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PAUSE</a:t>
          </a:r>
        </a:p>
      </xdr:txBody>
    </xdr:sp>
    <xdr:clientData/>
  </xdr:twoCellAnchor>
  <xdr:twoCellAnchor>
    <xdr:from>
      <xdr:col>7</xdr:col>
      <xdr:colOff>470846</xdr:colOff>
      <xdr:row>26</xdr:row>
      <xdr:rowOff>38100</xdr:rowOff>
    </xdr:from>
    <xdr:to>
      <xdr:col>7</xdr:col>
      <xdr:colOff>470846</xdr:colOff>
      <xdr:row>29</xdr:row>
      <xdr:rowOff>152207</xdr:rowOff>
    </xdr:to>
    <xdr:cxnSp macro="">
      <xdr:nvCxnSpPr>
        <xdr:cNvPr id="134" name="直線矢印コネクタ 133">
          <a:extLst>
            <a:ext uri="{FF2B5EF4-FFF2-40B4-BE49-F238E27FC236}">
              <a16:creationId xmlns:a16="http://schemas.microsoft.com/office/drawing/2014/main" id="{81ED4BE8-9AB4-4D89-B385-D4EF40CD6174}"/>
            </a:ext>
          </a:extLst>
        </xdr:cNvPr>
        <xdr:cNvCxnSpPr/>
      </xdr:nvCxnSpPr>
      <xdr:spPr>
        <a:xfrm>
          <a:off x="5271446" y="6229350"/>
          <a:ext cx="0" cy="828482"/>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186977</xdr:colOff>
      <xdr:row>26</xdr:row>
      <xdr:rowOff>28575</xdr:rowOff>
    </xdr:from>
    <xdr:to>
      <xdr:col>8</xdr:col>
      <xdr:colOff>186977</xdr:colOff>
      <xdr:row>29</xdr:row>
      <xdr:rowOff>146799</xdr:rowOff>
    </xdr:to>
    <xdr:cxnSp macro="">
      <xdr:nvCxnSpPr>
        <xdr:cNvPr id="135" name="直線矢印コネクタ 134">
          <a:extLst>
            <a:ext uri="{FF2B5EF4-FFF2-40B4-BE49-F238E27FC236}">
              <a16:creationId xmlns:a16="http://schemas.microsoft.com/office/drawing/2014/main" id="{A6B350AE-DFE2-4EFA-8DC6-792C828444C8}"/>
            </a:ext>
          </a:extLst>
        </xdr:cNvPr>
        <xdr:cNvCxnSpPr/>
      </xdr:nvCxnSpPr>
      <xdr:spPr>
        <a:xfrm flipV="1">
          <a:off x="5673377" y="6219825"/>
          <a:ext cx="0" cy="832599"/>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389404</xdr:colOff>
      <xdr:row>27</xdr:row>
      <xdr:rowOff>40826</xdr:rowOff>
    </xdr:from>
    <xdr:to>
      <xdr:col>7</xdr:col>
      <xdr:colOff>568697</xdr:colOff>
      <xdr:row>28</xdr:row>
      <xdr:rowOff>206672</xdr:rowOff>
    </xdr:to>
    <xdr:sp macro="" textlink="">
      <xdr:nvSpPr>
        <xdr:cNvPr id="137" name="正方形/長方形 136">
          <a:extLst>
            <a:ext uri="{FF2B5EF4-FFF2-40B4-BE49-F238E27FC236}">
              <a16:creationId xmlns:a16="http://schemas.microsoft.com/office/drawing/2014/main" id="{5B29F33D-F50B-4FAA-BE90-C39084F5D579}"/>
            </a:ext>
          </a:extLst>
        </xdr:cNvPr>
        <xdr:cNvSpPr/>
      </xdr:nvSpPr>
      <xdr:spPr>
        <a:xfrm>
          <a:off x="4471547" y="6653897"/>
          <a:ext cx="859650" cy="4107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再開</a:t>
          </a:r>
        </a:p>
      </xdr:txBody>
    </xdr:sp>
    <xdr:clientData/>
  </xdr:twoCellAnchor>
  <xdr:twoCellAnchor>
    <xdr:from>
      <xdr:col>7</xdr:col>
      <xdr:colOff>680195</xdr:colOff>
      <xdr:row>27</xdr:row>
      <xdr:rowOff>29620</xdr:rowOff>
    </xdr:from>
    <xdr:to>
      <xdr:col>9</xdr:col>
      <xdr:colOff>449916</xdr:colOff>
      <xdr:row>28</xdr:row>
      <xdr:rowOff>204991</xdr:rowOff>
    </xdr:to>
    <xdr:sp macro="" textlink="">
      <xdr:nvSpPr>
        <xdr:cNvPr id="139" name="正方形/長方形 138">
          <a:extLst>
            <a:ext uri="{FF2B5EF4-FFF2-40B4-BE49-F238E27FC236}">
              <a16:creationId xmlns:a16="http://schemas.microsoft.com/office/drawing/2014/main" id="{6F32ED47-8A9C-473D-9F4D-415457114969}"/>
            </a:ext>
          </a:extLst>
        </xdr:cNvPr>
        <xdr:cNvSpPr/>
      </xdr:nvSpPr>
      <xdr:spPr>
        <a:xfrm>
          <a:off x="5442695" y="6642691"/>
          <a:ext cx="1130435" cy="4203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一時停止</a:t>
          </a:r>
        </a:p>
      </xdr:txBody>
    </xdr:sp>
    <xdr:clientData/>
  </xdr:twoCellAnchor>
  <xdr:twoCellAnchor>
    <xdr:from>
      <xdr:col>2</xdr:col>
      <xdr:colOff>686245</xdr:colOff>
      <xdr:row>32</xdr:row>
      <xdr:rowOff>156883</xdr:rowOff>
    </xdr:from>
    <xdr:to>
      <xdr:col>4</xdr:col>
      <xdr:colOff>259381</xdr:colOff>
      <xdr:row>36</xdr:row>
      <xdr:rowOff>4005</xdr:rowOff>
    </xdr:to>
    <xdr:cxnSp macro="">
      <xdr:nvCxnSpPr>
        <xdr:cNvPr id="142" name="コネクタ: カギ線 141">
          <a:extLst>
            <a:ext uri="{FF2B5EF4-FFF2-40B4-BE49-F238E27FC236}">
              <a16:creationId xmlns:a16="http://schemas.microsoft.com/office/drawing/2014/main" id="{805E4412-4F9A-D39A-FED2-4599850A37D7}"/>
            </a:ext>
          </a:extLst>
        </xdr:cNvPr>
        <xdr:cNvCxnSpPr>
          <a:stCxn id="109" idx="2"/>
          <a:endCxn id="111" idx="1"/>
        </xdr:cNvCxnSpPr>
      </xdr:nvCxnSpPr>
      <xdr:spPr>
        <a:xfrm rot="16200000" flipH="1">
          <a:off x="2131868" y="7825953"/>
          <a:ext cx="814276" cy="950597"/>
        </a:xfrm>
        <a:prstGeom prst="bentConnector2">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349990</xdr:colOff>
      <xdr:row>32</xdr:row>
      <xdr:rowOff>152400</xdr:rowOff>
    </xdr:from>
    <xdr:to>
      <xdr:col>7</xdr:col>
      <xdr:colOff>651897</xdr:colOff>
      <xdr:row>36</xdr:row>
      <xdr:rowOff>4005</xdr:rowOff>
    </xdr:to>
    <xdr:cxnSp macro="">
      <xdr:nvCxnSpPr>
        <xdr:cNvPr id="143" name="コネクタ: カギ線 142">
          <a:extLst>
            <a:ext uri="{FF2B5EF4-FFF2-40B4-BE49-F238E27FC236}">
              <a16:creationId xmlns:a16="http://schemas.microsoft.com/office/drawing/2014/main" id="{67318B7C-56FF-4D40-8A49-3AD0F3B2FE8E}"/>
            </a:ext>
          </a:extLst>
        </xdr:cNvPr>
        <xdr:cNvCxnSpPr>
          <a:stCxn id="111" idx="3"/>
          <a:endCxn id="115" idx="2"/>
        </xdr:cNvCxnSpPr>
      </xdr:nvCxnSpPr>
      <xdr:spPr>
        <a:xfrm flipV="1">
          <a:off x="4482375" y="7889631"/>
          <a:ext cx="990637" cy="818759"/>
        </a:xfrm>
        <a:prstGeom prst="bentConnector2">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304686</xdr:colOff>
      <xdr:row>24</xdr:row>
      <xdr:rowOff>146773</xdr:rowOff>
    </xdr:from>
    <xdr:to>
      <xdr:col>9</xdr:col>
      <xdr:colOff>8965</xdr:colOff>
      <xdr:row>37</xdr:row>
      <xdr:rowOff>117056</xdr:rowOff>
    </xdr:to>
    <xdr:cxnSp macro="">
      <xdr:nvCxnSpPr>
        <xdr:cNvPr id="267" name="コネクタ: カギ線 266">
          <a:extLst>
            <a:ext uri="{FF2B5EF4-FFF2-40B4-BE49-F238E27FC236}">
              <a16:creationId xmlns:a16="http://schemas.microsoft.com/office/drawing/2014/main" id="{92986645-2772-DF0B-7DC0-D9A12684D1E0}"/>
            </a:ext>
          </a:extLst>
        </xdr:cNvPr>
        <xdr:cNvCxnSpPr>
          <a:stCxn id="133" idx="3"/>
          <a:endCxn id="111" idx="2"/>
        </xdr:cNvCxnSpPr>
      </xdr:nvCxnSpPr>
      <xdr:spPr>
        <a:xfrm flipH="1">
          <a:off x="3733686" y="5861773"/>
          <a:ext cx="2447479" cy="3065908"/>
        </a:xfrm>
        <a:prstGeom prst="bentConnector4">
          <a:avLst>
            <a:gd name="adj1" fmla="val -20237"/>
            <a:gd name="adj2" fmla="val 107456"/>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405179</xdr:colOff>
      <xdr:row>38</xdr:row>
      <xdr:rowOff>97025</xdr:rowOff>
    </xdr:from>
    <xdr:to>
      <xdr:col>8</xdr:col>
      <xdr:colOff>323850</xdr:colOff>
      <xdr:row>40</xdr:row>
      <xdr:rowOff>228510</xdr:rowOff>
    </xdr:to>
    <xdr:sp macro="" textlink="">
      <xdr:nvSpPr>
        <xdr:cNvPr id="269" name="正方形/長方形 268">
          <a:extLst>
            <a:ext uri="{FF2B5EF4-FFF2-40B4-BE49-F238E27FC236}">
              <a16:creationId xmlns:a16="http://schemas.microsoft.com/office/drawing/2014/main" id="{E270D9FD-8163-4BF6-BB2E-24098C7EA3F0}"/>
            </a:ext>
          </a:extLst>
        </xdr:cNvPr>
        <xdr:cNvSpPr/>
      </xdr:nvSpPr>
      <xdr:spPr>
        <a:xfrm>
          <a:off x="4519979" y="9145775"/>
          <a:ext cx="1290271" cy="60773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ディジタル値</a:t>
          </a:r>
          <a:endParaRPr kumimoji="1" lang="en-US" altLang="ja-JP" sz="1100">
            <a:solidFill>
              <a:schemeClr val="tx1"/>
            </a:solidFill>
          </a:endParaRPr>
        </a:p>
        <a:p>
          <a:pPr algn="ctr"/>
          <a:r>
            <a:rPr kumimoji="1" lang="ja-JP" altLang="en-US" sz="1100">
              <a:solidFill>
                <a:schemeClr val="tx1"/>
              </a:solidFill>
            </a:rPr>
            <a:t>出力再スタート</a:t>
          </a:r>
        </a:p>
      </xdr:txBody>
    </xdr:sp>
    <xdr:clientData/>
  </xdr:twoCellAnchor>
  <xdr:twoCellAnchor>
    <xdr:from>
      <xdr:col>1</xdr:col>
      <xdr:colOff>277586</xdr:colOff>
      <xdr:row>73</xdr:row>
      <xdr:rowOff>201272</xdr:rowOff>
    </xdr:from>
    <xdr:to>
      <xdr:col>2</xdr:col>
      <xdr:colOff>480269</xdr:colOff>
      <xdr:row>78</xdr:row>
      <xdr:rowOff>55910</xdr:rowOff>
    </xdr:to>
    <xdr:sp macro="" textlink="">
      <xdr:nvSpPr>
        <xdr:cNvPr id="2" name="正方形/長方形 1">
          <a:extLst>
            <a:ext uri="{FF2B5EF4-FFF2-40B4-BE49-F238E27FC236}">
              <a16:creationId xmlns:a16="http://schemas.microsoft.com/office/drawing/2014/main" id="{EE10ED2F-F319-45B8-B613-90C01EFE7962}"/>
            </a:ext>
          </a:extLst>
        </xdr:cNvPr>
        <xdr:cNvSpPr/>
      </xdr:nvSpPr>
      <xdr:spPr>
        <a:xfrm>
          <a:off x="957943" y="18081058"/>
          <a:ext cx="883040" cy="1079281"/>
        </a:xfrm>
        <a:prstGeom prst="rect">
          <a:avLst/>
        </a:prstGeom>
        <a:solidFill>
          <a:schemeClr val="accent2">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a:solidFill>
                <a:schemeClr val="tx1"/>
              </a:solidFill>
            </a:rPr>
            <a:t>Idle</a:t>
          </a:r>
          <a:endParaRPr kumimoji="1" lang="ja-JP" altLang="en-US" sz="1400">
            <a:solidFill>
              <a:schemeClr val="tx1"/>
            </a:solidFill>
          </a:endParaRPr>
        </a:p>
      </xdr:txBody>
    </xdr:sp>
    <xdr:clientData/>
  </xdr:twoCellAnchor>
  <xdr:twoCellAnchor>
    <xdr:from>
      <xdr:col>9</xdr:col>
      <xdr:colOff>122225</xdr:colOff>
      <xdr:row>73</xdr:row>
      <xdr:rowOff>198039</xdr:rowOff>
    </xdr:from>
    <xdr:to>
      <xdr:col>10</xdr:col>
      <xdr:colOff>451518</xdr:colOff>
      <xdr:row>77</xdr:row>
      <xdr:rowOff>203988</xdr:rowOff>
    </xdr:to>
    <xdr:sp macro="" textlink="">
      <xdr:nvSpPr>
        <xdr:cNvPr id="3" name="正方形/長方形 2">
          <a:extLst>
            <a:ext uri="{FF2B5EF4-FFF2-40B4-BE49-F238E27FC236}">
              <a16:creationId xmlns:a16="http://schemas.microsoft.com/office/drawing/2014/main" id="{44D155F9-75B3-478D-9322-7AC226299B9A}"/>
            </a:ext>
          </a:extLst>
        </xdr:cNvPr>
        <xdr:cNvSpPr/>
      </xdr:nvSpPr>
      <xdr:spPr>
        <a:xfrm>
          <a:off x="6245439" y="18077825"/>
          <a:ext cx="1009650" cy="985663"/>
        </a:xfrm>
        <a:prstGeom prst="rect">
          <a:avLst/>
        </a:prstGeom>
        <a:solidFill>
          <a:schemeClr val="accent2">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a:solidFill>
                <a:schemeClr val="tx1"/>
              </a:solidFill>
            </a:rPr>
            <a:t>Active</a:t>
          </a:r>
          <a:endParaRPr kumimoji="1" lang="ja-JP" altLang="en-US" sz="1400">
            <a:solidFill>
              <a:schemeClr val="tx1"/>
            </a:solidFill>
          </a:endParaRPr>
        </a:p>
      </xdr:txBody>
    </xdr:sp>
    <xdr:clientData/>
  </xdr:twoCellAnchor>
  <xdr:twoCellAnchor>
    <xdr:from>
      <xdr:col>2</xdr:col>
      <xdr:colOff>583616</xdr:colOff>
      <xdr:row>71</xdr:row>
      <xdr:rowOff>208503</xdr:rowOff>
    </xdr:from>
    <xdr:to>
      <xdr:col>5</xdr:col>
      <xdr:colOff>321333</xdr:colOff>
      <xdr:row>74</xdr:row>
      <xdr:rowOff>198979</xdr:rowOff>
    </xdr:to>
    <xdr:sp macro="" textlink="">
      <xdr:nvSpPr>
        <xdr:cNvPr id="4" name="正方形/長方形 3">
          <a:extLst>
            <a:ext uri="{FF2B5EF4-FFF2-40B4-BE49-F238E27FC236}">
              <a16:creationId xmlns:a16="http://schemas.microsoft.com/office/drawing/2014/main" id="{49C36A6A-649E-4BA0-9E61-510C7DF6C5D4}"/>
            </a:ext>
          </a:extLst>
        </xdr:cNvPr>
        <xdr:cNvSpPr/>
      </xdr:nvSpPr>
      <xdr:spPr>
        <a:xfrm>
          <a:off x="1944330" y="17598432"/>
          <a:ext cx="1778789" cy="72526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en-US" altLang="ja-JP" sz="1100">
              <a:solidFill>
                <a:srgbClr val="00B0F0"/>
              </a:solidFill>
            </a:rPr>
            <a:t>DigitalOutCtrl.start_douts</a:t>
          </a:r>
        </a:p>
        <a:p>
          <a:pPr algn="ctr"/>
          <a:r>
            <a:rPr kumimoji="1" lang="en-US" altLang="ja-JP" sz="1100">
              <a:solidFill>
                <a:schemeClr val="tx1"/>
              </a:solidFill>
            </a:rPr>
            <a:t>or</a:t>
          </a:r>
        </a:p>
        <a:p>
          <a:pPr algn="ctr"/>
          <a:r>
            <a:rPr kumimoji="1" lang="en-US" altLang="ja-JP" sz="1100">
              <a:solidFill>
                <a:schemeClr val="tx1"/>
              </a:solidFill>
            </a:rPr>
            <a:t>AWG </a:t>
          </a:r>
          <a:r>
            <a:rPr kumimoji="1" lang="ja-JP" altLang="en-US" sz="1100">
              <a:solidFill>
                <a:schemeClr val="tx1"/>
              </a:solidFill>
            </a:rPr>
            <a:t>波形出力開始</a:t>
          </a:r>
          <a:endParaRPr kumimoji="1" lang="ja-JP" altLang="en-US" sz="1400">
            <a:solidFill>
              <a:schemeClr val="tx1"/>
            </a:solidFill>
          </a:endParaRPr>
        </a:p>
      </xdr:txBody>
    </xdr:sp>
    <xdr:clientData/>
  </xdr:twoCellAnchor>
  <xdr:twoCellAnchor>
    <xdr:from>
      <xdr:col>10</xdr:col>
      <xdr:colOff>127529</xdr:colOff>
      <xdr:row>77</xdr:row>
      <xdr:rowOff>211705</xdr:rowOff>
    </xdr:from>
    <xdr:to>
      <xdr:col>13</xdr:col>
      <xdr:colOff>55374</xdr:colOff>
      <xdr:row>80</xdr:row>
      <xdr:rowOff>171177</xdr:rowOff>
    </xdr:to>
    <xdr:sp macro="" textlink="">
      <xdr:nvSpPr>
        <xdr:cNvPr id="5" name="正方形/長方形 4">
          <a:extLst>
            <a:ext uri="{FF2B5EF4-FFF2-40B4-BE49-F238E27FC236}">
              <a16:creationId xmlns:a16="http://schemas.microsoft.com/office/drawing/2014/main" id="{43F05D1B-523C-4954-9C01-E87DC41694D8}"/>
            </a:ext>
          </a:extLst>
        </xdr:cNvPr>
        <xdr:cNvSpPr/>
      </xdr:nvSpPr>
      <xdr:spPr>
        <a:xfrm>
          <a:off x="6931100" y="19071205"/>
          <a:ext cx="1968917" cy="69425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100">
              <a:solidFill>
                <a:srgbClr val="00B0F0"/>
              </a:solidFill>
            </a:rPr>
            <a:t>DigitalOutCtrl.pause_douts</a:t>
          </a:r>
        </a:p>
        <a:p>
          <a:pPr algn="ctr"/>
          <a:r>
            <a:rPr kumimoji="1" lang="en-US" altLang="ja-JP" sz="1100">
              <a:solidFill>
                <a:schemeClr val="tx1"/>
              </a:solidFill>
            </a:rPr>
            <a:t>or</a:t>
          </a:r>
        </a:p>
        <a:p>
          <a:pPr algn="ctr"/>
          <a:r>
            <a:rPr kumimoji="1" lang="en-US" altLang="ja-JP" sz="1100">
              <a:solidFill>
                <a:schemeClr val="tx1"/>
              </a:solidFill>
            </a:rPr>
            <a:t>AWG </a:t>
          </a:r>
          <a:r>
            <a:rPr kumimoji="1" lang="ja-JP" altLang="en-US" sz="1100">
              <a:solidFill>
                <a:schemeClr val="tx1"/>
              </a:solidFill>
            </a:rPr>
            <a:t>波形出力一時停止</a:t>
          </a:r>
        </a:p>
      </xdr:txBody>
    </xdr:sp>
    <xdr:clientData/>
  </xdr:twoCellAnchor>
  <xdr:twoCellAnchor>
    <xdr:from>
      <xdr:col>1</xdr:col>
      <xdr:colOff>603045</xdr:colOff>
      <xdr:row>82</xdr:row>
      <xdr:rowOff>19853</xdr:rowOff>
    </xdr:from>
    <xdr:to>
      <xdr:col>2</xdr:col>
      <xdr:colOff>100959</xdr:colOff>
      <xdr:row>82</xdr:row>
      <xdr:rowOff>185700</xdr:rowOff>
    </xdr:to>
    <xdr:sp macro="" textlink="">
      <xdr:nvSpPr>
        <xdr:cNvPr id="6" name="楕円 5">
          <a:extLst>
            <a:ext uri="{FF2B5EF4-FFF2-40B4-BE49-F238E27FC236}">
              <a16:creationId xmlns:a16="http://schemas.microsoft.com/office/drawing/2014/main" id="{FF136D0C-4DF1-44F6-8182-BF4E8F77F3B4}"/>
            </a:ext>
          </a:extLst>
        </xdr:cNvPr>
        <xdr:cNvSpPr/>
      </xdr:nvSpPr>
      <xdr:spPr>
        <a:xfrm>
          <a:off x="1283402" y="20103996"/>
          <a:ext cx="178271" cy="165847"/>
        </a:xfrm>
        <a:prstGeom prst="ellipse">
          <a:avLst/>
        </a:prstGeom>
        <a:solidFill>
          <a:schemeClr val="tx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14040</xdr:colOff>
      <xdr:row>78</xdr:row>
      <xdr:rowOff>78322</xdr:rowOff>
    </xdr:from>
    <xdr:to>
      <xdr:col>2</xdr:col>
      <xdr:colOff>14040</xdr:colOff>
      <xdr:row>82</xdr:row>
      <xdr:rowOff>74878</xdr:rowOff>
    </xdr:to>
    <xdr:cxnSp macro="">
      <xdr:nvCxnSpPr>
        <xdr:cNvPr id="7" name="直線矢印コネクタ 6">
          <a:extLst>
            <a:ext uri="{FF2B5EF4-FFF2-40B4-BE49-F238E27FC236}">
              <a16:creationId xmlns:a16="http://schemas.microsoft.com/office/drawing/2014/main" id="{967560A9-C41F-4817-A574-BE10B10427EE}"/>
            </a:ext>
          </a:extLst>
        </xdr:cNvPr>
        <xdr:cNvCxnSpPr/>
      </xdr:nvCxnSpPr>
      <xdr:spPr>
        <a:xfrm flipV="1">
          <a:off x="1374754" y="19182751"/>
          <a:ext cx="0" cy="97627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412865</xdr:colOff>
      <xdr:row>73</xdr:row>
      <xdr:rowOff>195959</xdr:rowOff>
    </xdr:from>
    <xdr:to>
      <xdr:col>6</xdr:col>
      <xdr:colOff>612352</xdr:colOff>
      <xdr:row>75</xdr:row>
      <xdr:rowOff>139154</xdr:rowOff>
    </xdr:to>
    <xdr:sp macro="" textlink="">
      <xdr:nvSpPr>
        <xdr:cNvPr id="8" name="正方形/長方形 7">
          <a:extLst>
            <a:ext uri="{FF2B5EF4-FFF2-40B4-BE49-F238E27FC236}">
              <a16:creationId xmlns:a16="http://schemas.microsoft.com/office/drawing/2014/main" id="{A5BE0235-091E-4C50-AC15-0DAD9155F5D3}"/>
            </a:ext>
          </a:extLst>
        </xdr:cNvPr>
        <xdr:cNvSpPr/>
      </xdr:nvSpPr>
      <xdr:spPr>
        <a:xfrm>
          <a:off x="3814651" y="18075745"/>
          <a:ext cx="879844" cy="433052"/>
        </a:xfrm>
        <a:prstGeom prst="rect">
          <a:avLst/>
        </a:prstGeom>
        <a:solidFill>
          <a:schemeClr val="accent2">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a:solidFill>
                <a:schemeClr val="tx1"/>
              </a:solidFill>
            </a:rPr>
            <a:t>Prepare</a:t>
          </a:r>
          <a:endParaRPr kumimoji="1" lang="ja-JP" altLang="en-US" sz="1400">
            <a:solidFill>
              <a:schemeClr val="tx1"/>
            </a:solidFill>
          </a:endParaRPr>
        </a:p>
      </xdr:txBody>
    </xdr:sp>
    <xdr:clientData/>
  </xdr:twoCellAnchor>
  <xdr:twoCellAnchor>
    <xdr:from>
      <xdr:col>9</xdr:col>
      <xdr:colOff>131750</xdr:colOff>
      <xdr:row>81</xdr:row>
      <xdr:rowOff>19380</xdr:rowOff>
    </xdr:from>
    <xdr:to>
      <xdr:col>10</xdr:col>
      <xdr:colOff>470568</xdr:colOff>
      <xdr:row>83</xdr:row>
      <xdr:rowOff>6452</xdr:rowOff>
    </xdr:to>
    <xdr:sp macro="" textlink="">
      <xdr:nvSpPr>
        <xdr:cNvPr id="9" name="正方形/長方形 8">
          <a:extLst>
            <a:ext uri="{FF2B5EF4-FFF2-40B4-BE49-F238E27FC236}">
              <a16:creationId xmlns:a16="http://schemas.microsoft.com/office/drawing/2014/main" id="{56FE56E7-5F31-452D-B548-BDC503D5BCC0}"/>
            </a:ext>
          </a:extLst>
        </xdr:cNvPr>
        <xdr:cNvSpPr/>
      </xdr:nvSpPr>
      <xdr:spPr>
        <a:xfrm>
          <a:off x="6254964" y="19858594"/>
          <a:ext cx="1019175" cy="476929"/>
        </a:xfrm>
        <a:prstGeom prst="rect">
          <a:avLst/>
        </a:prstGeom>
        <a:solidFill>
          <a:schemeClr val="accent2">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a:solidFill>
                <a:schemeClr val="tx1"/>
              </a:solidFill>
            </a:rPr>
            <a:t>Pause</a:t>
          </a:r>
          <a:endParaRPr kumimoji="1" lang="ja-JP" altLang="en-US" sz="1400">
            <a:solidFill>
              <a:schemeClr val="tx1"/>
            </a:solidFill>
          </a:endParaRPr>
        </a:p>
      </xdr:txBody>
    </xdr:sp>
    <xdr:clientData/>
  </xdr:twoCellAnchor>
  <xdr:twoCellAnchor>
    <xdr:from>
      <xdr:col>2</xdr:col>
      <xdr:colOff>513676</xdr:colOff>
      <xdr:row>74</xdr:row>
      <xdr:rowOff>185669</xdr:rowOff>
    </xdr:from>
    <xdr:to>
      <xdr:col>5</xdr:col>
      <xdr:colOff>403938</xdr:colOff>
      <xdr:row>74</xdr:row>
      <xdr:rowOff>185669</xdr:rowOff>
    </xdr:to>
    <xdr:cxnSp macro="">
      <xdr:nvCxnSpPr>
        <xdr:cNvPr id="10" name="直線矢印コネクタ 9">
          <a:extLst>
            <a:ext uri="{FF2B5EF4-FFF2-40B4-BE49-F238E27FC236}">
              <a16:creationId xmlns:a16="http://schemas.microsoft.com/office/drawing/2014/main" id="{8442D618-BD98-472A-A408-682E5D9245A1}"/>
            </a:ext>
          </a:extLst>
        </xdr:cNvPr>
        <xdr:cNvCxnSpPr/>
      </xdr:nvCxnSpPr>
      <xdr:spPr>
        <a:xfrm>
          <a:off x="1874390" y="18310383"/>
          <a:ext cx="1931334"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614449</xdr:colOff>
      <xdr:row>74</xdr:row>
      <xdr:rowOff>211362</xdr:rowOff>
    </xdr:from>
    <xdr:to>
      <xdr:col>9</xdr:col>
      <xdr:colOff>105660</xdr:colOff>
      <xdr:row>74</xdr:row>
      <xdr:rowOff>211362</xdr:rowOff>
    </xdr:to>
    <xdr:cxnSp macro="">
      <xdr:nvCxnSpPr>
        <xdr:cNvPr id="11" name="直線矢印コネクタ 10">
          <a:extLst>
            <a:ext uri="{FF2B5EF4-FFF2-40B4-BE49-F238E27FC236}">
              <a16:creationId xmlns:a16="http://schemas.microsoft.com/office/drawing/2014/main" id="{E03FCED0-2034-4180-96CF-CA12DF5F91F0}"/>
            </a:ext>
          </a:extLst>
        </xdr:cNvPr>
        <xdr:cNvCxnSpPr/>
      </xdr:nvCxnSpPr>
      <xdr:spPr>
        <a:xfrm>
          <a:off x="4696592" y="18336076"/>
          <a:ext cx="1532282"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196350</xdr:colOff>
      <xdr:row>73</xdr:row>
      <xdr:rowOff>143196</xdr:rowOff>
    </xdr:from>
    <xdr:to>
      <xdr:col>8</xdr:col>
      <xdr:colOff>509270</xdr:colOff>
      <xdr:row>74</xdr:row>
      <xdr:rowOff>230523</xdr:rowOff>
    </xdr:to>
    <xdr:sp macro="" textlink="">
      <xdr:nvSpPr>
        <xdr:cNvPr id="12" name="正方形/長方形 11">
          <a:extLst>
            <a:ext uri="{FF2B5EF4-FFF2-40B4-BE49-F238E27FC236}">
              <a16:creationId xmlns:a16="http://schemas.microsoft.com/office/drawing/2014/main" id="{ED406623-AFE8-4972-89C7-91DC93624FEF}"/>
            </a:ext>
          </a:extLst>
        </xdr:cNvPr>
        <xdr:cNvSpPr/>
      </xdr:nvSpPr>
      <xdr:spPr>
        <a:xfrm>
          <a:off x="4958850" y="18022982"/>
          <a:ext cx="993277" cy="33225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en-US" altLang="ja-JP" sz="1200">
              <a:solidFill>
                <a:schemeClr val="tx1"/>
              </a:solidFill>
            </a:rPr>
            <a:t>(</a:t>
          </a:r>
          <a:r>
            <a:rPr kumimoji="1" lang="ja-JP" altLang="en-US" sz="1200">
              <a:solidFill>
                <a:schemeClr val="tx1"/>
              </a:solidFill>
            </a:rPr>
            <a:t>自動遷移</a:t>
          </a:r>
          <a:r>
            <a:rPr kumimoji="1" lang="en-US" altLang="ja-JP" sz="1200">
              <a:solidFill>
                <a:schemeClr val="tx1"/>
              </a:solidFill>
            </a:rPr>
            <a:t>)</a:t>
          </a:r>
          <a:endParaRPr kumimoji="1" lang="ja-JP" altLang="en-US" sz="1200">
            <a:solidFill>
              <a:schemeClr val="tx1"/>
            </a:solidFill>
          </a:endParaRPr>
        </a:p>
      </xdr:txBody>
    </xdr:sp>
    <xdr:clientData/>
  </xdr:twoCellAnchor>
  <xdr:twoCellAnchor>
    <xdr:from>
      <xdr:col>10</xdr:col>
      <xdr:colOff>117976</xdr:colOff>
      <xdr:row>77</xdr:row>
      <xdr:rowOff>222726</xdr:rowOff>
    </xdr:from>
    <xdr:to>
      <xdr:col>10</xdr:col>
      <xdr:colOff>117976</xdr:colOff>
      <xdr:row>80</xdr:row>
      <xdr:rowOff>235604</xdr:rowOff>
    </xdr:to>
    <xdr:cxnSp macro="">
      <xdr:nvCxnSpPr>
        <xdr:cNvPr id="13" name="直線矢印コネクタ 12">
          <a:extLst>
            <a:ext uri="{FF2B5EF4-FFF2-40B4-BE49-F238E27FC236}">
              <a16:creationId xmlns:a16="http://schemas.microsoft.com/office/drawing/2014/main" id="{7E32677B-615C-4A1F-BC8F-DF05B5B28311}"/>
            </a:ext>
          </a:extLst>
        </xdr:cNvPr>
        <xdr:cNvCxnSpPr/>
      </xdr:nvCxnSpPr>
      <xdr:spPr>
        <a:xfrm>
          <a:off x="6921547" y="19082226"/>
          <a:ext cx="0" cy="747664"/>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410869</xdr:colOff>
      <xdr:row>77</xdr:row>
      <xdr:rowOff>228608</xdr:rowOff>
    </xdr:from>
    <xdr:to>
      <xdr:col>9</xdr:col>
      <xdr:colOff>410869</xdr:colOff>
      <xdr:row>80</xdr:row>
      <xdr:rowOff>229392</xdr:rowOff>
    </xdr:to>
    <xdr:cxnSp macro="">
      <xdr:nvCxnSpPr>
        <xdr:cNvPr id="14" name="直線矢印コネクタ 13">
          <a:extLst>
            <a:ext uri="{FF2B5EF4-FFF2-40B4-BE49-F238E27FC236}">
              <a16:creationId xmlns:a16="http://schemas.microsoft.com/office/drawing/2014/main" id="{CBEFE709-102F-4A5F-9B61-83928685EC7C}"/>
            </a:ext>
          </a:extLst>
        </xdr:cNvPr>
        <xdr:cNvCxnSpPr/>
      </xdr:nvCxnSpPr>
      <xdr:spPr>
        <a:xfrm flipV="1">
          <a:off x="6534083" y="19088108"/>
          <a:ext cx="0" cy="73557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506773</xdr:colOff>
      <xdr:row>77</xdr:row>
      <xdr:rowOff>204220</xdr:rowOff>
    </xdr:from>
    <xdr:to>
      <xdr:col>9</xdr:col>
      <xdr:colOff>409595</xdr:colOff>
      <xdr:row>80</xdr:row>
      <xdr:rowOff>181177</xdr:rowOff>
    </xdr:to>
    <xdr:sp macro="" textlink="">
      <xdr:nvSpPr>
        <xdr:cNvPr id="15" name="正方形/長方形 14">
          <a:extLst>
            <a:ext uri="{FF2B5EF4-FFF2-40B4-BE49-F238E27FC236}">
              <a16:creationId xmlns:a16="http://schemas.microsoft.com/office/drawing/2014/main" id="{4A74679C-E4D5-460E-8021-8AC973B4AB3B}"/>
            </a:ext>
          </a:extLst>
        </xdr:cNvPr>
        <xdr:cNvSpPr/>
      </xdr:nvSpPr>
      <xdr:spPr>
        <a:xfrm>
          <a:off x="4588916" y="19063720"/>
          <a:ext cx="1943893" cy="71174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rgbClr val="00B0F0"/>
              </a:solidFill>
            </a:rPr>
            <a:t>DigitalOutCtrl.resume_douts</a:t>
          </a:r>
        </a:p>
        <a:p>
          <a:pPr algn="ctr"/>
          <a:r>
            <a:rPr kumimoji="1" lang="en-US" altLang="ja-JP" sz="1100">
              <a:solidFill>
                <a:schemeClr val="tx1"/>
              </a:solidFill>
            </a:rPr>
            <a:t>or</a:t>
          </a:r>
        </a:p>
        <a:p>
          <a:pPr algn="ctr"/>
          <a:r>
            <a:rPr kumimoji="1" lang="en-US" altLang="ja-JP" sz="1100">
              <a:solidFill>
                <a:schemeClr val="tx1"/>
              </a:solidFill>
            </a:rPr>
            <a:t>AWG </a:t>
          </a:r>
          <a:r>
            <a:rPr kumimoji="1" lang="ja-JP" altLang="en-US" sz="1100">
              <a:solidFill>
                <a:schemeClr val="tx1"/>
              </a:solidFill>
            </a:rPr>
            <a:t>波形出力再開</a:t>
          </a:r>
        </a:p>
      </xdr:txBody>
    </xdr:sp>
    <xdr:clientData/>
  </xdr:twoCellAnchor>
  <xdr:twoCellAnchor>
    <xdr:from>
      <xdr:col>6</xdr:col>
      <xdr:colOff>173199</xdr:colOff>
      <xdr:row>75</xdr:row>
      <xdr:rowOff>139154</xdr:rowOff>
    </xdr:from>
    <xdr:to>
      <xdr:col>9</xdr:col>
      <xdr:colOff>131750</xdr:colOff>
      <xdr:row>82</xdr:row>
      <xdr:rowOff>12916</xdr:rowOff>
    </xdr:to>
    <xdr:cxnSp macro="">
      <xdr:nvCxnSpPr>
        <xdr:cNvPr id="16" name="コネクタ: カギ線 15">
          <a:extLst>
            <a:ext uri="{FF2B5EF4-FFF2-40B4-BE49-F238E27FC236}">
              <a16:creationId xmlns:a16="http://schemas.microsoft.com/office/drawing/2014/main" id="{CE33C330-953A-41F8-9E2E-3EDCF2634E12}"/>
            </a:ext>
          </a:extLst>
        </xdr:cNvPr>
        <xdr:cNvCxnSpPr>
          <a:stCxn id="9" idx="1"/>
          <a:endCxn id="8" idx="2"/>
        </xdr:cNvCxnSpPr>
      </xdr:nvCxnSpPr>
      <xdr:spPr>
        <a:xfrm rot="10800000">
          <a:off x="4255342" y="18508797"/>
          <a:ext cx="1999622" cy="1588262"/>
        </a:xfrm>
        <a:prstGeom prst="bentConnector2">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209545</xdr:colOff>
      <xdr:row>72</xdr:row>
      <xdr:rowOff>45300</xdr:rowOff>
    </xdr:from>
    <xdr:to>
      <xdr:col>7</xdr:col>
      <xdr:colOff>532193</xdr:colOff>
      <xdr:row>73</xdr:row>
      <xdr:rowOff>33849</xdr:rowOff>
    </xdr:to>
    <xdr:sp macro="" textlink="">
      <xdr:nvSpPr>
        <xdr:cNvPr id="17" name="正方形/長方形 16">
          <a:extLst>
            <a:ext uri="{FF2B5EF4-FFF2-40B4-BE49-F238E27FC236}">
              <a16:creationId xmlns:a16="http://schemas.microsoft.com/office/drawing/2014/main" id="{EC5B5559-5D6C-47B6-98E5-B4251EF76E13}"/>
            </a:ext>
          </a:extLst>
        </xdr:cNvPr>
        <xdr:cNvSpPr/>
      </xdr:nvSpPr>
      <xdr:spPr>
        <a:xfrm>
          <a:off x="4972045" y="17680157"/>
          <a:ext cx="322648" cy="23347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endParaRPr kumimoji="1" lang="ja-JP" altLang="en-US" sz="1100">
            <a:solidFill>
              <a:schemeClr val="tx1"/>
            </a:solidFill>
          </a:endParaRPr>
        </a:p>
      </xdr:txBody>
    </xdr:sp>
    <xdr:clientData/>
  </xdr:twoCellAnchor>
  <xdr:twoCellAnchor>
    <xdr:from>
      <xdr:col>6</xdr:col>
      <xdr:colOff>42955</xdr:colOff>
      <xdr:row>81</xdr:row>
      <xdr:rowOff>226540</xdr:rowOff>
    </xdr:from>
    <xdr:to>
      <xdr:col>8</xdr:col>
      <xdr:colOff>593818</xdr:colOff>
      <xdr:row>84</xdr:row>
      <xdr:rowOff>231273</xdr:rowOff>
    </xdr:to>
    <xdr:sp macro="" textlink="">
      <xdr:nvSpPr>
        <xdr:cNvPr id="18" name="正方形/長方形 17">
          <a:extLst>
            <a:ext uri="{FF2B5EF4-FFF2-40B4-BE49-F238E27FC236}">
              <a16:creationId xmlns:a16="http://schemas.microsoft.com/office/drawing/2014/main" id="{30391590-7A59-4888-93B2-61AB074A2DE6}"/>
            </a:ext>
          </a:extLst>
        </xdr:cNvPr>
        <xdr:cNvSpPr/>
      </xdr:nvSpPr>
      <xdr:spPr>
        <a:xfrm>
          <a:off x="4125098" y="20065754"/>
          <a:ext cx="1911577" cy="73951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rgbClr val="00B0F0"/>
              </a:solidFill>
            </a:rPr>
            <a:t>DigitalOutCtrl.restart_douts</a:t>
          </a:r>
        </a:p>
        <a:p>
          <a:pPr algn="ctr"/>
          <a:r>
            <a:rPr kumimoji="1" lang="en-US" altLang="ja-JP" sz="1100">
              <a:solidFill>
                <a:schemeClr val="tx1"/>
              </a:solidFill>
            </a:rPr>
            <a:t>or</a:t>
          </a:r>
        </a:p>
        <a:p>
          <a:pPr algn="ctr"/>
          <a:r>
            <a:rPr kumimoji="1" lang="en-US" altLang="ja-JP" sz="1100">
              <a:solidFill>
                <a:schemeClr val="tx1"/>
              </a:solidFill>
            </a:rPr>
            <a:t>AWG </a:t>
          </a:r>
          <a:r>
            <a:rPr kumimoji="1" lang="ja-JP" altLang="en-US" sz="1100">
              <a:solidFill>
                <a:schemeClr val="tx1"/>
              </a:solidFill>
            </a:rPr>
            <a:t>波形出力開始</a:t>
          </a:r>
        </a:p>
      </xdr:txBody>
    </xdr:sp>
    <xdr:clientData/>
  </xdr:twoCellAnchor>
  <xdr:twoCellAnchor>
    <xdr:from>
      <xdr:col>1</xdr:col>
      <xdr:colOff>642922</xdr:colOff>
      <xdr:row>79</xdr:row>
      <xdr:rowOff>163854</xdr:rowOff>
    </xdr:from>
    <xdr:to>
      <xdr:col>4</xdr:col>
      <xdr:colOff>167739</xdr:colOff>
      <xdr:row>81</xdr:row>
      <xdr:rowOff>28482</xdr:rowOff>
    </xdr:to>
    <xdr:sp macro="" textlink="">
      <xdr:nvSpPr>
        <xdr:cNvPr id="19" name="正方形/長方形 18">
          <a:extLst>
            <a:ext uri="{FF2B5EF4-FFF2-40B4-BE49-F238E27FC236}">
              <a16:creationId xmlns:a16="http://schemas.microsoft.com/office/drawing/2014/main" id="{6867E245-DD17-45C8-8499-716DC816C43A}"/>
            </a:ext>
          </a:extLst>
        </xdr:cNvPr>
        <xdr:cNvSpPr/>
      </xdr:nvSpPr>
      <xdr:spPr>
        <a:xfrm>
          <a:off x="1323279" y="19513211"/>
          <a:ext cx="1565889" cy="35448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rgbClr val="00B0F0"/>
              </a:solidFill>
            </a:rPr>
            <a:t>DigitalOutCtrl.initialize</a:t>
          </a:r>
        </a:p>
      </xdr:txBody>
    </xdr:sp>
    <xdr:clientData/>
  </xdr:twoCellAnchor>
  <xdr:twoCellAnchor>
    <xdr:from>
      <xdr:col>2</xdr:col>
      <xdr:colOff>44961</xdr:colOff>
      <xdr:row>73</xdr:row>
      <xdr:rowOff>201272</xdr:rowOff>
    </xdr:from>
    <xdr:to>
      <xdr:col>10</xdr:col>
      <xdr:colOff>470568</xdr:colOff>
      <xdr:row>82</xdr:row>
      <xdr:rowOff>12916</xdr:rowOff>
    </xdr:to>
    <xdr:cxnSp macro="">
      <xdr:nvCxnSpPr>
        <xdr:cNvPr id="20" name="コネクタ: カギ線 19">
          <a:extLst>
            <a:ext uri="{FF2B5EF4-FFF2-40B4-BE49-F238E27FC236}">
              <a16:creationId xmlns:a16="http://schemas.microsoft.com/office/drawing/2014/main" id="{528B15FC-3192-459E-A4E3-F5BBE474FB46}"/>
            </a:ext>
          </a:extLst>
        </xdr:cNvPr>
        <xdr:cNvCxnSpPr>
          <a:stCxn id="9" idx="3"/>
          <a:endCxn id="2" idx="0"/>
        </xdr:cNvCxnSpPr>
      </xdr:nvCxnSpPr>
      <xdr:spPr>
        <a:xfrm flipH="1" flipV="1">
          <a:off x="1405675" y="18081058"/>
          <a:ext cx="5868464" cy="2016001"/>
        </a:xfrm>
        <a:prstGeom prst="bentConnector4">
          <a:avLst>
            <a:gd name="adj1" fmla="val -29565"/>
            <a:gd name="adj2" fmla="val 142646"/>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173319</xdr:colOff>
      <xdr:row>70</xdr:row>
      <xdr:rowOff>50533</xdr:rowOff>
    </xdr:from>
    <xdr:to>
      <xdr:col>6</xdr:col>
      <xdr:colOff>173319</xdr:colOff>
      <xdr:row>73</xdr:row>
      <xdr:rowOff>184008</xdr:rowOff>
    </xdr:to>
    <xdr:cxnSp macro="">
      <xdr:nvCxnSpPr>
        <xdr:cNvPr id="21" name="直線矢印コネクタ 20">
          <a:extLst>
            <a:ext uri="{FF2B5EF4-FFF2-40B4-BE49-F238E27FC236}">
              <a16:creationId xmlns:a16="http://schemas.microsoft.com/office/drawing/2014/main" id="{F254490F-544F-4ABA-A023-E3D82F61BD54}"/>
            </a:ext>
          </a:extLst>
        </xdr:cNvPr>
        <xdr:cNvCxnSpPr/>
      </xdr:nvCxnSpPr>
      <xdr:spPr>
        <a:xfrm flipV="1">
          <a:off x="4255462" y="17195533"/>
          <a:ext cx="0" cy="868261"/>
        </a:xfrm>
        <a:prstGeom prst="straightConnector1">
          <a:avLst/>
        </a:prstGeom>
        <a:ln>
          <a:solidFill>
            <a:schemeClr val="tx1"/>
          </a:solidFill>
          <a:tailEnd type="non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608998</xdr:colOff>
      <xdr:row>70</xdr:row>
      <xdr:rowOff>50533</xdr:rowOff>
    </xdr:from>
    <xdr:to>
      <xdr:col>9</xdr:col>
      <xdr:colOff>608998</xdr:colOff>
      <xdr:row>73</xdr:row>
      <xdr:rowOff>170756</xdr:rowOff>
    </xdr:to>
    <xdr:cxnSp macro="">
      <xdr:nvCxnSpPr>
        <xdr:cNvPr id="22" name="直線矢印コネクタ 21">
          <a:extLst>
            <a:ext uri="{FF2B5EF4-FFF2-40B4-BE49-F238E27FC236}">
              <a16:creationId xmlns:a16="http://schemas.microsoft.com/office/drawing/2014/main" id="{614B40BC-8D3F-4E18-AD83-0FD42FE302A8}"/>
            </a:ext>
          </a:extLst>
        </xdr:cNvPr>
        <xdr:cNvCxnSpPr/>
      </xdr:nvCxnSpPr>
      <xdr:spPr>
        <a:xfrm flipV="1">
          <a:off x="6732212" y="17195533"/>
          <a:ext cx="0" cy="855009"/>
        </a:xfrm>
        <a:prstGeom prst="straightConnector1">
          <a:avLst/>
        </a:prstGeom>
        <a:ln>
          <a:solidFill>
            <a:schemeClr val="tx1"/>
          </a:solidFill>
          <a:tailEnd type="non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589444</xdr:colOff>
      <xdr:row>68</xdr:row>
      <xdr:rowOff>198664</xdr:rowOff>
    </xdr:from>
    <xdr:to>
      <xdr:col>8</xdr:col>
      <xdr:colOff>668087</xdr:colOff>
      <xdr:row>70</xdr:row>
      <xdr:rowOff>49259</xdr:rowOff>
    </xdr:to>
    <xdr:sp macro="" textlink="">
      <xdr:nvSpPr>
        <xdr:cNvPr id="23" name="正方形/長方形 22">
          <a:extLst>
            <a:ext uri="{FF2B5EF4-FFF2-40B4-BE49-F238E27FC236}">
              <a16:creationId xmlns:a16="http://schemas.microsoft.com/office/drawing/2014/main" id="{FA9D9CBE-3F9A-4A31-8678-A0FBC2C555C0}"/>
            </a:ext>
          </a:extLst>
        </xdr:cNvPr>
        <xdr:cNvSpPr/>
      </xdr:nvSpPr>
      <xdr:spPr>
        <a:xfrm>
          <a:off x="3991230" y="16853807"/>
          <a:ext cx="2119714" cy="34045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r"/>
          <a:r>
            <a:rPr kumimoji="1" lang="en-US" altLang="ja-JP" sz="1100">
              <a:solidFill>
                <a:srgbClr val="00B0F0"/>
              </a:solidFill>
            </a:rPr>
            <a:t>DigitalOutCtrl.terminate_douts</a:t>
          </a:r>
        </a:p>
      </xdr:txBody>
    </xdr:sp>
    <xdr:clientData/>
  </xdr:twoCellAnchor>
  <xdr:twoCellAnchor>
    <xdr:from>
      <xdr:col>2</xdr:col>
      <xdr:colOff>500788</xdr:colOff>
      <xdr:row>76</xdr:row>
      <xdr:rowOff>211283</xdr:rowOff>
    </xdr:from>
    <xdr:to>
      <xdr:col>9</xdr:col>
      <xdr:colOff>76671</xdr:colOff>
      <xdr:row>76</xdr:row>
      <xdr:rowOff>211283</xdr:rowOff>
    </xdr:to>
    <xdr:cxnSp macro="">
      <xdr:nvCxnSpPr>
        <xdr:cNvPr id="24" name="直線矢印コネクタ 23">
          <a:extLst>
            <a:ext uri="{FF2B5EF4-FFF2-40B4-BE49-F238E27FC236}">
              <a16:creationId xmlns:a16="http://schemas.microsoft.com/office/drawing/2014/main" id="{7C8FA77D-5F4B-41C3-8EC9-4EA1E55974BD}"/>
            </a:ext>
          </a:extLst>
        </xdr:cNvPr>
        <xdr:cNvCxnSpPr/>
      </xdr:nvCxnSpPr>
      <xdr:spPr>
        <a:xfrm flipH="1">
          <a:off x="1861502" y="18825854"/>
          <a:ext cx="4338383"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18899</xdr:colOff>
      <xdr:row>76</xdr:row>
      <xdr:rowOff>160885</xdr:rowOff>
    </xdr:from>
    <xdr:to>
      <xdr:col>6</xdr:col>
      <xdr:colOff>14374</xdr:colOff>
      <xdr:row>78</xdr:row>
      <xdr:rowOff>20611</xdr:rowOff>
    </xdr:to>
    <xdr:sp macro="" textlink="">
      <xdr:nvSpPr>
        <xdr:cNvPr id="25" name="正方形/長方形 24">
          <a:extLst>
            <a:ext uri="{FF2B5EF4-FFF2-40B4-BE49-F238E27FC236}">
              <a16:creationId xmlns:a16="http://schemas.microsoft.com/office/drawing/2014/main" id="{11362172-1E34-44A9-9E9C-91E758915873}"/>
            </a:ext>
          </a:extLst>
        </xdr:cNvPr>
        <xdr:cNvSpPr/>
      </xdr:nvSpPr>
      <xdr:spPr>
        <a:xfrm>
          <a:off x="2059970" y="18775456"/>
          <a:ext cx="2036547" cy="34958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ja-JP" altLang="en-US" sz="1100">
              <a:solidFill>
                <a:schemeClr val="tx1"/>
              </a:solidFill>
            </a:rPr>
            <a:t>全ディジタル出力完了</a:t>
          </a:r>
        </a:p>
      </xdr:txBody>
    </xdr:sp>
    <xdr:clientData/>
  </xdr:twoCellAnchor>
  <xdr:twoCellAnchor>
    <xdr:from>
      <xdr:col>1</xdr:col>
      <xdr:colOff>407323</xdr:colOff>
      <xdr:row>46</xdr:row>
      <xdr:rowOff>121506</xdr:rowOff>
    </xdr:from>
    <xdr:to>
      <xdr:col>3</xdr:col>
      <xdr:colOff>558364</xdr:colOff>
      <xdr:row>49</xdr:row>
      <xdr:rowOff>115433</xdr:rowOff>
    </xdr:to>
    <xdr:sp macro="" textlink="">
      <xdr:nvSpPr>
        <xdr:cNvPr id="41" name="正方形/長方形 40">
          <a:extLst>
            <a:ext uri="{FF2B5EF4-FFF2-40B4-BE49-F238E27FC236}">
              <a16:creationId xmlns:a16="http://schemas.microsoft.com/office/drawing/2014/main" id="{4C10A828-41FF-4819-9ED6-7F6B8A38BAFD}"/>
            </a:ext>
          </a:extLst>
        </xdr:cNvPr>
        <xdr:cNvSpPr/>
      </xdr:nvSpPr>
      <xdr:spPr>
        <a:xfrm>
          <a:off x="1087680" y="11388220"/>
          <a:ext cx="1511755" cy="728713"/>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RESET</a:t>
          </a:r>
          <a:endParaRPr kumimoji="1" lang="ja-JP" altLang="en-US" sz="1400" b="1">
            <a:solidFill>
              <a:schemeClr val="tx1"/>
            </a:solidFill>
          </a:endParaRPr>
        </a:p>
      </xdr:txBody>
    </xdr:sp>
    <xdr:clientData/>
  </xdr:twoCellAnchor>
  <xdr:twoCellAnchor>
    <xdr:from>
      <xdr:col>1</xdr:col>
      <xdr:colOff>434712</xdr:colOff>
      <xdr:row>52</xdr:row>
      <xdr:rowOff>226393</xdr:rowOff>
    </xdr:from>
    <xdr:to>
      <xdr:col>3</xdr:col>
      <xdr:colOff>477652</xdr:colOff>
      <xdr:row>56</xdr:row>
      <xdr:rowOff>401</xdr:rowOff>
    </xdr:to>
    <xdr:sp macro="" textlink="">
      <xdr:nvSpPr>
        <xdr:cNvPr id="42" name="正方形/長方形 41">
          <a:extLst>
            <a:ext uri="{FF2B5EF4-FFF2-40B4-BE49-F238E27FC236}">
              <a16:creationId xmlns:a16="http://schemas.microsoft.com/office/drawing/2014/main" id="{F6C73FFF-B2B8-42DE-A547-85CD57B21099}"/>
            </a:ext>
          </a:extLst>
        </xdr:cNvPr>
        <xdr:cNvSpPr/>
      </xdr:nvSpPr>
      <xdr:spPr>
        <a:xfrm>
          <a:off x="1115069" y="12962679"/>
          <a:ext cx="1403654" cy="753722"/>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IDLE</a:t>
          </a:r>
        </a:p>
      </xdr:txBody>
    </xdr:sp>
    <xdr:clientData/>
  </xdr:twoCellAnchor>
  <xdr:twoCellAnchor>
    <xdr:from>
      <xdr:col>2</xdr:col>
      <xdr:colOff>247489</xdr:colOff>
      <xdr:row>49</xdr:row>
      <xdr:rowOff>126547</xdr:rowOff>
    </xdr:from>
    <xdr:to>
      <xdr:col>2</xdr:col>
      <xdr:colOff>247489</xdr:colOff>
      <xdr:row>52</xdr:row>
      <xdr:rowOff>235051</xdr:rowOff>
    </xdr:to>
    <xdr:cxnSp macro="">
      <xdr:nvCxnSpPr>
        <xdr:cNvPr id="43" name="直線矢印コネクタ 42">
          <a:extLst>
            <a:ext uri="{FF2B5EF4-FFF2-40B4-BE49-F238E27FC236}">
              <a16:creationId xmlns:a16="http://schemas.microsoft.com/office/drawing/2014/main" id="{6BEF753F-94DA-48D8-ACAE-C82104AB4D04}"/>
            </a:ext>
          </a:extLst>
        </xdr:cNvPr>
        <xdr:cNvCxnSpPr/>
      </xdr:nvCxnSpPr>
      <xdr:spPr>
        <a:xfrm>
          <a:off x="1608203" y="12128047"/>
          <a:ext cx="0" cy="84329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33504</xdr:colOff>
      <xdr:row>57</xdr:row>
      <xdr:rowOff>221189</xdr:rowOff>
    </xdr:from>
    <xdr:to>
      <xdr:col>6</xdr:col>
      <xdr:colOff>124112</xdr:colOff>
      <xdr:row>60</xdr:row>
      <xdr:rowOff>205503</xdr:rowOff>
    </xdr:to>
    <xdr:sp macro="" textlink="">
      <xdr:nvSpPr>
        <xdr:cNvPr id="44" name="正方形/長方形 43">
          <a:extLst>
            <a:ext uri="{FF2B5EF4-FFF2-40B4-BE49-F238E27FC236}">
              <a16:creationId xmlns:a16="http://schemas.microsoft.com/office/drawing/2014/main" id="{0E299095-C37E-4926-BF57-E93588FE49D9}"/>
            </a:ext>
          </a:extLst>
        </xdr:cNvPr>
        <xdr:cNvSpPr/>
      </xdr:nvSpPr>
      <xdr:spPr>
        <a:xfrm>
          <a:off x="2754933" y="14182118"/>
          <a:ext cx="1451322" cy="719099"/>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PREPARE</a:t>
          </a:r>
        </a:p>
      </xdr:txBody>
    </xdr:sp>
    <xdr:clientData/>
  </xdr:twoCellAnchor>
  <xdr:twoCellAnchor>
    <xdr:from>
      <xdr:col>6</xdr:col>
      <xdr:colOff>326429</xdr:colOff>
      <xdr:row>52</xdr:row>
      <xdr:rowOff>240237</xdr:rowOff>
    </xdr:from>
    <xdr:to>
      <xdr:col>8</xdr:col>
      <xdr:colOff>517234</xdr:colOff>
      <xdr:row>55</xdr:row>
      <xdr:rowOff>240847</xdr:rowOff>
    </xdr:to>
    <xdr:sp macro="" textlink="">
      <xdr:nvSpPr>
        <xdr:cNvPr id="45" name="正方形/長方形 44">
          <a:extLst>
            <a:ext uri="{FF2B5EF4-FFF2-40B4-BE49-F238E27FC236}">
              <a16:creationId xmlns:a16="http://schemas.microsoft.com/office/drawing/2014/main" id="{FF17F4D0-67E7-4B23-BC84-3E36C759B944}"/>
            </a:ext>
          </a:extLst>
        </xdr:cNvPr>
        <xdr:cNvSpPr/>
      </xdr:nvSpPr>
      <xdr:spPr>
        <a:xfrm>
          <a:off x="4408572" y="12976523"/>
          <a:ext cx="1551519" cy="735395"/>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ACTIVE</a:t>
          </a:r>
        </a:p>
      </xdr:txBody>
    </xdr:sp>
    <xdr:clientData/>
  </xdr:twoCellAnchor>
  <xdr:twoCellAnchor>
    <xdr:from>
      <xdr:col>4</xdr:col>
      <xdr:colOff>613791</xdr:colOff>
      <xdr:row>47</xdr:row>
      <xdr:rowOff>79413</xdr:rowOff>
    </xdr:from>
    <xdr:to>
      <xdr:col>5</xdr:col>
      <xdr:colOff>258842</xdr:colOff>
      <xdr:row>48</xdr:row>
      <xdr:rowOff>165137</xdr:rowOff>
    </xdr:to>
    <xdr:sp macro="" textlink="">
      <xdr:nvSpPr>
        <xdr:cNvPr id="46" name="楕円 45">
          <a:extLst>
            <a:ext uri="{FF2B5EF4-FFF2-40B4-BE49-F238E27FC236}">
              <a16:creationId xmlns:a16="http://schemas.microsoft.com/office/drawing/2014/main" id="{AAD28495-3C22-4E76-80A9-2CC2A9C14198}"/>
            </a:ext>
          </a:extLst>
        </xdr:cNvPr>
        <xdr:cNvSpPr/>
      </xdr:nvSpPr>
      <xdr:spPr>
        <a:xfrm>
          <a:off x="3335220" y="11591056"/>
          <a:ext cx="325408" cy="330652"/>
        </a:xfrm>
        <a:prstGeom prst="ellipse">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558364</xdr:colOff>
      <xdr:row>47</xdr:row>
      <xdr:rowOff>238934</xdr:rowOff>
    </xdr:from>
    <xdr:to>
      <xdr:col>5</xdr:col>
      <xdr:colOff>74440</xdr:colOff>
      <xdr:row>47</xdr:row>
      <xdr:rowOff>238934</xdr:rowOff>
    </xdr:to>
    <xdr:cxnSp macro="">
      <xdr:nvCxnSpPr>
        <xdr:cNvPr id="47" name="直線矢印コネクタ 46">
          <a:extLst>
            <a:ext uri="{FF2B5EF4-FFF2-40B4-BE49-F238E27FC236}">
              <a16:creationId xmlns:a16="http://schemas.microsoft.com/office/drawing/2014/main" id="{033DE5D1-0938-49E2-81E6-647D34C621AC}"/>
            </a:ext>
          </a:extLst>
        </xdr:cNvPr>
        <xdr:cNvCxnSpPr>
          <a:endCxn id="41" idx="3"/>
        </xdr:cNvCxnSpPr>
      </xdr:nvCxnSpPr>
      <xdr:spPr>
        <a:xfrm flipH="1">
          <a:off x="2599435" y="11750577"/>
          <a:ext cx="876791"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477652</xdr:colOff>
      <xdr:row>54</xdr:row>
      <xdr:rowOff>114839</xdr:rowOff>
    </xdr:from>
    <xdr:to>
      <xdr:col>6</xdr:col>
      <xdr:colOff>326429</xdr:colOff>
      <xdr:row>54</xdr:row>
      <xdr:rowOff>119520</xdr:rowOff>
    </xdr:to>
    <xdr:cxnSp macro="">
      <xdr:nvCxnSpPr>
        <xdr:cNvPr id="48" name="直線矢印コネクタ 47">
          <a:extLst>
            <a:ext uri="{FF2B5EF4-FFF2-40B4-BE49-F238E27FC236}">
              <a16:creationId xmlns:a16="http://schemas.microsoft.com/office/drawing/2014/main" id="{7F3C9ED0-8532-4373-9A3F-8DF290903FAF}"/>
            </a:ext>
          </a:extLst>
        </xdr:cNvPr>
        <xdr:cNvCxnSpPr>
          <a:stCxn id="45" idx="1"/>
          <a:endCxn id="42" idx="3"/>
        </xdr:cNvCxnSpPr>
      </xdr:nvCxnSpPr>
      <xdr:spPr>
        <a:xfrm flipH="1" flipV="1">
          <a:off x="2518723" y="13340982"/>
          <a:ext cx="1889849" cy="4681"/>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643978</xdr:colOff>
      <xdr:row>49</xdr:row>
      <xdr:rowOff>117022</xdr:rowOff>
    </xdr:from>
    <xdr:to>
      <xdr:col>2</xdr:col>
      <xdr:colOff>643978</xdr:colOff>
      <xdr:row>52</xdr:row>
      <xdr:rowOff>229643</xdr:rowOff>
    </xdr:to>
    <xdr:cxnSp macro="">
      <xdr:nvCxnSpPr>
        <xdr:cNvPr id="49" name="直線矢印コネクタ 48">
          <a:extLst>
            <a:ext uri="{FF2B5EF4-FFF2-40B4-BE49-F238E27FC236}">
              <a16:creationId xmlns:a16="http://schemas.microsoft.com/office/drawing/2014/main" id="{F8F96083-FA11-4AE3-9367-984F22FD1DA5}"/>
            </a:ext>
          </a:extLst>
        </xdr:cNvPr>
        <xdr:cNvCxnSpPr/>
      </xdr:nvCxnSpPr>
      <xdr:spPr>
        <a:xfrm flipV="1">
          <a:off x="2004692" y="12118522"/>
          <a:ext cx="0" cy="847407"/>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563455</xdr:colOff>
      <xdr:row>50</xdr:row>
      <xdr:rowOff>46831</xdr:rowOff>
    </xdr:from>
    <xdr:to>
      <xdr:col>2</xdr:col>
      <xdr:colOff>345340</xdr:colOff>
      <xdr:row>51</xdr:row>
      <xdr:rowOff>229007</xdr:rowOff>
    </xdr:to>
    <xdr:sp macro="" textlink="">
      <xdr:nvSpPr>
        <xdr:cNvPr id="50" name="正方形/長方形 49">
          <a:extLst>
            <a:ext uri="{FF2B5EF4-FFF2-40B4-BE49-F238E27FC236}">
              <a16:creationId xmlns:a16="http://schemas.microsoft.com/office/drawing/2014/main" id="{E97193C8-102F-4904-9096-CD368BD12FA7}"/>
            </a:ext>
          </a:extLst>
        </xdr:cNvPr>
        <xdr:cNvSpPr/>
      </xdr:nvSpPr>
      <xdr:spPr>
        <a:xfrm>
          <a:off x="563455" y="12293260"/>
          <a:ext cx="1142599" cy="42710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リセット完了</a:t>
          </a:r>
        </a:p>
      </xdr:txBody>
    </xdr:sp>
    <xdr:clientData/>
  </xdr:twoCellAnchor>
  <xdr:twoCellAnchor>
    <xdr:from>
      <xdr:col>2</xdr:col>
      <xdr:colOff>456840</xdr:colOff>
      <xdr:row>50</xdr:row>
      <xdr:rowOff>49072</xdr:rowOff>
    </xdr:from>
    <xdr:to>
      <xdr:col>4</xdr:col>
      <xdr:colOff>504065</xdr:colOff>
      <xdr:row>51</xdr:row>
      <xdr:rowOff>224525</xdr:rowOff>
    </xdr:to>
    <xdr:sp macro="" textlink="">
      <xdr:nvSpPr>
        <xdr:cNvPr id="51" name="正方形/長方形 50">
          <a:extLst>
            <a:ext uri="{FF2B5EF4-FFF2-40B4-BE49-F238E27FC236}">
              <a16:creationId xmlns:a16="http://schemas.microsoft.com/office/drawing/2014/main" id="{0D41EEF2-EFE1-49FC-A368-8D701B8F17ED}"/>
            </a:ext>
          </a:extLst>
        </xdr:cNvPr>
        <xdr:cNvSpPr/>
      </xdr:nvSpPr>
      <xdr:spPr>
        <a:xfrm>
          <a:off x="1817554" y="12295501"/>
          <a:ext cx="1407940" cy="42038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リセット開始</a:t>
          </a:r>
        </a:p>
      </xdr:txBody>
    </xdr:sp>
    <xdr:clientData/>
  </xdr:twoCellAnchor>
  <xdr:twoCellAnchor>
    <xdr:from>
      <xdr:col>1</xdr:col>
      <xdr:colOff>52545</xdr:colOff>
      <xdr:row>58</xdr:row>
      <xdr:rowOff>120367</xdr:rowOff>
    </xdr:from>
    <xdr:to>
      <xdr:col>2</xdr:col>
      <xdr:colOff>536799</xdr:colOff>
      <xdr:row>61</xdr:row>
      <xdr:rowOff>6923</xdr:rowOff>
    </xdr:to>
    <xdr:sp macro="" textlink="">
      <xdr:nvSpPr>
        <xdr:cNvPr id="52" name="正方形/長方形 51">
          <a:extLst>
            <a:ext uri="{FF2B5EF4-FFF2-40B4-BE49-F238E27FC236}">
              <a16:creationId xmlns:a16="http://schemas.microsoft.com/office/drawing/2014/main" id="{F45B1CF2-575B-4B5D-B075-1DC861B09258}"/>
            </a:ext>
          </a:extLst>
        </xdr:cNvPr>
        <xdr:cNvSpPr/>
      </xdr:nvSpPr>
      <xdr:spPr>
        <a:xfrm>
          <a:off x="732902" y="14326224"/>
          <a:ext cx="1164611" cy="62134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ディジタル値</a:t>
          </a:r>
          <a:endParaRPr kumimoji="1" lang="en-US" altLang="ja-JP" sz="1100">
            <a:solidFill>
              <a:schemeClr val="tx1"/>
            </a:solidFill>
          </a:endParaRPr>
        </a:p>
        <a:p>
          <a:pPr algn="ctr"/>
          <a:r>
            <a:rPr kumimoji="1" lang="ja-JP" altLang="en-US" sz="1100">
              <a:solidFill>
                <a:schemeClr val="tx1"/>
              </a:solidFill>
            </a:rPr>
            <a:t>出力開始</a:t>
          </a:r>
        </a:p>
      </xdr:txBody>
    </xdr:sp>
    <xdr:clientData/>
  </xdr:twoCellAnchor>
  <xdr:twoCellAnchor>
    <xdr:from>
      <xdr:col>7</xdr:col>
      <xdr:colOff>299960</xdr:colOff>
      <xdr:row>56</xdr:row>
      <xdr:rowOff>205555</xdr:rowOff>
    </xdr:from>
    <xdr:to>
      <xdr:col>9</xdr:col>
      <xdr:colOff>236648</xdr:colOff>
      <xdr:row>59</xdr:row>
      <xdr:rowOff>89951</xdr:rowOff>
    </xdr:to>
    <xdr:sp macro="" textlink="">
      <xdr:nvSpPr>
        <xdr:cNvPr id="56" name="正方形/長方形 55">
          <a:extLst>
            <a:ext uri="{FF2B5EF4-FFF2-40B4-BE49-F238E27FC236}">
              <a16:creationId xmlns:a16="http://schemas.microsoft.com/office/drawing/2014/main" id="{49A7BE11-D55A-46AA-914A-75F204124AA6}"/>
            </a:ext>
          </a:extLst>
        </xdr:cNvPr>
        <xdr:cNvSpPr/>
      </xdr:nvSpPr>
      <xdr:spPr>
        <a:xfrm>
          <a:off x="5062460" y="13921555"/>
          <a:ext cx="1297402" cy="61918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ディジタル値</a:t>
          </a:r>
          <a:endParaRPr kumimoji="1" lang="en-US" altLang="ja-JP" sz="1100">
            <a:solidFill>
              <a:schemeClr val="tx1"/>
            </a:solidFill>
          </a:endParaRPr>
        </a:p>
        <a:p>
          <a:pPr algn="ctr"/>
          <a:r>
            <a:rPr kumimoji="1" lang="ja-JP" altLang="en-US" sz="1100">
              <a:solidFill>
                <a:schemeClr val="tx1"/>
              </a:solidFill>
            </a:rPr>
            <a:t>出力準備完了</a:t>
          </a:r>
          <a:endParaRPr kumimoji="1" lang="en-US" altLang="ja-JP" sz="1100">
            <a:solidFill>
              <a:schemeClr val="tx1"/>
            </a:solidFill>
          </a:endParaRPr>
        </a:p>
      </xdr:txBody>
    </xdr:sp>
    <xdr:clientData/>
  </xdr:twoCellAnchor>
  <xdr:twoCellAnchor>
    <xdr:from>
      <xdr:col>4</xdr:col>
      <xdr:colOff>67997</xdr:colOff>
      <xdr:row>54</xdr:row>
      <xdr:rowOff>93070</xdr:rowOff>
    </xdr:from>
    <xdr:to>
      <xdr:col>5</xdr:col>
      <xdr:colOff>678038</xdr:colOff>
      <xdr:row>56</xdr:row>
      <xdr:rowOff>215849</xdr:rowOff>
    </xdr:to>
    <xdr:sp macro="" textlink="">
      <xdr:nvSpPr>
        <xdr:cNvPr id="59" name="正方形/長方形 58">
          <a:extLst>
            <a:ext uri="{FF2B5EF4-FFF2-40B4-BE49-F238E27FC236}">
              <a16:creationId xmlns:a16="http://schemas.microsoft.com/office/drawing/2014/main" id="{E47CB48B-3AC1-4B0B-81E8-A135430AA6C3}"/>
            </a:ext>
          </a:extLst>
        </xdr:cNvPr>
        <xdr:cNvSpPr/>
      </xdr:nvSpPr>
      <xdr:spPr>
        <a:xfrm>
          <a:off x="2789426" y="13319213"/>
          <a:ext cx="1290398" cy="61263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ディジタル値</a:t>
          </a:r>
        </a:p>
        <a:p>
          <a:pPr algn="ctr"/>
          <a:r>
            <a:rPr kumimoji="1" lang="ja-JP" altLang="en-US" sz="1100">
              <a:solidFill>
                <a:schemeClr val="tx1"/>
              </a:solidFill>
            </a:rPr>
            <a:t>出力完了</a:t>
          </a:r>
        </a:p>
      </xdr:txBody>
    </xdr:sp>
    <xdr:clientData/>
  </xdr:twoCellAnchor>
  <xdr:twoCellAnchor>
    <xdr:from>
      <xdr:col>6</xdr:col>
      <xdr:colOff>431484</xdr:colOff>
      <xdr:row>46</xdr:row>
      <xdr:rowOff>119214</xdr:rowOff>
    </xdr:from>
    <xdr:to>
      <xdr:col>8</xdr:col>
      <xdr:colOff>463444</xdr:colOff>
      <xdr:row>49</xdr:row>
      <xdr:rowOff>113101</xdr:rowOff>
    </xdr:to>
    <xdr:sp macro="" textlink="">
      <xdr:nvSpPr>
        <xdr:cNvPr id="61" name="正方形/長方形 60">
          <a:extLst>
            <a:ext uri="{FF2B5EF4-FFF2-40B4-BE49-F238E27FC236}">
              <a16:creationId xmlns:a16="http://schemas.microsoft.com/office/drawing/2014/main" id="{D4FB2777-E8D6-489C-9E30-662B098DEC98}"/>
            </a:ext>
          </a:extLst>
        </xdr:cNvPr>
        <xdr:cNvSpPr/>
      </xdr:nvSpPr>
      <xdr:spPr>
        <a:xfrm>
          <a:off x="4513627" y="11385928"/>
          <a:ext cx="1392674" cy="728673"/>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PAUSE</a:t>
          </a:r>
        </a:p>
      </xdr:txBody>
    </xdr:sp>
    <xdr:clientData/>
  </xdr:twoCellAnchor>
  <xdr:twoCellAnchor>
    <xdr:from>
      <xdr:col>7</xdr:col>
      <xdr:colOff>244968</xdr:colOff>
      <xdr:row>49</xdr:row>
      <xdr:rowOff>126547</xdr:rowOff>
    </xdr:from>
    <xdr:to>
      <xdr:col>7</xdr:col>
      <xdr:colOff>244968</xdr:colOff>
      <xdr:row>52</xdr:row>
      <xdr:rowOff>240654</xdr:rowOff>
    </xdr:to>
    <xdr:cxnSp macro="">
      <xdr:nvCxnSpPr>
        <xdr:cNvPr id="64" name="直線矢印コネクタ 63">
          <a:extLst>
            <a:ext uri="{FF2B5EF4-FFF2-40B4-BE49-F238E27FC236}">
              <a16:creationId xmlns:a16="http://schemas.microsoft.com/office/drawing/2014/main" id="{63EF03E0-0C4B-40B0-95FB-2101DD999AF0}"/>
            </a:ext>
          </a:extLst>
        </xdr:cNvPr>
        <xdr:cNvCxnSpPr/>
      </xdr:nvCxnSpPr>
      <xdr:spPr>
        <a:xfrm>
          <a:off x="5007468" y="12128047"/>
          <a:ext cx="0" cy="848893"/>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641456</xdr:colOff>
      <xdr:row>49</xdr:row>
      <xdr:rowOff>117022</xdr:rowOff>
    </xdr:from>
    <xdr:to>
      <xdr:col>7</xdr:col>
      <xdr:colOff>641456</xdr:colOff>
      <xdr:row>52</xdr:row>
      <xdr:rowOff>235246</xdr:rowOff>
    </xdr:to>
    <xdr:cxnSp macro="">
      <xdr:nvCxnSpPr>
        <xdr:cNvPr id="67" name="直線矢印コネクタ 66">
          <a:extLst>
            <a:ext uri="{FF2B5EF4-FFF2-40B4-BE49-F238E27FC236}">
              <a16:creationId xmlns:a16="http://schemas.microsoft.com/office/drawing/2014/main" id="{8FFC1CF9-00F1-4135-81C3-FF17E1EF2CE7}"/>
            </a:ext>
          </a:extLst>
        </xdr:cNvPr>
        <xdr:cNvCxnSpPr/>
      </xdr:nvCxnSpPr>
      <xdr:spPr>
        <a:xfrm flipV="1">
          <a:off x="5403956" y="12118522"/>
          <a:ext cx="0" cy="85301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204348</xdr:colOff>
      <xdr:row>51</xdr:row>
      <xdr:rowOff>129275</xdr:rowOff>
    </xdr:from>
    <xdr:to>
      <xdr:col>7</xdr:col>
      <xdr:colOff>383641</xdr:colOff>
      <xdr:row>53</xdr:row>
      <xdr:rowOff>59718</xdr:rowOff>
    </xdr:to>
    <xdr:sp macro="" textlink="">
      <xdr:nvSpPr>
        <xdr:cNvPr id="68" name="正方形/長方形 67">
          <a:extLst>
            <a:ext uri="{FF2B5EF4-FFF2-40B4-BE49-F238E27FC236}">
              <a16:creationId xmlns:a16="http://schemas.microsoft.com/office/drawing/2014/main" id="{55F463C3-5C33-4D06-96F5-BBC6EA17A7D7}"/>
            </a:ext>
          </a:extLst>
        </xdr:cNvPr>
        <xdr:cNvSpPr/>
      </xdr:nvSpPr>
      <xdr:spPr>
        <a:xfrm>
          <a:off x="4286491" y="12620632"/>
          <a:ext cx="859650" cy="4203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再開</a:t>
          </a:r>
        </a:p>
      </xdr:txBody>
    </xdr:sp>
    <xdr:clientData/>
  </xdr:twoCellAnchor>
  <xdr:twoCellAnchor>
    <xdr:from>
      <xdr:col>7</xdr:col>
      <xdr:colOff>467924</xdr:colOff>
      <xdr:row>51</xdr:row>
      <xdr:rowOff>90855</xdr:rowOff>
    </xdr:from>
    <xdr:to>
      <xdr:col>9</xdr:col>
      <xdr:colOff>237645</xdr:colOff>
      <xdr:row>53</xdr:row>
      <xdr:rowOff>21298</xdr:rowOff>
    </xdr:to>
    <xdr:sp macro="" textlink="">
      <xdr:nvSpPr>
        <xdr:cNvPr id="69" name="正方形/長方形 68">
          <a:extLst>
            <a:ext uri="{FF2B5EF4-FFF2-40B4-BE49-F238E27FC236}">
              <a16:creationId xmlns:a16="http://schemas.microsoft.com/office/drawing/2014/main" id="{F89FE5CD-B7AD-4324-AE96-FB18EB4D1C21}"/>
            </a:ext>
          </a:extLst>
        </xdr:cNvPr>
        <xdr:cNvSpPr/>
      </xdr:nvSpPr>
      <xdr:spPr>
        <a:xfrm>
          <a:off x="5230424" y="12582212"/>
          <a:ext cx="1130435" cy="4203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一時停止</a:t>
          </a:r>
        </a:p>
      </xdr:txBody>
    </xdr:sp>
    <xdr:clientData/>
  </xdr:twoCellAnchor>
  <xdr:twoCellAnchor>
    <xdr:from>
      <xdr:col>2</xdr:col>
      <xdr:colOff>460367</xdr:colOff>
      <xdr:row>56</xdr:row>
      <xdr:rowOff>401</xdr:rowOff>
    </xdr:from>
    <xdr:to>
      <xdr:col>4</xdr:col>
      <xdr:colOff>33503</xdr:colOff>
      <xdr:row>59</xdr:row>
      <xdr:rowOff>92452</xdr:rowOff>
    </xdr:to>
    <xdr:cxnSp macro="">
      <xdr:nvCxnSpPr>
        <xdr:cNvPr id="70" name="コネクタ: カギ線 69">
          <a:extLst>
            <a:ext uri="{FF2B5EF4-FFF2-40B4-BE49-F238E27FC236}">
              <a16:creationId xmlns:a16="http://schemas.microsoft.com/office/drawing/2014/main" id="{7314A628-07B5-4623-BBF3-40E44A1513E2}"/>
            </a:ext>
          </a:extLst>
        </xdr:cNvPr>
        <xdr:cNvCxnSpPr>
          <a:stCxn id="42" idx="2"/>
          <a:endCxn id="44" idx="1"/>
        </xdr:cNvCxnSpPr>
      </xdr:nvCxnSpPr>
      <xdr:spPr>
        <a:xfrm rot="16200000" flipH="1">
          <a:off x="1874588" y="13662894"/>
          <a:ext cx="826837" cy="933851"/>
        </a:xfrm>
        <a:prstGeom prst="bentConnector2">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124112</xdr:colOff>
      <xdr:row>55</xdr:row>
      <xdr:rowOff>240847</xdr:rowOff>
    </xdr:from>
    <xdr:to>
      <xdr:col>7</xdr:col>
      <xdr:colOff>426019</xdr:colOff>
      <xdr:row>59</xdr:row>
      <xdr:rowOff>92452</xdr:rowOff>
    </xdr:to>
    <xdr:cxnSp macro="">
      <xdr:nvCxnSpPr>
        <xdr:cNvPr id="73" name="コネクタ: カギ線 72">
          <a:extLst>
            <a:ext uri="{FF2B5EF4-FFF2-40B4-BE49-F238E27FC236}">
              <a16:creationId xmlns:a16="http://schemas.microsoft.com/office/drawing/2014/main" id="{E902F7F0-9CFB-410F-8FA0-D569870F7B0C}"/>
            </a:ext>
          </a:extLst>
        </xdr:cNvPr>
        <xdr:cNvCxnSpPr>
          <a:stCxn id="44" idx="3"/>
          <a:endCxn id="45" idx="2"/>
        </xdr:cNvCxnSpPr>
      </xdr:nvCxnSpPr>
      <xdr:spPr>
        <a:xfrm flipV="1">
          <a:off x="4206255" y="13711918"/>
          <a:ext cx="982264" cy="831320"/>
        </a:xfrm>
        <a:prstGeom prst="bentConnector2">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78808</xdr:colOff>
      <xdr:row>47</xdr:row>
      <xdr:rowOff>235220</xdr:rowOff>
    </xdr:from>
    <xdr:to>
      <xdr:col>8</xdr:col>
      <xdr:colOff>463444</xdr:colOff>
      <xdr:row>60</xdr:row>
      <xdr:rowOff>205503</xdr:rowOff>
    </xdr:to>
    <xdr:cxnSp macro="">
      <xdr:nvCxnSpPr>
        <xdr:cNvPr id="74" name="コネクタ: カギ線 73">
          <a:extLst>
            <a:ext uri="{FF2B5EF4-FFF2-40B4-BE49-F238E27FC236}">
              <a16:creationId xmlns:a16="http://schemas.microsoft.com/office/drawing/2014/main" id="{EA342EE8-870A-480C-8DF3-54D5777B8574}"/>
            </a:ext>
          </a:extLst>
        </xdr:cNvPr>
        <xdr:cNvCxnSpPr>
          <a:stCxn id="61" idx="3"/>
          <a:endCxn id="44" idx="2"/>
        </xdr:cNvCxnSpPr>
      </xdr:nvCxnSpPr>
      <xdr:spPr>
        <a:xfrm flipH="1">
          <a:off x="3480594" y="11746863"/>
          <a:ext cx="2425707" cy="3154354"/>
        </a:xfrm>
        <a:prstGeom prst="bentConnector4">
          <a:avLst>
            <a:gd name="adj1" fmla="val -20237"/>
            <a:gd name="adj2" fmla="val 107456"/>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179301</xdr:colOff>
      <xdr:row>61</xdr:row>
      <xdr:rowOff>185472</xdr:rowOff>
    </xdr:from>
    <xdr:to>
      <xdr:col>8</xdr:col>
      <xdr:colOff>97972</xdr:colOff>
      <xdr:row>64</xdr:row>
      <xdr:rowOff>72028</xdr:rowOff>
    </xdr:to>
    <xdr:sp macro="" textlink="">
      <xdr:nvSpPr>
        <xdr:cNvPr id="75" name="正方形/長方形 74">
          <a:extLst>
            <a:ext uri="{FF2B5EF4-FFF2-40B4-BE49-F238E27FC236}">
              <a16:creationId xmlns:a16="http://schemas.microsoft.com/office/drawing/2014/main" id="{3B8BE857-BB0A-4A54-BB34-8565C25BD370}"/>
            </a:ext>
          </a:extLst>
        </xdr:cNvPr>
        <xdr:cNvSpPr/>
      </xdr:nvSpPr>
      <xdr:spPr>
        <a:xfrm>
          <a:off x="4261444" y="15126115"/>
          <a:ext cx="1279385" cy="62134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ディジタル値</a:t>
          </a:r>
          <a:endParaRPr kumimoji="1" lang="en-US" altLang="ja-JP" sz="1100">
            <a:solidFill>
              <a:schemeClr val="tx1"/>
            </a:solidFill>
          </a:endParaRPr>
        </a:p>
        <a:p>
          <a:pPr algn="ctr"/>
          <a:r>
            <a:rPr kumimoji="1" lang="ja-JP" altLang="en-US" sz="1100">
              <a:solidFill>
                <a:schemeClr val="tx1"/>
              </a:solidFill>
            </a:rPr>
            <a:t>出力再スタート</a:t>
          </a:r>
        </a:p>
      </xdr:txBody>
    </xdr:sp>
    <xdr:clientData/>
  </xdr:twoCellAnchor>
  <xdr:twoCellAnchor>
    <xdr:from>
      <xdr:col>1</xdr:col>
      <xdr:colOff>381001</xdr:colOff>
      <xdr:row>57</xdr:row>
      <xdr:rowOff>44904</xdr:rowOff>
    </xdr:from>
    <xdr:to>
      <xdr:col>2</xdr:col>
      <xdr:colOff>285751</xdr:colOff>
      <xdr:row>58</xdr:row>
      <xdr:rowOff>242208</xdr:rowOff>
    </xdr:to>
    <xdr:sp macro="" textlink="">
      <xdr:nvSpPr>
        <xdr:cNvPr id="77" name="正方形/長方形 76">
          <a:extLst>
            <a:ext uri="{FF2B5EF4-FFF2-40B4-BE49-F238E27FC236}">
              <a16:creationId xmlns:a16="http://schemas.microsoft.com/office/drawing/2014/main" id="{F653AE67-8C57-4D09-87C9-2362E03A779B}"/>
            </a:ext>
          </a:extLst>
        </xdr:cNvPr>
        <xdr:cNvSpPr/>
      </xdr:nvSpPr>
      <xdr:spPr>
        <a:xfrm>
          <a:off x="1061358" y="14005833"/>
          <a:ext cx="585107" cy="442232"/>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400">
              <a:solidFill>
                <a:srgbClr val="00B0F0"/>
              </a:solidFill>
            </a:rPr>
            <a:t>①</a:t>
          </a:r>
        </a:p>
      </xdr:txBody>
    </xdr:sp>
    <xdr:clientData/>
  </xdr:twoCellAnchor>
  <xdr:twoCellAnchor>
    <xdr:from>
      <xdr:col>8</xdr:col>
      <xdr:colOff>88448</xdr:colOff>
      <xdr:row>49</xdr:row>
      <xdr:rowOff>206828</xdr:rowOff>
    </xdr:from>
    <xdr:to>
      <xdr:col>8</xdr:col>
      <xdr:colOff>673555</xdr:colOff>
      <xdr:row>51</xdr:row>
      <xdr:rowOff>159204</xdr:rowOff>
    </xdr:to>
    <xdr:sp macro="" textlink="">
      <xdr:nvSpPr>
        <xdr:cNvPr id="78" name="正方形/長方形 77">
          <a:extLst>
            <a:ext uri="{FF2B5EF4-FFF2-40B4-BE49-F238E27FC236}">
              <a16:creationId xmlns:a16="http://schemas.microsoft.com/office/drawing/2014/main" id="{40E524D7-BF6E-416C-8BC2-709977B6D6D1}"/>
            </a:ext>
          </a:extLst>
        </xdr:cNvPr>
        <xdr:cNvSpPr/>
      </xdr:nvSpPr>
      <xdr:spPr>
        <a:xfrm>
          <a:off x="5531305" y="12208328"/>
          <a:ext cx="585107" cy="442233"/>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400">
              <a:solidFill>
                <a:srgbClr val="00B0F0"/>
              </a:solidFill>
            </a:rPr>
            <a:t>②</a:t>
          </a:r>
        </a:p>
      </xdr:txBody>
    </xdr:sp>
    <xdr:clientData/>
  </xdr:twoCellAnchor>
  <xdr:twoCellAnchor>
    <xdr:from>
      <xdr:col>6</xdr:col>
      <xdr:colOff>378279</xdr:colOff>
      <xdr:row>49</xdr:row>
      <xdr:rowOff>210911</xdr:rowOff>
    </xdr:from>
    <xdr:to>
      <xdr:col>7</xdr:col>
      <xdr:colOff>283029</xdr:colOff>
      <xdr:row>51</xdr:row>
      <xdr:rowOff>163287</xdr:rowOff>
    </xdr:to>
    <xdr:sp macro="" textlink="">
      <xdr:nvSpPr>
        <xdr:cNvPr id="79" name="正方形/長方形 78">
          <a:extLst>
            <a:ext uri="{FF2B5EF4-FFF2-40B4-BE49-F238E27FC236}">
              <a16:creationId xmlns:a16="http://schemas.microsoft.com/office/drawing/2014/main" id="{CD90C186-BE6B-42C5-9583-A9ABF1C78211}"/>
            </a:ext>
          </a:extLst>
        </xdr:cNvPr>
        <xdr:cNvSpPr/>
      </xdr:nvSpPr>
      <xdr:spPr>
        <a:xfrm>
          <a:off x="4460422" y="12212411"/>
          <a:ext cx="585107" cy="442233"/>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400">
              <a:solidFill>
                <a:srgbClr val="00B0F0"/>
              </a:solidFill>
            </a:rPr>
            <a:t>③</a:t>
          </a:r>
        </a:p>
      </xdr:txBody>
    </xdr:sp>
    <xdr:clientData/>
  </xdr:twoCellAnchor>
  <xdr:twoCellAnchor>
    <xdr:from>
      <xdr:col>5</xdr:col>
      <xdr:colOff>443593</xdr:colOff>
      <xdr:row>61</xdr:row>
      <xdr:rowOff>231322</xdr:rowOff>
    </xdr:from>
    <xdr:to>
      <xdr:col>6</xdr:col>
      <xdr:colOff>348343</xdr:colOff>
      <xdr:row>63</xdr:row>
      <xdr:rowOff>183697</xdr:rowOff>
    </xdr:to>
    <xdr:sp macro="" textlink="">
      <xdr:nvSpPr>
        <xdr:cNvPr id="80" name="正方形/長方形 79">
          <a:extLst>
            <a:ext uri="{FF2B5EF4-FFF2-40B4-BE49-F238E27FC236}">
              <a16:creationId xmlns:a16="http://schemas.microsoft.com/office/drawing/2014/main" id="{5AD743F2-F8EA-461D-9460-D05E8BA763B3}"/>
            </a:ext>
          </a:extLst>
        </xdr:cNvPr>
        <xdr:cNvSpPr/>
      </xdr:nvSpPr>
      <xdr:spPr>
        <a:xfrm>
          <a:off x="3845379" y="15171965"/>
          <a:ext cx="585107" cy="442232"/>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400">
              <a:solidFill>
                <a:srgbClr val="00B0F0"/>
              </a:solidFill>
            </a:rPr>
            <a:t>④</a:t>
          </a:r>
        </a:p>
      </xdr:txBody>
    </xdr:sp>
    <xdr:clientData/>
  </xdr:twoCellAnchor>
  <xdr:twoCellAnchor>
    <xdr:from>
      <xdr:col>11</xdr:col>
      <xdr:colOff>266463</xdr:colOff>
      <xdr:row>52</xdr:row>
      <xdr:rowOff>96804</xdr:rowOff>
    </xdr:from>
    <xdr:to>
      <xdr:col>13</xdr:col>
      <xdr:colOff>312605</xdr:colOff>
      <xdr:row>55</xdr:row>
      <xdr:rowOff>115741</xdr:rowOff>
    </xdr:to>
    <xdr:sp macro="" textlink="">
      <xdr:nvSpPr>
        <xdr:cNvPr id="82" name="正方形/長方形 81">
          <a:extLst>
            <a:ext uri="{FF2B5EF4-FFF2-40B4-BE49-F238E27FC236}">
              <a16:creationId xmlns:a16="http://schemas.microsoft.com/office/drawing/2014/main" id="{98E7EA33-341A-4CEC-ACFE-F489D1AC0F18}"/>
            </a:ext>
          </a:extLst>
        </xdr:cNvPr>
        <xdr:cNvSpPr/>
      </xdr:nvSpPr>
      <xdr:spPr>
        <a:xfrm>
          <a:off x="7750392" y="12833090"/>
          <a:ext cx="1406856" cy="753722"/>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IDLE</a:t>
          </a:r>
        </a:p>
      </xdr:txBody>
    </xdr:sp>
    <xdr:clientData/>
  </xdr:twoCellAnchor>
  <xdr:twoCellAnchor>
    <xdr:from>
      <xdr:col>12</xdr:col>
      <xdr:colOff>6242</xdr:colOff>
      <xdr:row>48</xdr:row>
      <xdr:rowOff>231322</xdr:rowOff>
    </xdr:from>
    <xdr:to>
      <xdr:col>12</xdr:col>
      <xdr:colOff>6242</xdr:colOff>
      <xdr:row>52</xdr:row>
      <xdr:rowOff>105462</xdr:rowOff>
    </xdr:to>
    <xdr:cxnSp macro="">
      <xdr:nvCxnSpPr>
        <xdr:cNvPr id="83" name="直線矢印コネクタ 82">
          <a:extLst>
            <a:ext uri="{FF2B5EF4-FFF2-40B4-BE49-F238E27FC236}">
              <a16:creationId xmlns:a16="http://schemas.microsoft.com/office/drawing/2014/main" id="{B58CCDD1-518A-4F1F-A970-506F8D985BC2}"/>
            </a:ext>
          </a:extLst>
        </xdr:cNvPr>
        <xdr:cNvCxnSpPr/>
      </xdr:nvCxnSpPr>
      <xdr:spPr>
        <a:xfrm>
          <a:off x="8170528" y="11987893"/>
          <a:ext cx="0" cy="853855"/>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225998</xdr:colOff>
      <xdr:row>60</xdr:row>
      <xdr:rowOff>18085</xdr:rowOff>
    </xdr:from>
    <xdr:to>
      <xdr:col>13</xdr:col>
      <xdr:colOff>316608</xdr:colOff>
      <xdr:row>63</xdr:row>
      <xdr:rowOff>2397</xdr:rowOff>
    </xdr:to>
    <xdr:sp macro="" textlink="">
      <xdr:nvSpPr>
        <xdr:cNvPr id="84" name="正方形/長方形 83">
          <a:extLst>
            <a:ext uri="{FF2B5EF4-FFF2-40B4-BE49-F238E27FC236}">
              <a16:creationId xmlns:a16="http://schemas.microsoft.com/office/drawing/2014/main" id="{FBE6CC9E-CC22-4D46-9F09-5DEDA864ECE1}"/>
            </a:ext>
          </a:extLst>
        </xdr:cNvPr>
        <xdr:cNvSpPr/>
      </xdr:nvSpPr>
      <xdr:spPr>
        <a:xfrm>
          <a:off x="7709927" y="14713799"/>
          <a:ext cx="1451324" cy="719098"/>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PRELOAD</a:t>
          </a:r>
        </a:p>
      </xdr:txBody>
    </xdr:sp>
    <xdr:clientData/>
  </xdr:twoCellAnchor>
  <xdr:twoCellAnchor>
    <xdr:from>
      <xdr:col>12</xdr:col>
      <xdr:colOff>271303</xdr:colOff>
      <xdr:row>55</xdr:row>
      <xdr:rowOff>115741</xdr:rowOff>
    </xdr:from>
    <xdr:to>
      <xdr:col>12</xdr:col>
      <xdr:colOff>271303</xdr:colOff>
      <xdr:row>60</xdr:row>
      <xdr:rowOff>18085</xdr:rowOff>
    </xdr:to>
    <xdr:cxnSp macro="">
      <xdr:nvCxnSpPr>
        <xdr:cNvPr id="85" name="直線矢印コネクタ 84">
          <a:extLst>
            <a:ext uri="{FF2B5EF4-FFF2-40B4-BE49-F238E27FC236}">
              <a16:creationId xmlns:a16="http://schemas.microsoft.com/office/drawing/2014/main" id="{0C061458-59B5-48B0-BAA4-1AE505B0E2E1}"/>
            </a:ext>
          </a:extLst>
        </xdr:cNvPr>
        <xdr:cNvCxnSpPr>
          <a:stCxn id="82" idx="2"/>
          <a:endCxn id="84" idx="0"/>
        </xdr:cNvCxnSpPr>
      </xdr:nvCxnSpPr>
      <xdr:spPr>
        <a:xfrm flipH="1">
          <a:off x="8435589" y="13586812"/>
          <a:ext cx="0" cy="1126987"/>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179492</xdr:colOff>
      <xdr:row>60</xdr:row>
      <xdr:rowOff>9239</xdr:rowOff>
    </xdr:from>
    <xdr:to>
      <xdr:col>18</xdr:col>
      <xdr:colOff>335973</xdr:colOff>
      <xdr:row>63</xdr:row>
      <xdr:rowOff>18086</xdr:rowOff>
    </xdr:to>
    <xdr:sp macro="" textlink="">
      <xdr:nvSpPr>
        <xdr:cNvPr id="86" name="正方形/長方形 85">
          <a:extLst>
            <a:ext uri="{FF2B5EF4-FFF2-40B4-BE49-F238E27FC236}">
              <a16:creationId xmlns:a16="http://schemas.microsoft.com/office/drawing/2014/main" id="{39239B8C-DEA3-4F1D-8EB9-F55379330294}"/>
            </a:ext>
          </a:extLst>
        </xdr:cNvPr>
        <xdr:cNvSpPr/>
      </xdr:nvSpPr>
      <xdr:spPr>
        <a:xfrm>
          <a:off x="11065206" y="14704953"/>
          <a:ext cx="1517196" cy="743633"/>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READY</a:t>
          </a:r>
          <a:endParaRPr kumimoji="1" lang="ja-JP" altLang="en-US" sz="1400" b="1">
            <a:solidFill>
              <a:schemeClr val="tx1"/>
            </a:solidFill>
          </a:endParaRPr>
        </a:p>
      </xdr:txBody>
    </xdr:sp>
    <xdr:clientData/>
  </xdr:twoCellAnchor>
  <xdr:twoCellAnchor>
    <xdr:from>
      <xdr:col>13</xdr:col>
      <xdr:colOff>316608</xdr:colOff>
      <xdr:row>61</xdr:row>
      <xdr:rowOff>124542</xdr:rowOff>
    </xdr:from>
    <xdr:to>
      <xdr:col>16</xdr:col>
      <xdr:colOff>179492</xdr:colOff>
      <xdr:row>61</xdr:row>
      <xdr:rowOff>124542</xdr:rowOff>
    </xdr:to>
    <xdr:cxnSp macro="">
      <xdr:nvCxnSpPr>
        <xdr:cNvPr id="87" name="直線矢印コネクタ 86">
          <a:extLst>
            <a:ext uri="{FF2B5EF4-FFF2-40B4-BE49-F238E27FC236}">
              <a16:creationId xmlns:a16="http://schemas.microsoft.com/office/drawing/2014/main" id="{8222AB1D-92DE-4208-9465-CAEDB8F508E9}"/>
            </a:ext>
          </a:extLst>
        </xdr:cNvPr>
        <xdr:cNvCxnSpPr>
          <a:stCxn id="84" idx="3"/>
          <a:endCxn id="86" idx="1"/>
        </xdr:cNvCxnSpPr>
      </xdr:nvCxnSpPr>
      <xdr:spPr>
        <a:xfrm>
          <a:off x="9161251" y="15065185"/>
          <a:ext cx="190395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158181</xdr:colOff>
      <xdr:row>52</xdr:row>
      <xdr:rowOff>110648</xdr:rowOff>
    </xdr:from>
    <xdr:to>
      <xdr:col>18</xdr:col>
      <xdr:colOff>352187</xdr:colOff>
      <xdr:row>55</xdr:row>
      <xdr:rowOff>111258</xdr:rowOff>
    </xdr:to>
    <xdr:sp macro="" textlink="">
      <xdr:nvSpPr>
        <xdr:cNvPr id="88" name="正方形/長方形 87">
          <a:extLst>
            <a:ext uri="{FF2B5EF4-FFF2-40B4-BE49-F238E27FC236}">
              <a16:creationId xmlns:a16="http://schemas.microsoft.com/office/drawing/2014/main" id="{B94C0483-316F-44BF-814D-AC6DD4AFBD78}"/>
            </a:ext>
          </a:extLst>
        </xdr:cNvPr>
        <xdr:cNvSpPr/>
      </xdr:nvSpPr>
      <xdr:spPr>
        <a:xfrm>
          <a:off x="11043895" y="12846934"/>
          <a:ext cx="1554721" cy="735395"/>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WAVE GEN</a:t>
          </a:r>
        </a:p>
      </xdr:txBody>
    </xdr:sp>
    <xdr:clientData/>
  </xdr:twoCellAnchor>
  <xdr:twoCellAnchor>
    <xdr:from>
      <xdr:col>14</xdr:col>
      <xdr:colOff>448745</xdr:colOff>
      <xdr:row>47</xdr:row>
      <xdr:rowOff>12418</xdr:rowOff>
    </xdr:from>
    <xdr:to>
      <xdr:col>15</xdr:col>
      <xdr:colOff>93796</xdr:colOff>
      <xdr:row>48</xdr:row>
      <xdr:rowOff>91338</xdr:rowOff>
    </xdr:to>
    <xdr:sp macro="" textlink="">
      <xdr:nvSpPr>
        <xdr:cNvPr id="89" name="楕円 88">
          <a:extLst>
            <a:ext uri="{FF2B5EF4-FFF2-40B4-BE49-F238E27FC236}">
              <a16:creationId xmlns:a16="http://schemas.microsoft.com/office/drawing/2014/main" id="{1078E424-A5F0-47FA-969C-2EBDC6742EA1}"/>
            </a:ext>
          </a:extLst>
        </xdr:cNvPr>
        <xdr:cNvSpPr/>
      </xdr:nvSpPr>
      <xdr:spPr>
        <a:xfrm>
          <a:off x="9973745" y="11524061"/>
          <a:ext cx="325408" cy="323848"/>
        </a:xfrm>
        <a:prstGeom prst="ellipse">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393317</xdr:colOff>
      <xdr:row>47</xdr:row>
      <xdr:rowOff>162333</xdr:rowOff>
    </xdr:from>
    <xdr:to>
      <xdr:col>14</xdr:col>
      <xdr:colOff>589751</xdr:colOff>
      <xdr:row>47</xdr:row>
      <xdr:rowOff>162333</xdr:rowOff>
    </xdr:to>
    <xdr:cxnSp macro="">
      <xdr:nvCxnSpPr>
        <xdr:cNvPr id="90" name="直線矢印コネクタ 89">
          <a:extLst>
            <a:ext uri="{FF2B5EF4-FFF2-40B4-BE49-F238E27FC236}">
              <a16:creationId xmlns:a16="http://schemas.microsoft.com/office/drawing/2014/main" id="{34C6CF06-6CAE-49F1-95B8-D330B626A39D}"/>
            </a:ext>
          </a:extLst>
        </xdr:cNvPr>
        <xdr:cNvCxnSpPr>
          <a:endCxn id="81" idx="3"/>
        </xdr:cNvCxnSpPr>
      </xdr:nvCxnSpPr>
      <xdr:spPr>
        <a:xfrm flipH="1">
          <a:off x="9237960" y="11673976"/>
          <a:ext cx="876791"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255185</xdr:colOff>
      <xdr:row>55</xdr:row>
      <xdr:rowOff>111258</xdr:rowOff>
    </xdr:from>
    <xdr:to>
      <xdr:col>17</xdr:col>
      <xdr:colOff>255185</xdr:colOff>
      <xdr:row>60</xdr:row>
      <xdr:rowOff>9239</xdr:rowOff>
    </xdr:to>
    <xdr:cxnSp macro="">
      <xdr:nvCxnSpPr>
        <xdr:cNvPr id="91" name="直線矢印コネクタ 90">
          <a:extLst>
            <a:ext uri="{FF2B5EF4-FFF2-40B4-BE49-F238E27FC236}">
              <a16:creationId xmlns:a16="http://schemas.microsoft.com/office/drawing/2014/main" id="{9A42B52F-ED70-4214-825D-049A50BCC864}"/>
            </a:ext>
          </a:extLst>
        </xdr:cNvPr>
        <xdr:cNvCxnSpPr>
          <a:stCxn id="86" idx="0"/>
          <a:endCxn id="88" idx="2"/>
        </xdr:cNvCxnSpPr>
      </xdr:nvCxnSpPr>
      <xdr:spPr>
        <a:xfrm flipH="1" flipV="1">
          <a:off x="11821256" y="13582329"/>
          <a:ext cx="0" cy="1122624"/>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312605</xdr:colOff>
      <xdr:row>53</xdr:row>
      <xdr:rowOff>220573</xdr:rowOff>
    </xdr:from>
    <xdr:to>
      <xdr:col>16</xdr:col>
      <xdr:colOff>158181</xdr:colOff>
      <xdr:row>53</xdr:row>
      <xdr:rowOff>225254</xdr:rowOff>
    </xdr:to>
    <xdr:cxnSp macro="">
      <xdr:nvCxnSpPr>
        <xdr:cNvPr id="92" name="直線矢印コネクタ 91">
          <a:extLst>
            <a:ext uri="{FF2B5EF4-FFF2-40B4-BE49-F238E27FC236}">
              <a16:creationId xmlns:a16="http://schemas.microsoft.com/office/drawing/2014/main" id="{5C957C2B-18B5-44ED-AC89-3C5FC83A601D}"/>
            </a:ext>
          </a:extLst>
        </xdr:cNvPr>
        <xdr:cNvCxnSpPr>
          <a:stCxn id="88" idx="1"/>
          <a:endCxn id="82" idx="3"/>
        </xdr:cNvCxnSpPr>
      </xdr:nvCxnSpPr>
      <xdr:spPr>
        <a:xfrm flipH="1" flipV="1">
          <a:off x="9157248" y="13201787"/>
          <a:ext cx="1886647" cy="4681"/>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555131</xdr:colOff>
      <xdr:row>49</xdr:row>
      <xdr:rowOff>40821</xdr:rowOff>
    </xdr:from>
    <xdr:to>
      <xdr:col>12</xdr:col>
      <xdr:colOff>555131</xdr:colOff>
      <xdr:row>52</xdr:row>
      <xdr:rowOff>100054</xdr:rowOff>
    </xdr:to>
    <xdr:cxnSp macro="">
      <xdr:nvCxnSpPr>
        <xdr:cNvPr id="93" name="直線矢印コネクタ 92">
          <a:extLst>
            <a:ext uri="{FF2B5EF4-FFF2-40B4-BE49-F238E27FC236}">
              <a16:creationId xmlns:a16="http://schemas.microsoft.com/office/drawing/2014/main" id="{5EF35968-F977-4DFB-B058-D3FF9F4179C4}"/>
            </a:ext>
          </a:extLst>
        </xdr:cNvPr>
        <xdr:cNvCxnSpPr/>
      </xdr:nvCxnSpPr>
      <xdr:spPr>
        <a:xfrm flipV="1">
          <a:off x="8719417" y="12042321"/>
          <a:ext cx="0" cy="794019"/>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322209</xdr:colOff>
      <xdr:row>50</xdr:row>
      <xdr:rowOff>28820</xdr:rowOff>
    </xdr:from>
    <xdr:to>
      <xdr:col>12</xdr:col>
      <xdr:colOff>104093</xdr:colOff>
      <xdr:row>51</xdr:row>
      <xdr:rowOff>201391</xdr:rowOff>
    </xdr:to>
    <xdr:sp macro="" textlink="">
      <xdr:nvSpPr>
        <xdr:cNvPr id="94" name="正方形/長方形 93">
          <a:extLst>
            <a:ext uri="{FF2B5EF4-FFF2-40B4-BE49-F238E27FC236}">
              <a16:creationId xmlns:a16="http://schemas.microsoft.com/office/drawing/2014/main" id="{833F5D2F-3CEE-4A6C-98A0-FEDF41D55C86}"/>
            </a:ext>
          </a:extLst>
        </xdr:cNvPr>
        <xdr:cNvSpPr/>
      </xdr:nvSpPr>
      <xdr:spPr>
        <a:xfrm>
          <a:off x="7125780" y="12275249"/>
          <a:ext cx="1142599" cy="41749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リセット完了</a:t>
          </a:r>
        </a:p>
      </xdr:txBody>
    </xdr:sp>
    <xdr:clientData/>
  </xdr:twoCellAnchor>
  <xdr:twoCellAnchor>
    <xdr:from>
      <xdr:col>12</xdr:col>
      <xdr:colOff>362550</xdr:colOff>
      <xdr:row>50</xdr:row>
      <xdr:rowOff>69161</xdr:rowOff>
    </xdr:from>
    <xdr:to>
      <xdr:col>14</xdr:col>
      <xdr:colOff>415219</xdr:colOff>
      <xdr:row>51</xdr:row>
      <xdr:rowOff>235009</xdr:rowOff>
    </xdr:to>
    <xdr:sp macro="" textlink="">
      <xdr:nvSpPr>
        <xdr:cNvPr id="95" name="正方形/長方形 94">
          <a:extLst>
            <a:ext uri="{FF2B5EF4-FFF2-40B4-BE49-F238E27FC236}">
              <a16:creationId xmlns:a16="http://schemas.microsoft.com/office/drawing/2014/main" id="{AA912226-5567-4783-AFB8-FBD2B0D5A89D}"/>
            </a:ext>
          </a:extLst>
        </xdr:cNvPr>
        <xdr:cNvSpPr/>
      </xdr:nvSpPr>
      <xdr:spPr>
        <a:xfrm>
          <a:off x="8526836" y="12315590"/>
          <a:ext cx="1413383" cy="41077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リセット開始</a:t>
          </a:r>
        </a:p>
      </xdr:txBody>
    </xdr:sp>
    <xdr:clientData/>
  </xdr:twoCellAnchor>
  <xdr:twoCellAnchor>
    <xdr:from>
      <xdr:col>10</xdr:col>
      <xdr:colOff>384002</xdr:colOff>
      <xdr:row>57</xdr:row>
      <xdr:rowOff>33140</xdr:rowOff>
    </xdr:from>
    <xdr:to>
      <xdr:col>12</xdr:col>
      <xdr:colOff>322929</xdr:colOff>
      <xdr:row>59</xdr:row>
      <xdr:rowOff>158160</xdr:rowOff>
    </xdr:to>
    <xdr:sp macro="" textlink="">
      <xdr:nvSpPr>
        <xdr:cNvPr id="96" name="正方形/長方形 95">
          <a:extLst>
            <a:ext uri="{FF2B5EF4-FFF2-40B4-BE49-F238E27FC236}">
              <a16:creationId xmlns:a16="http://schemas.microsoft.com/office/drawing/2014/main" id="{26E64CB5-F7C2-47C8-9B57-0846DCE38C43}"/>
            </a:ext>
          </a:extLst>
        </xdr:cNvPr>
        <xdr:cNvSpPr/>
      </xdr:nvSpPr>
      <xdr:spPr>
        <a:xfrm>
          <a:off x="7187573" y="13994069"/>
          <a:ext cx="1299642" cy="61487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ユーザ定義波形</a:t>
          </a:r>
          <a:endParaRPr kumimoji="1" lang="en-US" altLang="ja-JP" sz="1100">
            <a:solidFill>
              <a:schemeClr val="tx1"/>
            </a:solidFill>
          </a:endParaRPr>
        </a:p>
        <a:p>
          <a:pPr algn="ctr"/>
          <a:r>
            <a:rPr kumimoji="1" lang="ja-JP" altLang="en-US" sz="1100">
              <a:solidFill>
                <a:schemeClr val="tx1"/>
              </a:solidFill>
            </a:rPr>
            <a:t>出力準備開始</a:t>
          </a:r>
        </a:p>
      </xdr:txBody>
    </xdr:sp>
    <xdr:clientData/>
  </xdr:twoCellAnchor>
  <xdr:twoCellAnchor>
    <xdr:from>
      <xdr:col>13</xdr:col>
      <xdr:colOff>603478</xdr:colOff>
      <xdr:row>61</xdr:row>
      <xdr:rowOff>101494</xdr:rowOff>
    </xdr:from>
    <xdr:to>
      <xdr:col>15</xdr:col>
      <xdr:colOff>533162</xdr:colOff>
      <xdr:row>64</xdr:row>
      <xdr:rowOff>18085</xdr:rowOff>
    </xdr:to>
    <xdr:sp macro="" textlink="">
      <xdr:nvSpPr>
        <xdr:cNvPr id="97" name="正方形/長方形 96">
          <a:extLst>
            <a:ext uri="{FF2B5EF4-FFF2-40B4-BE49-F238E27FC236}">
              <a16:creationId xmlns:a16="http://schemas.microsoft.com/office/drawing/2014/main" id="{7A2D8C47-4A6E-4E7E-8346-C23EFBECB478}"/>
            </a:ext>
          </a:extLst>
        </xdr:cNvPr>
        <xdr:cNvSpPr/>
      </xdr:nvSpPr>
      <xdr:spPr>
        <a:xfrm>
          <a:off x="9448121" y="15042137"/>
          <a:ext cx="1290398" cy="65137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ユーザ定義波形</a:t>
          </a:r>
          <a:endParaRPr kumimoji="1" lang="en-US" altLang="ja-JP" sz="1100">
            <a:solidFill>
              <a:schemeClr val="tx1"/>
            </a:solidFill>
          </a:endParaRPr>
        </a:p>
        <a:p>
          <a:pPr algn="ctr"/>
          <a:r>
            <a:rPr kumimoji="1" lang="ja-JP" altLang="en-US" sz="1100">
              <a:solidFill>
                <a:schemeClr val="tx1"/>
              </a:solidFill>
            </a:rPr>
            <a:t>出力準備完了</a:t>
          </a:r>
        </a:p>
      </xdr:txBody>
    </xdr:sp>
    <xdr:clientData/>
  </xdr:twoCellAnchor>
  <xdr:twoCellAnchor>
    <xdr:from>
      <xdr:col>17</xdr:col>
      <xdr:colOff>187582</xdr:colOff>
      <xdr:row>57</xdr:row>
      <xdr:rowOff>132550</xdr:rowOff>
    </xdr:from>
    <xdr:to>
      <xdr:col>19</xdr:col>
      <xdr:colOff>124269</xdr:colOff>
      <xdr:row>60</xdr:row>
      <xdr:rowOff>3678</xdr:rowOff>
    </xdr:to>
    <xdr:sp macro="" textlink="">
      <xdr:nvSpPr>
        <xdr:cNvPr id="98" name="正方形/長方形 97">
          <a:extLst>
            <a:ext uri="{FF2B5EF4-FFF2-40B4-BE49-F238E27FC236}">
              <a16:creationId xmlns:a16="http://schemas.microsoft.com/office/drawing/2014/main" id="{094FDA90-84CF-4E91-A7BE-9704F075278B}"/>
            </a:ext>
          </a:extLst>
        </xdr:cNvPr>
        <xdr:cNvSpPr/>
      </xdr:nvSpPr>
      <xdr:spPr>
        <a:xfrm>
          <a:off x="11753653" y="14093479"/>
          <a:ext cx="1297402" cy="60591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ユーザ定義波形</a:t>
          </a:r>
          <a:endParaRPr kumimoji="1" lang="en-US" altLang="ja-JP" sz="1100">
            <a:solidFill>
              <a:schemeClr val="tx1"/>
            </a:solidFill>
          </a:endParaRPr>
        </a:p>
        <a:p>
          <a:pPr algn="ctr"/>
          <a:r>
            <a:rPr kumimoji="1" lang="ja-JP" altLang="en-US" sz="1100">
              <a:solidFill>
                <a:schemeClr val="tx1"/>
              </a:solidFill>
            </a:rPr>
            <a:t>出力開始</a:t>
          </a:r>
        </a:p>
      </xdr:txBody>
    </xdr:sp>
    <xdr:clientData/>
  </xdr:twoCellAnchor>
  <xdr:twoCellAnchor>
    <xdr:from>
      <xdr:col>13</xdr:col>
      <xdr:colOff>583308</xdr:colOff>
      <xdr:row>54</xdr:row>
      <xdr:rowOff>22097</xdr:rowOff>
    </xdr:from>
    <xdr:to>
      <xdr:col>15</xdr:col>
      <xdr:colOff>512992</xdr:colOff>
      <xdr:row>56</xdr:row>
      <xdr:rowOff>144876</xdr:rowOff>
    </xdr:to>
    <xdr:sp macro="" textlink="">
      <xdr:nvSpPr>
        <xdr:cNvPr id="99" name="正方形/長方形 98">
          <a:extLst>
            <a:ext uri="{FF2B5EF4-FFF2-40B4-BE49-F238E27FC236}">
              <a16:creationId xmlns:a16="http://schemas.microsoft.com/office/drawing/2014/main" id="{DD0F0F01-ED32-4B45-863D-03B89E913E48}"/>
            </a:ext>
          </a:extLst>
        </xdr:cNvPr>
        <xdr:cNvSpPr/>
      </xdr:nvSpPr>
      <xdr:spPr>
        <a:xfrm>
          <a:off x="9427951" y="13248240"/>
          <a:ext cx="1290398" cy="61263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ユーザ定義波形</a:t>
          </a:r>
          <a:endParaRPr kumimoji="1" lang="en-US" altLang="ja-JP" sz="1100">
            <a:solidFill>
              <a:schemeClr val="tx1"/>
            </a:solidFill>
          </a:endParaRPr>
        </a:p>
        <a:p>
          <a:pPr algn="ctr"/>
          <a:r>
            <a:rPr kumimoji="1" lang="ja-JP" altLang="en-US" sz="1100">
              <a:solidFill>
                <a:schemeClr val="tx1"/>
              </a:solidFill>
            </a:rPr>
            <a:t>出力完了</a:t>
          </a:r>
        </a:p>
      </xdr:txBody>
    </xdr:sp>
    <xdr:clientData/>
  </xdr:twoCellAnchor>
  <xdr:twoCellAnchor>
    <xdr:from>
      <xdr:col>17</xdr:col>
      <xdr:colOff>13247</xdr:colOff>
      <xdr:row>49</xdr:row>
      <xdr:rowOff>27214</xdr:rowOff>
    </xdr:from>
    <xdr:to>
      <xdr:col>17</xdr:col>
      <xdr:colOff>13247</xdr:colOff>
      <xdr:row>52</xdr:row>
      <xdr:rowOff>111065</xdr:rowOff>
    </xdr:to>
    <xdr:cxnSp macro="">
      <xdr:nvCxnSpPr>
        <xdr:cNvPr id="101" name="直線矢印コネクタ 100">
          <a:extLst>
            <a:ext uri="{FF2B5EF4-FFF2-40B4-BE49-F238E27FC236}">
              <a16:creationId xmlns:a16="http://schemas.microsoft.com/office/drawing/2014/main" id="{9385CCE2-5FE1-4A04-890E-6CECB555A639}"/>
            </a:ext>
          </a:extLst>
        </xdr:cNvPr>
        <xdr:cNvCxnSpPr/>
      </xdr:nvCxnSpPr>
      <xdr:spPr>
        <a:xfrm>
          <a:off x="11579318" y="12028714"/>
          <a:ext cx="0" cy="818637"/>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562135</xdr:colOff>
      <xdr:row>49</xdr:row>
      <xdr:rowOff>40821</xdr:rowOff>
    </xdr:from>
    <xdr:to>
      <xdr:col>17</xdr:col>
      <xdr:colOff>562135</xdr:colOff>
      <xdr:row>52</xdr:row>
      <xdr:rowOff>105657</xdr:rowOff>
    </xdr:to>
    <xdr:cxnSp macro="">
      <xdr:nvCxnSpPr>
        <xdr:cNvPr id="102" name="直線矢印コネクタ 101">
          <a:extLst>
            <a:ext uri="{FF2B5EF4-FFF2-40B4-BE49-F238E27FC236}">
              <a16:creationId xmlns:a16="http://schemas.microsoft.com/office/drawing/2014/main" id="{E43F9B43-8A7D-4FBE-9E30-671EFE84C38D}"/>
            </a:ext>
          </a:extLst>
        </xdr:cNvPr>
        <xdr:cNvCxnSpPr/>
      </xdr:nvCxnSpPr>
      <xdr:spPr>
        <a:xfrm flipV="1">
          <a:off x="12128206" y="12042321"/>
          <a:ext cx="0" cy="799622"/>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612162</xdr:colOff>
      <xdr:row>50</xdr:row>
      <xdr:rowOff>206512</xdr:rowOff>
    </xdr:from>
    <xdr:to>
      <xdr:col>17</xdr:col>
      <xdr:colOff>111098</xdr:colOff>
      <xdr:row>52</xdr:row>
      <xdr:rowOff>124629</xdr:rowOff>
    </xdr:to>
    <xdr:sp macro="" textlink="">
      <xdr:nvSpPr>
        <xdr:cNvPr id="103" name="正方形/長方形 102">
          <a:extLst>
            <a:ext uri="{FF2B5EF4-FFF2-40B4-BE49-F238E27FC236}">
              <a16:creationId xmlns:a16="http://schemas.microsoft.com/office/drawing/2014/main" id="{D09F9882-638F-499E-8EBE-59CF1C5933CB}"/>
            </a:ext>
          </a:extLst>
        </xdr:cNvPr>
        <xdr:cNvSpPr/>
      </xdr:nvSpPr>
      <xdr:spPr>
        <a:xfrm>
          <a:off x="10817519" y="12452941"/>
          <a:ext cx="859650" cy="40797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再開</a:t>
          </a:r>
        </a:p>
      </xdr:txBody>
    </xdr:sp>
    <xdr:clientData/>
  </xdr:twoCellAnchor>
  <xdr:twoCellAnchor>
    <xdr:from>
      <xdr:col>17</xdr:col>
      <xdr:colOff>369553</xdr:colOff>
      <xdr:row>50</xdr:row>
      <xdr:rowOff>195306</xdr:rowOff>
    </xdr:from>
    <xdr:to>
      <xdr:col>19</xdr:col>
      <xdr:colOff>141514</xdr:colOff>
      <xdr:row>52</xdr:row>
      <xdr:rowOff>122948</xdr:rowOff>
    </xdr:to>
    <xdr:sp macro="" textlink="">
      <xdr:nvSpPr>
        <xdr:cNvPr id="104" name="正方形/長方形 103">
          <a:extLst>
            <a:ext uri="{FF2B5EF4-FFF2-40B4-BE49-F238E27FC236}">
              <a16:creationId xmlns:a16="http://schemas.microsoft.com/office/drawing/2014/main" id="{377B5D72-9B70-4394-A209-1E3F8DE8CB8D}"/>
            </a:ext>
          </a:extLst>
        </xdr:cNvPr>
        <xdr:cNvSpPr/>
      </xdr:nvSpPr>
      <xdr:spPr>
        <a:xfrm>
          <a:off x="11935624" y="12441735"/>
          <a:ext cx="1132676" cy="41749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一時停止</a:t>
          </a:r>
        </a:p>
      </xdr:txBody>
    </xdr:sp>
    <xdr:clientData/>
  </xdr:twoCellAnchor>
  <xdr:twoCellAnchor>
    <xdr:from>
      <xdr:col>17</xdr:col>
      <xdr:colOff>492580</xdr:colOff>
      <xdr:row>55</xdr:row>
      <xdr:rowOff>238127</xdr:rowOff>
    </xdr:from>
    <xdr:to>
      <xdr:col>18</xdr:col>
      <xdr:colOff>397329</xdr:colOff>
      <xdr:row>57</xdr:row>
      <xdr:rowOff>190501</xdr:rowOff>
    </xdr:to>
    <xdr:sp macro="" textlink="">
      <xdr:nvSpPr>
        <xdr:cNvPr id="106" name="正方形/長方形 105">
          <a:extLst>
            <a:ext uri="{FF2B5EF4-FFF2-40B4-BE49-F238E27FC236}">
              <a16:creationId xmlns:a16="http://schemas.microsoft.com/office/drawing/2014/main" id="{39C14DDC-BEEF-40B0-9BD4-F6179AB35AB5}"/>
            </a:ext>
          </a:extLst>
        </xdr:cNvPr>
        <xdr:cNvSpPr/>
      </xdr:nvSpPr>
      <xdr:spPr>
        <a:xfrm>
          <a:off x="12058651" y="13709198"/>
          <a:ext cx="585107" cy="442232"/>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400">
              <a:solidFill>
                <a:srgbClr val="FF0000"/>
              </a:solidFill>
            </a:rPr>
            <a:t>①</a:t>
          </a:r>
        </a:p>
      </xdr:txBody>
    </xdr:sp>
    <xdr:clientData/>
  </xdr:twoCellAnchor>
  <xdr:twoCellAnchor>
    <xdr:from>
      <xdr:col>17</xdr:col>
      <xdr:colOff>553812</xdr:colOff>
      <xdr:row>49</xdr:row>
      <xdr:rowOff>114299</xdr:rowOff>
    </xdr:from>
    <xdr:to>
      <xdr:col>18</xdr:col>
      <xdr:colOff>458561</xdr:colOff>
      <xdr:row>51</xdr:row>
      <xdr:rowOff>66675</xdr:rowOff>
    </xdr:to>
    <xdr:sp macro="" textlink="">
      <xdr:nvSpPr>
        <xdr:cNvPr id="107" name="正方形/長方形 106">
          <a:extLst>
            <a:ext uri="{FF2B5EF4-FFF2-40B4-BE49-F238E27FC236}">
              <a16:creationId xmlns:a16="http://schemas.microsoft.com/office/drawing/2014/main" id="{1D780014-D9D8-4A13-A48C-CE3F06AE6AEC}"/>
            </a:ext>
          </a:extLst>
        </xdr:cNvPr>
        <xdr:cNvSpPr/>
      </xdr:nvSpPr>
      <xdr:spPr>
        <a:xfrm>
          <a:off x="12119883" y="12115799"/>
          <a:ext cx="585107" cy="442233"/>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400">
              <a:solidFill>
                <a:srgbClr val="FF0000"/>
              </a:solidFill>
            </a:rPr>
            <a:t>②</a:t>
          </a:r>
        </a:p>
      </xdr:txBody>
    </xdr:sp>
    <xdr:clientData/>
  </xdr:twoCellAnchor>
  <xdr:twoCellAnchor>
    <xdr:from>
      <xdr:col>16</xdr:col>
      <xdr:colOff>163286</xdr:colOff>
      <xdr:row>49</xdr:row>
      <xdr:rowOff>118382</xdr:rowOff>
    </xdr:from>
    <xdr:to>
      <xdr:col>17</xdr:col>
      <xdr:colOff>68036</xdr:colOff>
      <xdr:row>51</xdr:row>
      <xdr:rowOff>70758</xdr:rowOff>
    </xdr:to>
    <xdr:sp macro="" textlink="">
      <xdr:nvSpPr>
        <xdr:cNvPr id="112" name="正方形/長方形 111">
          <a:extLst>
            <a:ext uri="{FF2B5EF4-FFF2-40B4-BE49-F238E27FC236}">
              <a16:creationId xmlns:a16="http://schemas.microsoft.com/office/drawing/2014/main" id="{222E232F-1C2C-4736-BAE2-014A341ACAFD}"/>
            </a:ext>
          </a:extLst>
        </xdr:cNvPr>
        <xdr:cNvSpPr/>
      </xdr:nvSpPr>
      <xdr:spPr>
        <a:xfrm>
          <a:off x="11049000" y="12119882"/>
          <a:ext cx="585107" cy="442233"/>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400">
              <a:solidFill>
                <a:srgbClr val="FF0000"/>
              </a:solidFill>
            </a:rPr>
            <a:t>③</a:t>
          </a:r>
        </a:p>
      </xdr:txBody>
    </xdr:sp>
    <xdr:clientData/>
  </xdr:twoCellAnchor>
  <xdr:twoCellAnchor>
    <xdr:from>
      <xdr:col>16</xdr:col>
      <xdr:colOff>263236</xdr:colOff>
      <xdr:row>46</xdr:row>
      <xdr:rowOff>45415</xdr:rowOff>
    </xdr:from>
    <xdr:to>
      <xdr:col>18</xdr:col>
      <xdr:colOff>298397</xdr:colOff>
      <xdr:row>49</xdr:row>
      <xdr:rowOff>39302</xdr:rowOff>
    </xdr:to>
    <xdr:sp macro="" textlink="">
      <xdr:nvSpPr>
        <xdr:cNvPr id="100" name="正方形/長方形 99">
          <a:extLst>
            <a:ext uri="{FF2B5EF4-FFF2-40B4-BE49-F238E27FC236}">
              <a16:creationId xmlns:a16="http://schemas.microsoft.com/office/drawing/2014/main" id="{89304E50-CC88-498F-8F8A-A897CE6ED3FC}"/>
            </a:ext>
          </a:extLst>
        </xdr:cNvPr>
        <xdr:cNvSpPr/>
      </xdr:nvSpPr>
      <xdr:spPr>
        <a:xfrm>
          <a:off x="11148950" y="11312129"/>
          <a:ext cx="1395876" cy="728673"/>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PAUSE</a:t>
          </a:r>
        </a:p>
      </xdr:txBody>
    </xdr:sp>
    <xdr:clientData/>
  </xdr:twoCellAnchor>
  <xdr:twoCellAnchor>
    <xdr:from>
      <xdr:col>11</xdr:col>
      <xdr:colOff>239074</xdr:colOff>
      <xdr:row>46</xdr:row>
      <xdr:rowOff>47707</xdr:rowOff>
    </xdr:from>
    <xdr:to>
      <xdr:col>13</xdr:col>
      <xdr:colOff>393317</xdr:colOff>
      <xdr:row>49</xdr:row>
      <xdr:rowOff>41634</xdr:rowOff>
    </xdr:to>
    <xdr:sp macro="" textlink="">
      <xdr:nvSpPr>
        <xdr:cNvPr id="81" name="正方形/長方形 80">
          <a:extLst>
            <a:ext uri="{FF2B5EF4-FFF2-40B4-BE49-F238E27FC236}">
              <a16:creationId xmlns:a16="http://schemas.microsoft.com/office/drawing/2014/main" id="{8F76209E-375E-4D59-BE68-F14E55D44FC8}"/>
            </a:ext>
          </a:extLst>
        </xdr:cNvPr>
        <xdr:cNvSpPr/>
      </xdr:nvSpPr>
      <xdr:spPr>
        <a:xfrm>
          <a:off x="7723003" y="11314421"/>
          <a:ext cx="1514957" cy="728713"/>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RESET</a:t>
          </a:r>
          <a:endParaRPr kumimoji="1" lang="ja-JP" altLang="en-US" sz="1400" b="1">
            <a:solidFill>
              <a:schemeClr val="tx1"/>
            </a:solidFill>
          </a:endParaRPr>
        </a:p>
      </xdr:txBody>
    </xdr:sp>
    <xdr:clientData/>
  </xdr:twoCellAnchor>
  <xdr:twoCellAnchor>
    <xdr:from>
      <xdr:col>13</xdr:col>
      <xdr:colOff>165692</xdr:colOff>
      <xdr:row>43</xdr:row>
      <xdr:rowOff>56202</xdr:rowOff>
    </xdr:from>
    <xdr:to>
      <xdr:col>16</xdr:col>
      <xdr:colOff>326571</xdr:colOff>
      <xdr:row>45</xdr:row>
      <xdr:rowOff>204106</xdr:rowOff>
    </xdr:to>
    <xdr:sp macro="" textlink="">
      <xdr:nvSpPr>
        <xdr:cNvPr id="136" name="正方形/長方形 135">
          <a:extLst>
            <a:ext uri="{FF2B5EF4-FFF2-40B4-BE49-F238E27FC236}">
              <a16:creationId xmlns:a16="http://schemas.microsoft.com/office/drawing/2014/main" id="{27905CF2-33F3-4505-87CC-A24B9082BF91}"/>
            </a:ext>
          </a:extLst>
        </xdr:cNvPr>
        <xdr:cNvSpPr/>
      </xdr:nvSpPr>
      <xdr:spPr>
        <a:xfrm>
          <a:off x="9010335" y="10588131"/>
          <a:ext cx="2201950" cy="63776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600" b="1">
              <a:solidFill>
                <a:schemeClr val="tx1"/>
              </a:solidFill>
            </a:rPr>
            <a:t>AWG</a:t>
          </a:r>
          <a:r>
            <a:rPr kumimoji="1" lang="en-US" altLang="ja-JP" sz="1600" b="1" baseline="0">
              <a:solidFill>
                <a:schemeClr val="tx1"/>
              </a:solidFill>
            </a:rPr>
            <a:t> </a:t>
          </a:r>
          <a:r>
            <a:rPr kumimoji="1" lang="ja-JP" altLang="en-US" sz="1600" b="1" baseline="0">
              <a:solidFill>
                <a:schemeClr val="tx1"/>
              </a:solidFill>
            </a:rPr>
            <a:t>状態遷移</a:t>
          </a:r>
          <a:endParaRPr kumimoji="1" lang="ja-JP" altLang="en-US" sz="1600" b="1">
            <a:solidFill>
              <a:schemeClr val="tx1"/>
            </a:solidFill>
          </a:endParaRPr>
        </a:p>
      </xdr:txBody>
    </xdr:sp>
    <xdr:clientData/>
  </xdr:twoCellAnchor>
  <xdr:twoCellAnchor>
    <xdr:from>
      <xdr:col>3</xdr:col>
      <xdr:colOff>168415</xdr:colOff>
      <xdr:row>43</xdr:row>
      <xdr:rowOff>45316</xdr:rowOff>
    </xdr:from>
    <xdr:to>
      <xdr:col>7</xdr:col>
      <xdr:colOff>326572</xdr:colOff>
      <xdr:row>45</xdr:row>
      <xdr:rowOff>193220</xdr:rowOff>
    </xdr:to>
    <xdr:sp macro="" textlink="">
      <xdr:nvSpPr>
        <xdr:cNvPr id="138" name="正方形/長方形 137">
          <a:extLst>
            <a:ext uri="{FF2B5EF4-FFF2-40B4-BE49-F238E27FC236}">
              <a16:creationId xmlns:a16="http://schemas.microsoft.com/office/drawing/2014/main" id="{5A1A18B0-F109-4B91-86C3-1F877EC6E6D6}"/>
            </a:ext>
          </a:extLst>
        </xdr:cNvPr>
        <xdr:cNvSpPr/>
      </xdr:nvSpPr>
      <xdr:spPr>
        <a:xfrm>
          <a:off x="2209486" y="10577245"/>
          <a:ext cx="2879586" cy="63776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baseline="0">
              <a:solidFill>
                <a:schemeClr val="tx1"/>
              </a:solidFill>
            </a:rPr>
            <a:t>ディジタル出力状態遷移</a:t>
          </a:r>
          <a:endParaRPr kumimoji="1" lang="ja-JP" altLang="en-US" sz="1600" b="1">
            <a:solidFill>
              <a:schemeClr val="tx1"/>
            </a:solidFill>
          </a:endParaRPr>
        </a:p>
      </xdr:txBody>
    </xdr:sp>
    <xdr:clientData/>
  </xdr:twoCellAnchor>
  <xdr:twoCellAnchor>
    <xdr:from>
      <xdr:col>2</xdr:col>
      <xdr:colOff>439615</xdr:colOff>
      <xdr:row>93</xdr:row>
      <xdr:rowOff>87923</xdr:rowOff>
    </xdr:from>
    <xdr:to>
      <xdr:col>3</xdr:col>
      <xdr:colOff>454270</xdr:colOff>
      <xdr:row>96</xdr:row>
      <xdr:rowOff>65943</xdr:rowOff>
    </xdr:to>
    <xdr:sp macro="" textlink="">
      <xdr:nvSpPr>
        <xdr:cNvPr id="26" name="正方形/長方形 25">
          <a:extLst>
            <a:ext uri="{FF2B5EF4-FFF2-40B4-BE49-F238E27FC236}">
              <a16:creationId xmlns:a16="http://schemas.microsoft.com/office/drawing/2014/main" id="{37BB5EC9-334C-4BB3-9B34-8CA2966BEFF0}"/>
            </a:ext>
          </a:extLst>
        </xdr:cNvPr>
        <xdr:cNvSpPr/>
      </xdr:nvSpPr>
      <xdr:spPr>
        <a:xfrm>
          <a:off x="1817077" y="22574250"/>
          <a:ext cx="703385" cy="703385"/>
        </a:xfrm>
        <a:prstGeom prst="rect">
          <a:avLst/>
        </a:prstGeom>
        <a:solidFill>
          <a:schemeClr val="accent2">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a:solidFill>
                <a:schemeClr val="tx1"/>
              </a:solidFill>
            </a:rPr>
            <a:t>Idle</a:t>
          </a:r>
          <a:endParaRPr kumimoji="1" lang="ja-JP" altLang="en-US" sz="1400">
            <a:solidFill>
              <a:schemeClr val="tx1"/>
            </a:solidFill>
          </a:endParaRPr>
        </a:p>
      </xdr:txBody>
    </xdr:sp>
    <xdr:clientData/>
  </xdr:twoCellAnchor>
  <xdr:twoCellAnchor>
    <xdr:from>
      <xdr:col>7</xdr:col>
      <xdr:colOff>273581</xdr:colOff>
      <xdr:row>93</xdr:row>
      <xdr:rowOff>102578</xdr:rowOff>
    </xdr:from>
    <xdr:to>
      <xdr:col>8</xdr:col>
      <xdr:colOff>359021</xdr:colOff>
      <xdr:row>96</xdr:row>
      <xdr:rowOff>14655</xdr:rowOff>
    </xdr:to>
    <xdr:sp macro="" textlink="">
      <xdr:nvSpPr>
        <xdr:cNvPr id="27" name="正方形/長方形 26">
          <a:extLst>
            <a:ext uri="{FF2B5EF4-FFF2-40B4-BE49-F238E27FC236}">
              <a16:creationId xmlns:a16="http://schemas.microsoft.com/office/drawing/2014/main" id="{8A3C8A77-FEC8-4E50-8B07-9260BA91DFC0}"/>
            </a:ext>
          </a:extLst>
        </xdr:cNvPr>
        <xdr:cNvSpPr/>
      </xdr:nvSpPr>
      <xdr:spPr>
        <a:xfrm>
          <a:off x="5094696" y="22588905"/>
          <a:ext cx="774171" cy="637442"/>
        </a:xfrm>
        <a:prstGeom prst="rect">
          <a:avLst/>
        </a:prstGeom>
        <a:solidFill>
          <a:schemeClr val="accent2">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a:solidFill>
                <a:schemeClr val="tx1"/>
              </a:solidFill>
            </a:rPr>
            <a:t>Active</a:t>
          </a:r>
          <a:endParaRPr kumimoji="1" lang="ja-JP" altLang="en-US" sz="1400">
            <a:solidFill>
              <a:schemeClr val="tx1"/>
            </a:solidFill>
          </a:endParaRPr>
        </a:p>
      </xdr:txBody>
    </xdr:sp>
    <xdr:clientData/>
  </xdr:twoCellAnchor>
  <xdr:twoCellAnchor>
    <xdr:from>
      <xdr:col>3</xdr:col>
      <xdr:colOff>16577</xdr:colOff>
      <xdr:row>99</xdr:row>
      <xdr:rowOff>102856</xdr:rowOff>
    </xdr:from>
    <xdr:to>
      <xdr:col>3</xdr:col>
      <xdr:colOff>203221</xdr:colOff>
      <xdr:row>100</xdr:row>
      <xdr:rowOff>30579</xdr:rowOff>
    </xdr:to>
    <xdr:sp macro="" textlink="">
      <xdr:nvSpPr>
        <xdr:cNvPr id="29" name="楕円 28">
          <a:extLst>
            <a:ext uri="{FF2B5EF4-FFF2-40B4-BE49-F238E27FC236}">
              <a16:creationId xmlns:a16="http://schemas.microsoft.com/office/drawing/2014/main" id="{D2FD3DA5-F955-41F6-BC89-4F4A859A86F4}"/>
            </a:ext>
          </a:extLst>
        </xdr:cNvPr>
        <xdr:cNvSpPr/>
      </xdr:nvSpPr>
      <xdr:spPr>
        <a:xfrm>
          <a:off x="2082769" y="24039914"/>
          <a:ext cx="186644" cy="169511"/>
        </a:xfrm>
        <a:prstGeom prst="ellipse">
          <a:avLst/>
        </a:prstGeom>
        <a:solidFill>
          <a:schemeClr val="tx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106045</xdr:colOff>
      <xdr:row>96</xdr:row>
      <xdr:rowOff>73403</xdr:rowOff>
    </xdr:from>
    <xdr:to>
      <xdr:col>3</xdr:col>
      <xdr:colOff>106045</xdr:colOff>
      <xdr:row>99</xdr:row>
      <xdr:rowOff>197827</xdr:rowOff>
    </xdr:to>
    <xdr:cxnSp macro="">
      <xdr:nvCxnSpPr>
        <xdr:cNvPr id="30" name="直線矢印コネクタ 29">
          <a:extLst>
            <a:ext uri="{FF2B5EF4-FFF2-40B4-BE49-F238E27FC236}">
              <a16:creationId xmlns:a16="http://schemas.microsoft.com/office/drawing/2014/main" id="{DA96737D-3AB4-437D-A357-DBC3894133CA}"/>
            </a:ext>
          </a:extLst>
        </xdr:cNvPr>
        <xdr:cNvCxnSpPr/>
      </xdr:nvCxnSpPr>
      <xdr:spPr>
        <a:xfrm flipV="1">
          <a:off x="2172237" y="23285095"/>
          <a:ext cx="0" cy="84979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63779</xdr:colOff>
      <xdr:row>97</xdr:row>
      <xdr:rowOff>30714</xdr:rowOff>
    </xdr:from>
    <xdr:to>
      <xdr:col>3</xdr:col>
      <xdr:colOff>210281</xdr:colOff>
      <xdr:row>98</xdr:row>
      <xdr:rowOff>133468</xdr:rowOff>
    </xdr:to>
    <xdr:sp macro="" textlink="">
      <xdr:nvSpPr>
        <xdr:cNvPr id="31" name="正方形/長方形 30">
          <a:extLst>
            <a:ext uri="{FF2B5EF4-FFF2-40B4-BE49-F238E27FC236}">
              <a16:creationId xmlns:a16="http://schemas.microsoft.com/office/drawing/2014/main" id="{427F6F4E-84B7-429A-AAA4-7E9E804DDF62}"/>
            </a:ext>
          </a:extLst>
        </xdr:cNvPr>
        <xdr:cNvSpPr/>
      </xdr:nvSpPr>
      <xdr:spPr>
        <a:xfrm>
          <a:off x="752510" y="23484195"/>
          <a:ext cx="1523963" cy="34454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rgbClr val="00B0F0"/>
              </a:solidFill>
            </a:rPr>
            <a:t>CaptureCtrl.initialize</a:t>
          </a:r>
        </a:p>
      </xdr:txBody>
    </xdr:sp>
    <xdr:clientData/>
  </xdr:twoCellAnchor>
  <xdr:twoCellAnchor>
    <xdr:from>
      <xdr:col>3</xdr:col>
      <xdr:colOff>470119</xdr:colOff>
      <xdr:row>95</xdr:row>
      <xdr:rowOff>131209</xdr:rowOff>
    </xdr:from>
    <xdr:to>
      <xdr:col>7</xdr:col>
      <xdr:colOff>256443</xdr:colOff>
      <xdr:row>95</xdr:row>
      <xdr:rowOff>131209</xdr:rowOff>
    </xdr:to>
    <xdr:cxnSp macro="">
      <xdr:nvCxnSpPr>
        <xdr:cNvPr id="36" name="直線矢印コネクタ 35">
          <a:extLst>
            <a:ext uri="{FF2B5EF4-FFF2-40B4-BE49-F238E27FC236}">
              <a16:creationId xmlns:a16="http://schemas.microsoft.com/office/drawing/2014/main" id="{DAD6A5C8-8DBA-444E-AA21-03F146ADAE81}"/>
            </a:ext>
          </a:extLst>
        </xdr:cNvPr>
        <xdr:cNvCxnSpPr/>
      </xdr:nvCxnSpPr>
      <xdr:spPr>
        <a:xfrm flipH="1">
          <a:off x="2536311" y="23101113"/>
          <a:ext cx="2541247"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542150</xdr:colOff>
      <xdr:row>95</xdr:row>
      <xdr:rowOff>74217</xdr:rowOff>
    </xdr:from>
    <xdr:to>
      <xdr:col>7</xdr:col>
      <xdr:colOff>190501</xdr:colOff>
      <xdr:row>98</xdr:row>
      <xdr:rowOff>117231</xdr:rowOff>
    </xdr:to>
    <xdr:sp macro="" textlink="">
      <xdr:nvSpPr>
        <xdr:cNvPr id="37" name="正方形/長方形 36">
          <a:extLst>
            <a:ext uri="{FF2B5EF4-FFF2-40B4-BE49-F238E27FC236}">
              <a16:creationId xmlns:a16="http://schemas.microsoft.com/office/drawing/2014/main" id="{481AA3AA-5EEF-4D4D-9D3F-259E0956FC18}"/>
            </a:ext>
          </a:extLst>
        </xdr:cNvPr>
        <xdr:cNvSpPr/>
      </xdr:nvSpPr>
      <xdr:spPr>
        <a:xfrm>
          <a:off x="2608342" y="23044121"/>
          <a:ext cx="2403274" cy="76837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en-US" altLang="ja-JP" sz="1100">
              <a:solidFill>
                <a:srgbClr val="00B0F0"/>
              </a:solidFill>
            </a:rPr>
            <a:t>CaptureCtrl.teminate_capture_units</a:t>
          </a:r>
        </a:p>
        <a:p>
          <a:pPr algn="ctr"/>
          <a:r>
            <a:rPr kumimoji="1" lang="en-US" altLang="ja-JP" sz="1100">
              <a:solidFill>
                <a:schemeClr val="tx1"/>
              </a:solidFill>
            </a:rPr>
            <a:t>or</a:t>
          </a:r>
        </a:p>
        <a:p>
          <a:pPr algn="ctr"/>
          <a:r>
            <a:rPr kumimoji="1" lang="ja-JP" altLang="en-US" sz="1100">
              <a:solidFill>
                <a:schemeClr val="tx1"/>
              </a:solidFill>
            </a:rPr>
            <a:t>キャプチャ完了</a:t>
          </a:r>
        </a:p>
      </xdr:txBody>
    </xdr:sp>
    <xdr:clientData/>
  </xdr:twoCellAnchor>
  <xdr:twoCellAnchor>
    <xdr:from>
      <xdr:col>3</xdr:col>
      <xdr:colOff>638947</xdr:colOff>
      <xdr:row>91</xdr:row>
      <xdr:rowOff>73270</xdr:rowOff>
    </xdr:from>
    <xdr:to>
      <xdr:col>7</xdr:col>
      <xdr:colOff>80598</xdr:colOff>
      <xdr:row>94</xdr:row>
      <xdr:rowOff>73271</xdr:rowOff>
    </xdr:to>
    <xdr:sp macro="" textlink="">
      <xdr:nvSpPr>
        <xdr:cNvPr id="39" name="正方形/長方形 38">
          <a:extLst>
            <a:ext uri="{FF2B5EF4-FFF2-40B4-BE49-F238E27FC236}">
              <a16:creationId xmlns:a16="http://schemas.microsoft.com/office/drawing/2014/main" id="{4F9E0244-2D7A-4E59-9CA4-1DB85B4F2B2C}"/>
            </a:ext>
          </a:extLst>
        </xdr:cNvPr>
        <xdr:cNvSpPr/>
      </xdr:nvSpPr>
      <xdr:spPr>
        <a:xfrm>
          <a:off x="2705139" y="22076020"/>
          <a:ext cx="2196574" cy="72536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rgbClr val="00B0F0"/>
              </a:solidFill>
            </a:rPr>
            <a:t>CaptureCtrl.start_capture_units</a:t>
          </a:r>
        </a:p>
        <a:p>
          <a:pPr algn="ctr"/>
          <a:r>
            <a:rPr kumimoji="1" lang="en-US" altLang="ja-JP" sz="1100">
              <a:solidFill>
                <a:schemeClr val="tx1"/>
              </a:solidFill>
            </a:rPr>
            <a:t>or</a:t>
          </a:r>
        </a:p>
        <a:p>
          <a:pPr algn="ctr"/>
          <a:r>
            <a:rPr kumimoji="1" lang="en-US" altLang="ja-JP" sz="1100">
              <a:solidFill>
                <a:schemeClr val="tx1"/>
              </a:solidFill>
            </a:rPr>
            <a:t>AWG </a:t>
          </a:r>
          <a:r>
            <a:rPr kumimoji="1" lang="ja-JP" altLang="en-US" sz="1100">
              <a:solidFill>
                <a:schemeClr val="tx1"/>
              </a:solidFill>
            </a:rPr>
            <a:t>波形出力開始</a:t>
          </a:r>
          <a:endParaRPr kumimoji="1" lang="en-US" altLang="ja-JP" sz="1100">
            <a:solidFill>
              <a:schemeClr val="tx1"/>
            </a:solidFill>
          </a:endParaRPr>
        </a:p>
      </xdr:txBody>
    </xdr:sp>
    <xdr:clientData/>
  </xdr:twoCellAnchor>
  <xdr:twoCellAnchor>
    <xdr:from>
      <xdr:col>3</xdr:col>
      <xdr:colOff>482275</xdr:colOff>
      <xdr:row>94</xdr:row>
      <xdr:rowOff>7731</xdr:rowOff>
    </xdr:from>
    <xdr:to>
      <xdr:col>7</xdr:col>
      <xdr:colOff>263770</xdr:colOff>
      <xdr:row>94</xdr:row>
      <xdr:rowOff>7731</xdr:rowOff>
    </xdr:to>
    <xdr:cxnSp macro="">
      <xdr:nvCxnSpPr>
        <xdr:cNvPr id="40" name="直線矢印コネクタ 39">
          <a:extLst>
            <a:ext uri="{FF2B5EF4-FFF2-40B4-BE49-F238E27FC236}">
              <a16:creationId xmlns:a16="http://schemas.microsoft.com/office/drawing/2014/main" id="{7AF1D672-3A49-4529-AD2C-B466ED082963}"/>
            </a:ext>
          </a:extLst>
        </xdr:cNvPr>
        <xdr:cNvCxnSpPr/>
      </xdr:nvCxnSpPr>
      <xdr:spPr>
        <a:xfrm>
          <a:off x="2548467" y="22735846"/>
          <a:ext cx="2536418"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40822</xdr:colOff>
      <xdr:row>2</xdr:row>
      <xdr:rowOff>54428</xdr:rowOff>
    </xdr:from>
    <xdr:to>
      <xdr:col>45</xdr:col>
      <xdr:colOff>244931</xdr:colOff>
      <xdr:row>3</xdr:row>
      <xdr:rowOff>81643</xdr:rowOff>
    </xdr:to>
    <xdr:sp macro="" textlink="">
      <xdr:nvSpPr>
        <xdr:cNvPr id="22" name="右中かっこ 21">
          <a:extLst>
            <a:ext uri="{FF2B5EF4-FFF2-40B4-BE49-F238E27FC236}">
              <a16:creationId xmlns:a16="http://schemas.microsoft.com/office/drawing/2014/main" id="{1F1C6893-C662-445E-9754-83F08BD7E581}"/>
            </a:ext>
          </a:extLst>
        </xdr:cNvPr>
        <xdr:cNvSpPr/>
      </xdr:nvSpPr>
      <xdr:spPr>
        <a:xfrm rot="16200000">
          <a:off x="6777719" y="-4586969"/>
          <a:ext cx="265340" cy="10976884"/>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23</xdr:col>
      <xdr:colOff>212272</xdr:colOff>
      <xdr:row>1</xdr:row>
      <xdr:rowOff>12246</xdr:rowOff>
    </xdr:from>
    <xdr:to>
      <xdr:col>28</xdr:col>
      <xdr:colOff>142875</xdr:colOff>
      <xdr:row>2</xdr:row>
      <xdr:rowOff>73479</xdr:rowOff>
    </xdr:to>
    <xdr:sp macro="" textlink="">
      <xdr:nvSpPr>
        <xdr:cNvPr id="23" name="正方形/長方形 22">
          <a:extLst>
            <a:ext uri="{FF2B5EF4-FFF2-40B4-BE49-F238E27FC236}">
              <a16:creationId xmlns:a16="http://schemas.microsoft.com/office/drawing/2014/main" id="{ADADE759-1459-487C-BCBD-CB12826924BF}"/>
            </a:ext>
          </a:extLst>
        </xdr:cNvPr>
        <xdr:cNvSpPr/>
      </xdr:nvSpPr>
      <xdr:spPr>
        <a:xfrm>
          <a:off x="6289222" y="8108496"/>
          <a:ext cx="1311728" cy="29935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a:t>
          </a:r>
          <a:r>
            <a:rPr kumimoji="1" lang="ja-JP" altLang="en-US" sz="1100">
              <a:solidFill>
                <a:schemeClr val="tx1"/>
              </a:solidFill>
            </a:rPr>
            <a:t>ワード </a:t>
          </a:r>
          <a:r>
            <a:rPr kumimoji="1" lang="en-US" altLang="ja-JP" sz="1100">
              <a:solidFill>
                <a:schemeClr val="tx1"/>
              </a:solidFill>
            </a:rPr>
            <a:t>= 256</a:t>
          </a:r>
          <a:r>
            <a:rPr kumimoji="1" lang="ja-JP" altLang="en-US" sz="1100" baseline="0">
              <a:solidFill>
                <a:schemeClr val="tx1"/>
              </a:solidFill>
            </a:rPr>
            <a:t> </a:t>
          </a:r>
          <a:r>
            <a:rPr kumimoji="1" lang="en-US" altLang="ja-JP" sz="1100">
              <a:solidFill>
                <a:schemeClr val="tx1"/>
              </a:solidFill>
            </a:rPr>
            <a:t>bits</a:t>
          </a:r>
          <a:endParaRPr kumimoji="1" lang="ja-JP" altLang="en-US" sz="1100">
            <a:solidFill>
              <a:schemeClr val="tx1"/>
            </a:solidFill>
          </a:endParaRPr>
        </a:p>
      </xdr:txBody>
    </xdr:sp>
    <xdr:clientData/>
  </xdr:twoCellAnchor>
  <xdr:twoCellAnchor>
    <xdr:from>
      <xdr:col>21</xdr:col>
      <xdr:colOff>44824</xdr:colOff>
      <xdr:row>9</xdr:row>
      <xdr:rowOff>11206</xdr:rowOff>
    </xdr:from>
    <xdr:to>
      <xdr:col>26</xdr:col>
      <xdr:colOff>0</xdr:colOff>
      <xdr:row>10</xdr:row>
      <xdr:rowOff>123265</xdr:rowOff>
    </xdr:to>
    <xdr:cxnSp macro="">
      <xdr:nvCxnSpPr>
        <xdr:cNvPr id="24" name="直線コネクタ 23">
          <a:extLst>
            <a:ext uri="{FF2B5EF4-FFF2-40B4-BE49-F238E27FC236}">
              <a16:creationId xmlns:a16="http://schemas.microsoft.com/office/drawing/2014/main" id="{AC37765D-34CD-4722-AD58-780929FC767E}"/>
            </a:ext>
          </a:extLst>
        </xdr:cNvPr>
        <xdr:cNvCxnSpPr/>
      </xdr:nvCxnSpPr>
      <xdr:spPr>
        <a:xfrm flipH="1">
          <a:off x="5569324" y="2392456"/>
          <a:ext cx="1336301" cy="350184"/>
        </a:xfrm>
        <a:prstGeom prst="line">
          <a:avLst/>
        </a:prstGeom>
        <a:ln>
          <a:solidFill>
            <a:schemeClr val="tx1"/>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31</xdr:col>
      <xdr:colOff>16565</xdr:colOff>
      <xdr:row>9</xdr:row>
      <xdr:rowOff>11206</xdr:rowOff>
    </xdr:from>
    <xdr:to>
      <xdr:col>35</xdr:col>
      <xdr:colOff>224118</xdr:colOff>
      <xdr:row>10</xdr:row>
      <xdr:rowOff>156882</xdr:rowOff>
    </xdr:to>
    <xdr:cxnSp macro="">
      <xdr:nvCxnSpPr>
        <xdr:cNvPr id="25" name="直線コネクタ 24">
          <a:extLst>
            <a:ext uri="{FF2B5EF4-FFF2-40B4-BE49-F238E27FC236}">
              <a16:creationId xmlns:a16="http://schemas.microsoft.com/office/drawing/2014/main" id="{9309DCC0-4AFD-46FD-964B-CBDD57A18098}"/>
            </a:ext>
          </a:extLst>
        </xdr:cNvPr>
        <xdr:cNvCxnSpPr/>
      </xdr:nvCxnSpPr>
      <xdr:spPr>
        <a:xfrm>
          <a:off x="8303315" y="2392456"/>
          <a:ext cx="1312453" cy="383801"/>
        </a:xfrm>
        <a:prstGeom prst="line">
          <a:avLst/>
        </a:prstGeom>
        <a:ln>
          <a:solidFill>
            <a:schemeClr val="tx1"/>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40822</xdr:colOff>
      <xdr:row>18</xdr:row>
      <xdr:rowOff>54428</xdr:rowOff>
    </xdr:from>
    <xdr:to>
      <xdr:col>40</xdr:col>
      <xdr:colOff>244931</xdr:colOff>
      <xdr:row>19</xdr:row>
      <xdr:rowOff>81643</xdr:rowOff>
    </xdr:to>
    <xdr:sp macro="" textlink="">
      <xdr:nvSpPr>
        <xdr:cNvPr id="6" name="右中かっこ 5">
          <a:extLst>
            <a:ext uri="{FF2B5EF4-FFF2-40B4-BE49-F238E27FC236}">
              <a16:creationId xmlns:a16="http://schemas.microsoft.com/office/drawing/2014/main" id="{96CDE993-16E6-4C53-9C4C-14B43553CA63}"/>
            </a:ext>
          </a:extLst>
        </xdr:cNvPr>
        <xdr:cNvSpPr/>
      </xdr:nvSpPr>
      <xdr:spPr>
        <a:xfrm rot="16200000">
          <a:off x="6087157" y="-4134532"/>
          <a:ext cx="265340" cy="9595759"/>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21</xdr:col>
      <xdr:colOff>50347</xdr:colOff>
      <xdr:row>16</xdr:row>
      <xdr:rowOff>212271</xdr:rowOff>
    </xdr:from>
    <xdr:to>
      <xdr:col>25</xdr:col>
      <xdr:colOff>257175</xdr:colOff>
      <xdr:row>18</xdr:row>
      <xdr:rowOff>35379</xdr:rowOff>
    </xdr:to>
    <xdr:sp macro="" textlink="">
      <xdr:nvSpPr>
        <xdr:cNvPr id="7" name="正方形/長方形 6">
          <a:extLst>
            <a:ext uri="{FF2B5EF4-FFF2-40B4-BE49-F238E27FC236}">
              <a16:creationId xmlns:a16="http://schemas.microsoft.com/office/drawing/2014/main" id="{5C502787-6F16-48B8-8508-776564C13FDC}"/>
            </a:ext>
          </a:extLst>
        </xdr:cNvPr>
        <xdr:cNvSpPr/>
      </xdr:nvSpPr>
      <xdr:spPr>
        <a:xfrm>
          <a:off x="5574847" y="212271"/>
          <a:ext cx="1311728" cy="29935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a:t>
          </a:r>
          <a:r>
            <a:rPr kumimoji="1" lang="ja-JP" altLang="en-US" sz="1100">
              <a:solidFill>
                <a:schemeClr val="tx1"/>
              </a:solidFill>
            </a:rPr>
            <a:t>ワード </a:t>
          </a:r>
          <a:r>
            <a:rPr kumimoji="1" lang="en-US" altLang="ja-JP" sz="1100">
              <a:solidFill>
                <a:schemeClr val="tx1"/>
              </a:solidFill>
            </a:rPr>
            <a:t>= 512</a:t>
          </a:r>
          <a:r>
            <a:rPr kumimoji="1" lang="ja-JP" altLang="en-US" sz="1100" baseline="0">
              <a:solidFill>
                <a:schemeClr val="tx1"/>
              </a:solidFill>
            </a:rPr>
            <a:t> </a:t>
          </a:r>
          <a:r>
            <a:rPr kumimoji="1" lang="en-US" altLang="ja-JP" sz="1100">
              <a:solidFill>
                <a:schemeClr val="tx1"/>
              </a:solidFill>
            </a:rPr>
            <a:t>bits</a:t>
          </a:r>
          <a:endParaRPr kumimoji="1" lang="ja-JP" altLang="en-US" sz="1100">
            <a:solidFill>
              <a:schemeClr val="tx1"/>
            </a:solidFill>
          </a:endParaRPr>
        </a:p>
      </xdr:txBody>
    </xdr:sp>
    <xdr:clientData/>
  </xdr:twoCellAnchor>
  <xdr:twoCellAnchor>
    <xdr:from>
      <xdr:col>19</xdr:col>
      <xdr:colOff>16565</xdr:colOff>
      <xdr:row>25</xdr:row>
      <xdr:rowOff>6569</xdr:rowOff>
    </xdr:from>
    <xdr:to>
      <xdr:col>20</xdr:col>
      <xdr:colOff>0</xdr:colOff>
      <xdr:row>25</xdr:row>
      <xdr:rowOff>173935</xdr:rowOff>
    </xdr:to>
    <xdr:cxnSp macro="">
      <xdr:nvCxnSpPr>
        <xdr:cNvPr id="8" name="直線コネクタ 7">
          <a:extLst>
            <a:ext uri="{FF2B5EF4-FFF2-40B4-BE49-F238E27FC236}">
              <a16:creationId xmlns:a16="http://schemas.microsoft.com/office/drawing/2014/main" id="{3818ADA5-B45B-4602-9226-B93D68E05268}"/>
            </a:ext>
          </a:extLst>
        </xdr:cNvPr>
        <xdr:cNvCxnSpPr/>
      </xdr:nvCxnSpPr>
      <xdr:spPr>
        <a:xfrm flipH="1">
          <a:off x="5264840" y="2149694"/>
          <a:ext cx="259660" cy="167366"/>
        </a:xfrm>
        <a:prstGeom prst="line">
          <a:avLst/>
        </a:prstGeom>
        <a:ln>
          <a:solidFill>
            <a:schemeClr val="tx1"/>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26</xdr:col>
      <xdr:colOff>0</xdr:colOff>
      <xdr:row>25</xdr:row>
      <xdr:rowOff>8282</xdr:rowOff>
    </xdr:from>
    <xdr:to>
      <xdr:col>27</xdr:col>
      <xdr:colOff>0</xdr:colOff>
      <xdr:row>25</xdr:row>
      <xdr:rowOff>157369</xdr:rowOff>
    </xdr:to>
    <xdr:cxnSp macro="">
      <xdr:nvCxnSpPr>
        <xdr:cNvPr id="9" name="直線コネクタ 8">
          <a:extLst>
            <a:ext uri="{FF2B5EF4-FFF2-40B4-BE49-F238E27FC236}">
              <a16:creationId xmlns:a16="http://schemas.microsoft.com/office/drawing/2014/main" id="{2AA67737-2B5E-41AF-B37B-A21AED622B78}"/>
            </a:ext>
          </a:extLst>
        </xdr:cNvPr>
        <xdr:cNvCxnSpPr/>
      </xdr:nvCxnSpPr>
      <xdr:spPr>
        <a:xfrm>
          <a:off x="6905625" y="2151407"/>
          <a:ext cx="276225" cy="149087"/>
        </a:xfrm>
        <a:prstGeom prst="line">
          <a:avLst/>
        </a:prstGeom>
        <a:ln>
          <a:solidFill>
            <a:schemeClr val="tx1"/>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32422</xdr:colOff>
      <xdr:row>46</xdr:row>
      <xdr:rowOff>177697</xdr:rowOff>
    </xdr:from>
    <xdr:to>
      <xdr:col>13</xdr:col>
      <xdr:colOff>0</xdr:colOff>
      <xdr:row>47</xdr:row>
      <xdr:rowOff>168091</xdr:rowOff>
    </xdr:to>
    <xdr:sp macro="" textlink="">
      <xdr:nvSpPr>
        <xdr:cNvPr id="10" name="右中かっこ 9">
          <a:extLst>
            <a:ext uri="{FF2B5EF4-FFF2-40B4-BE49-F238E27FC236}">
              <a16:creationId xmlns:a16="http://schemas.microsoft.com/office/drawing/2014/main" id="{1D5BCE49-4C7A-4ED4-A5B0-758EE3A6D807}"/>
            </a:ext>
          </a:extLst>
        </xdr:cNvPr>
        <xdr:cNvSpPr/>
      </xdr:nvSpPr>
      <xdr:spPr>
        <a:xfrm rot="16200000">
          <a:off x="2979368" y="7237603"/>
          <a:ext cx="225718" cy="1637258"/>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8</xdr:col>
      <xdr:colOff>8323</xdr:colOff>
      <xdr:row>45</xdr:row>
      <xdr:rowOff>100216</xdr:rowOff>
    </xdr:from>
    <xdr:to>
      <xdr:col>13</xdr:col>
      <xdr:colOff>33617</xdr:colOff>
      <xdr:row>46</xdr:row>
      <xdr:rowOff>158649</xdr:rowOff>
    </xdr:to>
    <xdr:sp macro="" textlink="">
      <xdr:nvSpPr>
        <xdr:cNvPr id="11" name="正方形/長方形 10">
          <a:extLst>
            <a:ext uri="{FF2B5EF4-FFF2-40B4-BE49-F238E27FC236}">
              <a16:creationId xmlns:a16="http://schemas.microsoft.com/office/drawing/2014/main" id="{DA786796-C1E2-4FD6-9156-C15F1AC7383E}"/>
            </a:ext>
          </a:extLst>
        </xdr:cNvPr>
        <xdr:cNvSpPr/>
      </xdr:nvSpPr>
      <xdr:spPr>
        <a:xfrm>
          <a:off x="2249499" y="7630569"/>
          <a:ext cx="1426030" cy="29375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a:t>
          </a:r>
          <a:r>
            <a:rPr kumimoji="1" lang="ja-JP" altLang="en-US" sz="1100">
              <a:solidFill>
                <a:schemeClr val="tx1"/>
              </a:solidFill>
            </a:rPr>
            <a:t>ワード </a:t>
          </a:r>
          <a:r>
            <a:rPr kumimoji="1" lang="en-US" altLang="ja-JP" sz="1100">
              <a:solidFill>
                <a:schemeClr val="tx1"/>
              </a:solidFill>
            </a:rPr>
            <a:t>= 512</a:t>
          </a:r>
          <a:r>
            <a:rPr kumimoji="1" lang="ja-JP" altLang="en-US" sz="1100" baseline="0">
              <a:solidFill>
                <a:schemeClr val="tx1"/>
              </a:solidFill>
            </a:rPr>
            <a:t> </a:t>
          </a:r>
          <a:r>
            <a:rPr kumimoji="1" lang="en-US" altLang="ja-JP" sz="1100">
              <a:solidFill>
                <a:schemeClr val="tx1"/>
              </a:solidFill>
            </a:rPr>
            <a:t>bits</a:t>
          </a:r>
          <a:endParaRPr kumimoji="1" lang="ja-JP" altLang="en-US" sz="1100">
            <a:solidFill>
              <a:schemeClr val="tx1"/>
            </a:solidFill>
          </a:endParaRPr>
        </a:p>
      </xdr:txBody>
    </xdr:sp>
    <xdr:clientData/>
  </xdr:twoCellAnchor>
  <xdr:twoCellAnchor>
    <xdr:from>
      <xdr:col>6</xdr:col>
      <xdr:colOff>200314</xdr:colOff>
      <xdr:row>48</xdr:row>
      <xdr:rowOff>33616</xdr:rowOff>
    </xdr:from>
    <xdr:to>
      <xdr:col>7</xdr:col>
      <xdr:colOff>168089</xdr:colOff>
      <xdr:row>52</xdr:row>
      <xdr:rowOff>223920</xdr:rowOff>
    </xdr:to>
    <xdr:sp macro="" textlink="">
      <xdr:nvSpPr>
        <xdr:cNvPr id="12" name="右中かっこ 11">
          <a:extLst>
            <a:ext uri="{FF2B5EF4-FFF2-40B4-BE49-F238E27FC236}">
              <a16:creationId xmlns:a16="http://schemas.microsoft.com/office/drawing/2014/main" id="{A59944F7-CC2E-4F22-81EF-0431DFD5C60D}"/>
            </a:ext>
          </a:extLst>
        </xdr:cNvPr>
        <xdr:cNvSpPr/>
      </xdr:nvSpPr>
      <xdr:spPr>
        <a:xfrm rot="10800000">
          <a:off x="1881196" y="8269940"/>
          <a:ext cx="247922" cy="1131598"/>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4</xdr:col>
      <xdr:colOff>11206</xdr:colOff>
      <xdr:row>49</xdr:row>
      <xdr:rowOff>55391</xdr:rowOff>
    </xdr:from>
    <xdr:to>
      <xdr:col>6</xdr:col>
      <xdr:colOff>240447</xdr:colOff>
      <xdr:row>51</xdr:row>
      <xdr:rowOff>168087</xdr:rowOff>
    </xdr:to>
    <xdr:sp macro="" textlink="">
      <xdr:nvSpPr>
        <xdr:cNvPr id="13" name="正方形/長方形 12">
          <a:extLst>
            <a:ext uri="{FF2B5EF4-FFF2-40B4-BE49-F238E27FC236}">
              <a16:creationId xmlns:a16="http://schemas.microsoft.com/office/drawing/2014/main" id="{1EDF330F-EB96-491D-9FDA-87AA9A0259CF}"/>
            </a:ext>
          </a:extLst>
        </xdr:cNvPr>
        <xdr:cNvSpPr/>
      </xdr:nvSpPr>
      <xdr:spPr>
        <a:xfrm>
          <a:off x="1131794" y="8527038"/>
          <a:ext cx="789535" cy="58334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baseline="0">
              <a:solidFill>
                <a:schemeClr val="tx1"/>
              </a:solidFill>
            </a:rPr>
            <a:t>4 GBytes</a:t>
          </a:r>
        </a:p>
      </xdr:txBody>
    </xdr:sp>
    <xdr:clientData/>
  </xdr:twoCellAnchor>
  <xdr:twoCellAnchor>
    <xdr:from>
      <xdr:col>5</xdr:col>
      <xdr:colOff>40823</xdr:colOff>
      <xdr:row>33</xdr:row>
      <xdr:rowOff>54428</xdr:rowOff>
    </xdr:from>
    <xdr:to>
      <xdr:col>28</xdr:col>
      <xdr:colOff>257178</xdr:colOff>
      <xdr:row>34</xdr:row>
      <xdr:rowOff>81643</xdr:rowOff>
    </xdr:to>
    <xdr:sp macro="" textlink="">
      <xdr:nvSpPr>
        <xdr:cNvPr id="14" name="右中かっこ 13">
          <a:extLst>
            <a:ext uri="{FF2B5EF4-FFF2-40B4-BE49-F238E27FC236}">
              <a16:creationId xmlns:a16="http://schemas.microsoft.com/office/drawing/2014/main" id="{D89A235D-A3FC-4982-88DB-577EDFA61A8D}"/>
            </a:ext>
          </a:extLst>
        </xdr:cNvPr>
        <xdr:cNvSpPr/>
      </xdr:nvSpPr>
      <xdr:spPr>
        <a:xfrm rot="16200000">
          <a:off x="4435931" y="4898570"/>
          <a:ext cx="265340" cy="6293305"/>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14</xdr:col>
      <xdr:colOff>31297</xdr:colOff>
      <xdr:row>31</xdr:row>
      <xdr:rowOff>212271</xdr:rowOff>
    </xdr:from>
    <xdr:to>
      <xdr:col>18</xdr:col>
      <xdr:colOff>238125</xdr:colOff>
      <xdr:row>33</xdr:row>
      <xdr:rowOff>35379</xdr:rowOff>
    </xdr:to>
    <xdr:sp macro="" textlink="">
      <xdr:nvSpPr>
        <xdr:cNvPr id="15" name="正方形/長方形 14">
          <a:extLst>
            <a:ext uri="{FF2B5EF4-FFF2-40B4-BE49-F238E27FC236}">
              <a16:creationId xmlns:a16="http://schemas.microsoft.com/office/drawing/2014/main" id="{B323F816-3728-4DFC-9B8E-B392963B17B6}"/>
            </a:ext>
          </a:extLst>
        </xdr:cNvPr>
        <xdr:cNvSpPr/>
      </xdr:nvSpPr>
      <xdr:spPr>
        <a:xfrm>
          <a:off x="3898447" y="7594146"/>
          <a:ext cx="1311728" cy="29935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a:t>
          </a:r>
          <a:r>
            <a:rPr kumimoji="1" lang="ja-JP" altLang="en-US" sz="1100">
              <a:solidFill>
                <a:schemeClr val="tx1"/>
              </a:solidFill>
            </a:rPr>
            <a:t>ワード </a:t>
          </a:r>
          <a:r>
            <a:rPr kumimoji="1" lang="en-US" altLang="ja-JP" sz="1100">
              <a:solidFill>
                <a:schemeClr val="tx1"/>
              </a:solidFill>
            </a:rPr>
            <a:t>= 256</a:t>
          </a:r>
          <a:r>
            <a:rPr kumimoji="1" lang="ja-JP" altLang="en-US" sz="1100" baseline="0">
              <a:solidFill>
                <a:schemeClr val="tx1"/>
              </a:solidFill>
            </a:rPr>
            <a:t> </a:t>
          </a:r>
          <a:r>
            <a:rPr kumimoji="1" lang="en-US" altLang="ja-JP" sz="1100">
              <a:solidFill>
                <a:schemeClr val="tx1"/>
              </a:solidFill>
            </a:rPr>
            <a:t>bits</a:t>
          </a:r>
          <a:endParaRPr kumimoji="1" lang="ja-JP" altLang="en-US" sz="1100">
            <a:solidFill>
              <a:schemeClr val="tx1"/>
            </a:solidFill>
          </a:endParaRPr>
        </a:p>
      </xdr:txBody>
    </xdr:sp>
    <xdr:clientData/>
  </xdr:twoCellAnchor>
  <xdr:twoCellAnchor>
    <xdr:from>
      <xdr:col>14</xdr:col>
      <xdr:colOff>264215</xdr:colOff>
      <xdr:row>40</xdr:row>
      <xdr:rowOff>6569</xdr:rowOff>
    </xdr:from>
    <xdr:to>
      <xdr:col>15</xdr:col>
      <xdr:colOff>247650</xdr:colOff>
      <xdr:row>40</xdr:row>
      <xdr:rowOff>173935</xdr:rowOff>
    </xdr:to>
    <xdr:cxnSp macro="">
      <xdr:nvCxnSpPr>
        <xdr:cNvPr id="16" name="直線コネクタ 15">
          <a:extLst>
            <a:ext uri="{FF2B5EF4-FFF2-40B4-BE49-F238E27FC236}">
              <a16:creationId xmlns:a16="http://schemas.microsoft.com/office/drawing/2014/main" id="{9BE6EEE8-4BCF-4ADD-8B97-9EEEAFCFDF9B}"/>
            </a:ext>
          </a:extLst>
        </xdr:cNvPr>
        <xdr:cNvCxnSpPr/>
      </xdr:nvCxnSpPr>
      <xdr:spPr>
        <a:xfrm flipH="1">
          <a:off x="4131365" y="9531569"/>
          <a:ext cx="259660" cy="167366"/>
        </a:xfrm>
        <a:prstGeom prst="line">
          <a:avLst/>
        </a:prstGeom>
        <a:ln>
          <a:solidFill>
            <a:schemeClr val="tx1"/>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23</xdr:col>
      <xdr:colOff>0</xdr:colOff>
      <xdr:row>40</xdr:row>
      <xdr:rowOff>17807</xdr:rowOff>
    </xdr:from>
    <xdr:to>
      <xdr:col>24</xdr:col>
      <xdr:colOff>0</xdr:colOff>
      <xdr:row>40</xdr:row>
      <xdr:rowOff>166894</xdr:rowOff>
    </xdr:to>
    <xdr:cxnSp macro="">
      <xdr:nvCxnSpPr>
        <xdr:cNvPr id="17" name="直線コネクタ 16">
          <a:extLst>
            <a:ext uri="{FF2B5EF4-FFF2-40B4-BE49-F238E27FC236}">
              <a16:creationId xmlns:a16="http://schemas.microsoft.com/office/drawing/2014/main" id="{BB26A89C-8FB1-498C-A0F1-576340184ADB}"/>
            </a:ext>
          </a:extLst>
        </xdr:cNvPr>
        <xdr:cNvCxnSpPr/>
      </xdr:nvCxnSpPr>
      <xdr:spPr>
        <a:xfrm>
          <a:off x="6076950" y="9542807"/>
          <a:ext cx="276225" cy="149087"/>
        </a:xfrm>
        <a:prstGeom prst="line">
          <a:avLst/>
        </a:prstGeom>
        <a:ln>
          <a:solidFill>
            <a:schemeClr val="tx1"/>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23</xdr:col>
      <xdr:colOff>244577</xdr:colOff>
      <xdr:row>48</xdr:row>
      <xdr:rowOff>11765</xdr:rowOff>
    </xdr:from>
    <xdr:to>
      <xdr:col>24</xdr:col>
      <xdr:colOff>212352</xdr:colOff>
      <xdr:row>52</xdr:row>
      <xdr:rowOff>202069</xdr:rowOff>
    </xdr:to>
    <xdr:sp macro="" textlink="">
      <xdr:nvSpPr>
        <xdr:cNvPr id="2" name="右中かっこ 1">
          <a:extLst>
            <a:ext uri="{FF2B5EF4-FFF2-40B4-BE49-F238E27FC236}">
              <a16:creationId xmlns:a16="http://schemas.microsoft.com/office/drawing/2014/main" id="{BCF368AA-ADAE-45CE-A58A-9B3B7B0346A2}"/>
            </a:ext>
          </a:extLst>
        </xdr:cNvPr>
        <xdr:cNvSpPr/>
      </xdr:nvSpPr>
      <xdr:spPr>
        <a:xfrm rot="10800000">
          <a:off x="6045302" y="11203640"/>
          <a:ext cx="244000" cy="1142804"/>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21</xdr:col>
      <xdr:colOff>31657</xdr:colOff>
      <xdr:row>49</xdr:row>
      <xdr:rowOff>33540</xdr:rowOff>
    </xdr:from>
    <xdr:to>
      <xdr:col>23</xdr:col>
      <xdr:colOff>258516</xdr:colOff>
      <xdr:row>51</xdr:row>
      <xdr:rowOff>146236</xdr:rowOff>
    </xdr:to>
    <xdr:sp macro="" textlink="">
      <xdr:nvSpPr>
        <xdr:cNvPr id="3" name="正方形/長方形 2">
          <a:extLst>
            <a:ext uri="{FF2B5EF4-FFF2-40B4-BE49-F238E27FC236}">
              <a16:creationId xmlns:a16="http://schemas.microsoft.com/office/drawing/2014/main" id="{1946DB2E-408C-4DCC-B99B-2EE9A22AC1EC}"/>
            </a:ext>
          </a:extLst>
        </xdr:cNvPr>
        <xdr:cNvSpPr/>
      </xdr:nvSpPr>
      <xdr:spPr>
        <a:xfrm>
          <a:off x="5508532" y="11463540"/>
          <a:ext cx="774547" cy="58894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3 GBytes</a:t>
          </a:r>
        </a:p>
      </xdr:txBody>
    </xdr:sp>
    <xdr:clientData/>
  </xdr:twoCellAnchor>
  <xdr:twoCellAnchor>
    <xdr:from>
      <xdr:col>23</xdr:col>
      <xdr:colOff>244577</xdr:colOff>
      <xdr:row>53</xdr:row>
      <xdr:rowOff>11765</xdr:rowOff>
    </xdr:from>
    <xdr:to>
      <xdr:col>24</xdr:col>
      <xdr:colOff>212352</xdr:colOff>
      <xdr:row>55</xdr:row>
      <xdr:rowOff>220266</xdr:rowOff>
    </xdr:to>
    <xdr:sp macro="" textlink="">
      <xdr:nvSpPr>
        <xdr:cNvPr id="4" name="右中かっこ 3">
          <a:extLst>
            <a:ext uri="{FF2B5EF4-FFF2-40B4-BE49-F238E27FC236}">
              <a16:creationId xmlns:a16="http://schemas.microsoft.com/office/drawing/2014/main" id="{BE35845B-B1C3-4EDF-B9F1-BDECDE6BEC88}"/>
            </a:ext>
          </a:extLst>
        </xdr:cNvPr>
        <xdr:cNvSpPr/>
      </xdr:nvSpPr>
      <xdr:spPr>
        <a:xfrm rot="10800000">
          <a:off x="6269140" y="12394265"/>
          <a:ext cx="241618" cy="684751"/>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19</xdr:col>
      <xdr:colOff>166688</xdr:colOff>
      <xdr:row>53</xdr:row>
      <xdr:rowOff>53247</xdr:rowOff>
    </xdr:from>
    <xdr:to>
      <xdr:col>23</xdr:col>
      <xdr:colOff>264757</xdr:colOff>
      <xdr:row>55</xdr:row>
      <xdr:rowOff>165943</xdr:rowOff>
    </xdr:to>
    <xdr:sp macro="" textlink="">
      <xdr:nvSpPr>
        <xdr:cNvPr id="5" name="正方形/長方形 4">
          <a:extLst>
            <a:ext uri="{FF2B5EF4-FFF2-40B4-BE49-F238E27FC236}">
              <a16:creationId xmlns:a16="http://schemas.microsoft.com/office/drawing/2014/main" id="{07416772-E54D-450B-81B1-5C04A9DD4DDF}"/>
            </a:ext>
          </a:extLst>
        </xdr:cNvPr>
        <xdr:cNvSpPr/>
      </xdr:nvSpPr>
      <xdr:spPr>
        <a:xfrm>
          <a:off x="5369719" y="12435747"/>
          <a:ext cx="919601" cy="58894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1280 KBytes</a:t>
          </a:r>
        </a:p>
      </xdr:txBody>
    </xdr:sp>
    <xdr:clientData/>
  </xdr:twoCellAnchor>
  <xdr:twoCellAnchor>
    <xdr:from>
      <xdr:col>25</xdr:col>
      <xdr:colOff>18801</xdr:colOff>
      <xdr:row>46</xdr:row>
      <xdr:rowOff>169177</xdr:rowOff>
    </xdr:from>
    <xdr:to>
      <xdr:col>29</xdr:col>
      <xdr:colOff>262604</xdr:colOff>
      <xdr:row>47</xdr:row>
      <xdr:rowOff>159571</xdr:rowOff>
    </xdr:to>
    <xdr:sp macro="" textlink="">
      <xdr:nvSpPr>
        <xdr:cNvPr id="18" name="右中かっこ 17">
          <a:extLst>
            <a:ext uri="{FF2B5EF4-FFF2-40B4-BE49-F238E27FC236}">
              <a16:creationId xmlns:a16="http://schemas.microsoft.com/office/drawing/2014/main" id="{4F1806D6-755B-4E41-83B7-4416A825A4B9}"/>
            </a:ext>
          </a:extLst>
        </xdr:cNvPr>
        <xdr:cNvSpPr/>
      </xdr:nvSpPr>
      <xdr:spPr>
        <a:xfrm rot="16200000">
          <a:off x="7208293" y="10324710"/>
          <a:ext cx="228519" cy="1348703"/>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24</xdr:col>
      <xdr:colOff>270927</xdr:colOff>
      <xdr:row>45</xdr:row>
      <xdr:rowOff>91696</xdr:rowOff>
    </xdr:from>
    <xdr:to>
      <xdr:col>30</xdr:col>
      <xdr:colOff>19996</xdr:colOff>
      <xdr:row>46</xdr:row>
      <xdr:rowOff>150129</xdr:rowOff>
    </xdr:to>
    <xdr:sp macro="" textlink="">
      <xdr:nvSpPr>
        <xdr:cNvPr id="19" name="正方形/長方形 18">
          <a:extLst>
            <a:ext uri="{FF2B5EF4-FFF2-40B4-BE49-F238E27FC236}">
              <a16:creationId xmlns:a16="http://schemas.microsoft.com/office/drawing/2014/main" id="{289530B3-4B77-4A63-B259-91C8A94350FC}"/>
            </a:ext>
          </a:extLst>
        </xdr:cNvPr>
        <xdr:cNvSpPr/>
      </xdr:nvSpPr>
      <xdr:spPr>
        <a:xfrm>
          <a:off x="6624102" y="10807321"/>
          <a:ext cx="1406419" cy="29655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a:t>
          </a:r>
          <a:r>
            <a:rPr kumimoji="1" lang="ja-JP" altLang="en-US" sz="1100">
              <a:solidFill>
                <a:schemeClr val="tx1"/>
              </a:solidFill>
            </a:rPr>
            <a:t>ワード </a:t>
          </a:r>
          <a:r>
            <a:rPr kumimoji="1" lang="en-US" altLang="ja-JP" sz="1100">
              <a:solidFill>
                <a:schemeClr val="tx1"/>
              </a:solidFill>
            </a:rPr>
            <a:t>= 512</a:t>
          </a:r>
          <a:r>
            <a:rPr kumimoji="1" lang="ja-JP" altLang="en-US" sz="1100" baseline="0">
              <a:solidFill>
                <a:schemeClr val="tx1"/>
              </a:solidFill>
            </a:rPr>
            <a:t> </a:t>
          </a:r>
          <a:r>
            <a:rPr kumimoji="1" lang="en-US" altLang="ja-JP" sz="1100">
              <a:solidFill>
                <a:schemeClr val="tx1"/>
              </a:solidFill>
            </a:rPr>
            <a:t>bits</a:t>
          </a:r>
          <a:endParaRPr kumimoji="1" lang="ja-JP" altLang="en-US" sz="1100">
            <a:solidFill>
              <a:schemeClr val="tx1"/>
            </a:solidFill>
          </a:endParaRPr>
        </a:p>
      </xdr:txBody>
    </xdr:sp>
    <xdr:clientData/>
  </xdr:twoCellAnchor>
  <xdr:twoCellAnchor>
    <xdr:from>
      <xdr:col>23</xdr:col>
      <xdr:colOff>246958</xdr:colOff>
      <xdr:row>56</xdr:row>
      <xdr:rowOff>29623</xdr:rowOff>
    </xdr:from>
    <xdr:to>
      <xdr:col>24</xdr:col>
      <xdr:colOff>214733</xdr:colOff>
      <xdr:row>57</xdr:row>
      <xdr:rowOff>220266</xdr:rowOff>
    </xdr:to>
    <xdr:sp macro="" textlink="">
      <xdr:nvSpPr>
        <xdr:cNvPr id="20" name="右中かっこ 19">
          <a:extLst>
            <a:ext uri="{FF2B5EF4-FFF2-40B4-BE49-F238E27FC236}">
              <a16:creationId xmlns:a16="http://schemas.microsoft.com/office/drawing/2014/main" id="{F968D57B-59FB-4275-8D6B-40518F183BA7}"/>
            </a:ext>
          </a:extLst>
        </xdr:cNvPr>
        <xdr:cNvSpPr/>
      </xdr:nvSpPr>
      <xdr:spPr>
        <a:xfrm rot="10800000">
          <a:off x="6271521" y="13126498"/>
          <a:ext cx="241618" cy="428768"/>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18</xdr:col>
      <xdr:colOff>267890</xdr:colOff>
      <xdr:row>56</xdr:row>
      <xdr:rowOff>57145</xdr:rowOff>
    </xdr:from>
    <xdr:to>
      <xdr:col>23</xdr:col>
      <xdr:colOff>260037</xdr:colOff>
      <xdr:row>57</xdr:row>
      <xdr:rowOff>178591</xdr:rowOff>
    </xdr:to>
    <xdr:sp macro="" textlink="">
      <xdr:nvSpPr>
        <xdr:cNvPr id="21" name="正方形/長方形 20">
          <a:extLst>
            <a:ext uri="{FF2B5EF4-FFF2-40B4-BE49-F238E27FC236}">
              <a16:creationId xmlns:a16="http://schemas.microsoft.com/office/drawing/2014/main" id="{F9094DD6-7641-45D7-A625-FF263D38A68D}"/>
            </a:ext>
          </a:extLst>
        </xdr:cNvPr>
        <xdr:cNvSpPr/>
      </xdr:nvSpPr>
      <xdr:spPr>
        <a:xfrm>
          <a:off x="5197078" y="13154020"/>
          <a:ext cx="1087522" cy="35957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523008 KBytes</a:t>
          </a:r>
        </a:p>
      </xdr:txBody>
    </xdr:sp>
    <xdr:clientData/>
  </xdr:twoCellAnchor>
  <xdr:twoCellAnchor>
    <xdr:from>
      <xdr:col>23</xdr:col>
      <xdr:colOff>248149</xdr:colOff>
      <xdr:row>58</xdr:row>
      <xdr:rowOff>23812</xdr:rowOff>
    </xdr:from>
    <xdr:to>
      <xdr:col>24</xdr:col>
      <xdr:colOff>215924</xdr:colOff>
      <xdr:row>60</xdr:row>
      <xdr:rowOff>235744</xdr:rowOff>
    </xdr:to>
    <xdr:sp macro="" textlink="">
      <xdr:nvSpPr>
        <xdr:cNvPr id="26" name="右中かっこ 25">
          <a:extLst>
            <a:ext uri="{FF2B5EF4-FFF2-40B4-BE49-F238E27FC236}">
              <a16:creationId xmlns:a16="http://schemas.microsoft.com/office/drawing/2014/main" id="{5D898C84-BB85-4C3F-83B8-C3588CAC44AF}"/>
            </a:ext>
          </a:extLst>
        </xdr:cNvPr>
        <xdr:cNvSpPr/>
      </xdr:nvSpPr>
      <xdr:spPr>
        <a:xfrm rot="10800000">
          <a:off x="6272712" y="13596937"/>
          <a:ext cx="241618" cy="688182"/>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19</xdr:col>
      <xdr:colOff>164307</xdr:colOff>
      <xdr:row>58</xdr:row>
      <xdr:rowOff>50866</xdr:rowOff>
    </xdr:from>
    <xdr:to>
      <xdr:col>23</xdr:col>
      <xdr:colOff>262376</xdr:colOff>
      <xdr:row>60</xdr:row>
      <xdr:rowOff>163562</xdr:rowOff>
    </xdr:to>
    <xdr:sp macro="" textlink="">
      <xdr:nvSpPr>
        <xdr:cNvPr id="27" name="正方形/長方形 26">
          <a:extLst>
            <a:ext uri="{FF2B5EF4-FFF2-40B4-BE49-F238E27FC236}">
              <a16:creationId xmlns:a16="http://schemas.microsoft.com/office/drawing/2014/main" id="{9E92D63D-E3D0-43CF-940C-8AD0FB84BD1F}"/>
            </a:ext>
          </a:extLst>
        </xdr:cNvPr>
        <xdr:cNvSpPr/>
      </xdr:nvSpPr>
      <xdr:spPr>
        <a:xfrm>
          <a:off x="5367338" y="13623991"/>
          <a:ext cx="919601" cy="58894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1280 KBytes</a:t>
          </a:r>
        </a:p>
      </xdr:txBody>
    </xdr:sp>
    <xdr:clientData/>
  </xdr:twoCellAnchor>
  <xdr:twoCellAnchor>
    <xdr:from>
      <xdr:col>10</xdr:col>
      <xdr:colOff>115541</xdr:colOff>
      <xdr:row>53</xdr:row>
      <xdr:rowOff>117464</xdr:rowOff>
    </xdr:from>
    <xdr:to>
      <xdr:col>15</xdr:col>
      <xdr:colOff>140836</xdr:colOff>
      <xdr:row>54</xdr:row>
      <xdr:rowOff>175897</xdr:rowOff>
    </xdr:to>
    <xdr:sp macro="" textlink="">
      <xdr:nvSpPr>
        <xdr:cNvPr id="30" name="正方形/長方形 29">
          <a:extLst>
            <a:ext uri="{FF2B5EF4-FFF2-40B4-BE49-F238E27FC236}">
              <a16:creationId xmlns:a16="http://schemas.microsoft.com/office/drawing/2014/main" id="{0F338DA0-13C0-47EE-B7B2-9BBD86B0E158}"/>
            </a:ext>
          </a:extLst>
        </xdr:cNvPr>
        <xdr:cNvSpPr/>
      </xdr:nvSpPr>
      <xdr:spPr>
        <a:xfrm>
          <a:off x="2874507" y="12651050"/>
          <a:ext cx="1404777" cy="29491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b="1">
              <a:solidFill>
                <a:schemeClr val="tx1"/>
              </a:solidFill>
            </a:rPr>
            <a:t>デザイン </a:t>
          </a:r>
          <a:r>
            <a:rPr kumimoji="1" lang="en-US" altLang="ja-JP" sz="1100" b="1">
              <a:solidFill>
                <a:schemeClr val="tx1"/>
              </a:solidFill>
            </a:rPr>
            <a:t>0, 1</a:t>
          </a:r>
          <a:endParaRPr kumimoji="1" lang="ja-JP" altLang="en-US" sz="1100" b="1">
            <a:solidFill>
              <a:schemeClr val="tx1"/>
            </a:solidFill>
          </a:endParaRPr>
        </a:p>
      </xdr:txBody>
    </xdr:sp>
    <xdr:clientData/>
  </xdr:twoCellAnchor>
  <xdr:twoCellAnchor>
    <xdr:from>
      <xdr:col>27</xdr:col>
      <xdr:colOff>162838</xdr:colOff>
      <xdr:row>61</xdr:row>
      <xdr:rowOff>92502</xdr:rowOff>
    </xdr:from>
    <xdr:to>
      <xdr:col>32</xdr:col>
      <xdr:colOff>188132</xdr:colOff>
      <xdr:row>62</xdr:row>
      <xdr:rowOff>150935</xdr:rowOff>
    </xdr:to>
    <xdr:sp macro="" textlink="">
      <xdr:nvSpPr>
        <xdr:cNvPr id="31" name="正方形/長方形 30">
          <a:extLst>
            <a:ext uri="{FF2B5EF4-FFF2-40B4-BE49-F238E27FC236}">
              <a16:creationId xmlns:a16="http://schemas.microsoft.com/office/drawing/2014/main" id="{BCB46FBD-FE22-461A-AA70-5CF2D20B7FB3}"/>
            </a:ext>
          </a:extLst>
        </xdr:cNvPr>
        <xdr:cNvSpPr/>
      </xdr:nvSpPr>
      <xdr:spPr>
        <a:xfrm>
          <a:off x="7336148" y="14517950"/>
          <a:ext cx="1404777" cy="29491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b="1">
              <a:solidFill>
                <a:schemeClr val="tx1"/>
              </a:solidFill>
            </a:rPr>
            <a:t>デザイン </a:t>
          </a:r>
          <a:r>
            <a:rPr kumimoji="1" lang="en-US" altLang="ja-JP" sz="1100" b="1">
              <a:solidFill>
                <a:schemeClr val="tx1"/>
              </a:solidFill>
            </a:rPr>
            <a:t>2</a:t>
          </a:r>
        </a:p>
      </xdr:txBody>
    </xdr:sp>
    <xdr:clientData/>
  </xdr:twoCellAnchor>
  <xdr:twoCellAnchor>
    <xdr:from>
      <xdr:col>6</xdr:col>
      <xdr:colOff>244577</xdr:colOff>
      <xdr:row>66</xdr:row>
      <xdr:rowOff>11765</xdr:rowOff>
    </xdr:from>
    <xdr:to>
      <xdr:col>7</xdr:col>
      <xdr:colOff>212352</xdr:colOff>
      <xdr:row>70</xdr:row>
      <xdr:rowOff>202069</xdr:rowOff>
    </xdr:to>
    <xdr:sp macro="" textlink="">
      <xdr:nvSpPr>
        <xdr:cNvPr id="28" name="右中かっこ 27">
          <a:extLst>
            <a:ext uri="{FF2B5EF4-FFF2-40B4-BE49-F238E27FC236}">
              <a16:creationId xmlns:a16="http://schemas.microsoft.com/office/drawing/2014/main" id="{E73A75B0-BD22-46D7-B7C7-6D165B75C35F}"/>
            </a:ext>
          </a:extLst>
        </xdr:cNvPr>
        <xdr:cNvSpPr/>
      </xdr:nvSpPr>
      <xdr:spPr>
        <a:xfrm rot="10800000">
          <a:off x="6231720" y="11768336"/>
          <a:ext cx="239918" cy="1170019"/>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4</xdr:col>
      <xdr:colOff>31657</xdr:colOff>
      <xdr:row>67</xdr:row>
      <xdr:rowOff>33540</xdr:rowOff>
    </xdr:from>
    <xdr:to>
      <xdr:col>6</xdr:col>
      <xdr:colOff>258516</xdr:colOff>
      <xdr:row>69</xdr:row>
      <xdr:rowOff>146236</xdr:rowOff>
    </xdr:to>
    <xdr:sp macro="" textlink="">
      <xdr:nvSpPr>
        <xdr:cNvPr id="29" name="正方形/長方形 28">
          <a:extLst>
            <a:ext uri="{FF2B5EF4-FFF2-40B4-BE49-F238E27FC236}">
              <a16:creationId xmlns:a16="http://schemas.microsoft.com/office/drawing/2014/main" id="{37EED60C-87A0-443F-A17B-F1F5CE16C3A3}"/>
            </a:ext>
          </a:extLst>
        </xdr:cNvPr>
        <xdr:cNvSpPr/>
      </xdr:nvSpPr>
      <xdr:spPr>
        <a:xfrm>
          <a:off x="5474514" y="12035040"/>
          <a:ext cx="771145" cy="60255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3 GBytes</a:t>
          </a:r>
        </a:p>
      </xdr:txBody>
    </xdr:sp>
    <xdr:clientData/>
  </xdr:twoCellAnchor>
  <xdr:twoCellAnchor>
    <xdr:from>
      <xdr:col>6</xdr:col>
      <xdr:colOff>244577</xdr:colOff>
      <xdr:row>71</xdr:row>
      <xdr:rowOff>11765</xdr:rowOff>
    </xdr:from>
    <xdr:to>
      <xdr:col>7</xdr:col>
      <xdr:colOff>212352</xdr:colOff>
      <xdr:row>73</xdr:row>
      <xdr:rowOff>220266</xdr:rowOff>
    </xdr:to>
    <xdr:sp macro="" textlink="">
      <xdr:nvSpPr>
        <xdr:cNvPr id="32" name="右中かっこ 31">
          <a:extLst>
            <a:ext uri="{FF2B5EF4-FFF2-40B4-BE49-F238E27FC236}">
              <a16:creationId xmlns:a16="http://schemas.microsoft.com/office/drawing/2014/main" id="{5BB3C14B-2497-40B7-9127-DF0E93D46D33}"/>
            </a:ext>
          </a:extLst>
        </xdr:cNvPr>
        <xdr:cNvSpPr/>
      </xdr:nvSpPr>
      <xdr:spPr>
        <a:xfrm rot="10800000">
          <a:off x="6231720" y="12992979"/>
          <a:ext cx="239918" cy="698358"/>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3</xdr:col>
      <xdr:colOff>166688</xdr:colOff>
      <xdr:row>71</xdr:row>
      <xdr:rowOff>53247</xdr:rowOff>
    </xdr:from>
    <xdr:to>
      <xdr:col>6</xdr:col>
      <xdr:colOff>264757</xdr:colOff>
      <xdr:row>73</xdr:row>
      <xdr:rowOff>165943</xdr:rowOff>
    </xdr:to>
    <xdr:sp macro="" textlink="">
      <xdr:nvSpPr>
        <xdr:cNvPr id="33" name="正方形/長方形 32">
          <a:extLst>
            <a:ext uri="{FF2B5EF4-FFF2-40B4-BE49-F238E27FC236}">
              <a16:creationId xmlns:a16="http://schemas.microsoft.com/office/drawing/2014/main" id="{B755D8BB-34C8-45A5-8604-CCAD8B78B512}"/>
            </a:ext>
          </a:extLst>
        </xdr:cNvPr>
        <xdr:cNvSpPr/>
      </xdr:nvSpPr>
      <xdr:spPr>
        <a:xfrm>
          <a:off x="5337402" y="13034461"/>
          <a:ext cx="914498" cy="60255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1280 KBytes</a:t>
          </a:r>
        </a:p>
      </xdr:txBody>
    </xdr:sp>
    <xdr:clientData/>
  </xdr:twoCellAnchor>
  <xdr:twoCellAnchor>
    <xdr:from>
      <xdr:col>8</xdr:col>
      <xdr:colOff>18801</xdr:colOff>
      <xdr:row>64</xdr:row>
      <xdr:rowOff>169177</xdr:rowOff>
    </xdr:from>
    <xdr:to>
      <xdr:col>12</xdr:col>
      <xdr:colOff>262604</xdr:colOff>
      <xdr:row>65</xdr:row>
      <xdr:rowOff>159571</xdr:rowOff>
    </xdr:to>
    <xdr:sp macro="" textlink="">
      <xdr:nvSpPr>
        <xdr:cNvPr id="34" name="右中かっこ 33">
          <a:extLst>
            <a:ext uri="{FF2B5EF4-FFF2-40B4-BE49-F238E27FC236}">
              <a16:creationId xmlns:a16="http://schemas.microsoft.com/office/drawing/2014/main" id="{D443FF4E-FAAD-4799-9346-2884762A24F7}"/>
            </a:ext>
          </a:extLst>
        </xdr:cNvPr>
        <xdr:cNvSpPr/>
      </xdr:nvSpPr>
      <xdr:spPr>
        <a:xfrm rot="16200000">
          <a:off x="7098755" y="10887366"/>
          <a:ext cx="235323" cy="1332374"/>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7</xdr:col>
      <xdr:colOff>270927</xdr:colOff>
      <xdr:row>63</xdr:row>
      <xdr:rowOff>91696</xdr:rowOff>
    </xdr:from>
    <xdr:to>
      <xdr:col>13</xdr:col>
      <xdr:colOff>19996</xdr:colOff>
      <xdr:row>64</xdr:row>
      <xdr:rowOff>150129</xdr:rowOff>
    </xdr:to>
    <xdr:sp macro="" textlink="">
      <xdr:nvSpPr>
        <xdr:cNvPr id="35" name="正方形/長方形 34">
          <a:extLst>
            <a:ext uri="{FF2B5EF4-FFF2-40B4-BE49-F238E27FC236}">
              <a16:creationId xmlns:a16="http://schemas.microsoft.com/office/drawing/2014/main" id="{9744C854-93FA-4E69-84DC-706CB58F9037}"/>
            </a:ext>
          </a:extLst>
        </xdr:cNvPr>
        <xdr:cNvSpPr/>
      </xdr:nvSpPr>
      <xdr:spPr>
        <a:xfrm>
          <a:off x="6530213" y="11113482"/>
          <a:ext cx="1381926" cy="30336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a:t>
          </a:r>
          <a:r>
            <a:rPr kumimoji="1" lang="ja-JP" altLang="en-US" sz="1100">
              <a:solidFill>
                <a:schemeClr val="tx1"/>
              </a:solidFill>
            </a:rPr>
            <a:t>ワード </a:t>
          </a:r>
          <a:r>
            <a:rPr kumimoji="1" lang="en-US" altLang="ja-JP" sz="1100">
              <a:solidFill>
                <a:schemeClr val="tx1"/>
              </a:solidFill>
            </a:rPr>
            <a:t>= 512</a:t>
          </a:r>
          <a:r>
            <a:rPr kumimoji="1" lang="ja-JP" altLang="en-US" sz="1100" baseline="0">
              <a:solidFill>
                <a:schemeClr val="tx1"/>
              </a:solidFill>
            </a:rPr>
            <a:t> </a:t>
          </a:r>
          <a:r>
            <a:rPr kumimoji="1" lang="en-US" altLang="ja-JP" sz="1100">
              <a:solidFill>
                <a:schemeClr val="tx1"/>
              </a:solidFill>
            </a:rPr>
            <a:t>bits</a:t>
          </a:r>
          <a:endParaRPr kumimoji="1" lang="ja-JP" altLang="en-US" sz="1100">
            <a:solidFill>
              <a:schemeClr val="tx1"/>
            </a:solidFill>
          </a:endParaRPr>
        </a:p>
      </xdr:txBody>
    </xdr:sp>
    <xdr:clientData/>
  </xdr:twoCellAnchor>
  <xdr:twoCellAnchor>
    <xdr:from>
      <xdr:col>6</xdr:col>
      <xdr:colOff>246958</xdr:colOff>
      <xdr:row>74</xdr:row>
      <xdr:rowOff>29623</xdr:rowOff>
    </xdr:from>
    <xdr:to>
      <xdr:col>7</xdr:col>
      <xdr:colOff>214733</xdr:colOff>
      <xdr:row>75</xdr:row>
      <xdr:rowOff>220266</xdr:rowOff>
    </xdr:to>
    <xdr:sp macro="" textlink="">
      <xdr:nvSpPr>
        <xdr:cNvPr id="36" name="右中かっこ 35">
          <a:extLst>
            <a:ext uri="{FF2B5EF4-FFF2-40B4-BE49-F238E27FC236}">
              <a16:creationId xmlns:a16="http://schemas.microsoft.com/office/drawing/2014/main" id="{9D056F00-9A9F-4CF7-828A-3759DE334A8A}"/>
            </a:ext>
          </a:extLst>
        </xdr:cNvPr>
        <xdr:cNvSpPr/>
      </xdr:nvSpPr>
      <xdr:spPr>
        <a:xfrm rot="10800000">
          <a:off x="6234101" y="13745623"/>
          <a:ext cx="239918" cy="435572"/>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xdr:col>
      <xdr:colOff>267890</xdr:colOff>
      <xdr:row>74</xdr:row>
      <xdr:rowOff>57145</xdr:rowOff>
    </xdr:from>
    <xdr:to>
      <xdr:col>6</xdr:col>
      <xdr:colOff>260037</xdr:colOff>
      <xdr:row>75</xdr:row>
      <xdr:rowOff>178591</xdr:rowOff>
    </xdr:to>
    <xdr:sp macro="" textlink="">
      <xdr:nvSpPr>
        <xdr:cNvPr id="37" name="正方形/長方形 36">
          <a:extLst>
            <a:ext uri="{FF2B5EF4-FFF2-40B4-BE49-F238E27FC236}">
              <a16:creationId xmlns:a16="http://schemas.microsoft.com/office/drawing/2014/main" id="{3B4B1D68-DD50-4DB7-A12B-EC7660F4A6A7}"/>
            </a:ext>
          </a:extLst>
        </xdr:cNvPr>
        <xdr:cNvSpPr/>
      </xdr:nvSpPr>
      <xdr:spPr>
        <a:xfrm>
          <a:off x="5166461" y="13773145"/>
          <a:ext cx="1080719" cy="3663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523008 KBytes</a:t>
          </a:r>
        </a:p>
      </xdr:txBody>
    </xdr:sp>
    <xdr:clientData/>
  </xdr:twoCellAnchor>
  <xdr:twoCellAnchor>
    <xdr:from>
      <xdr:col>6</xdr:col>
      <xdr:colOff>248149</xdr:colOff>
      <xdr:row>76</xdr:row>
      <xdr:rowOff>23812</xdr:rowOff>
    </xdr:from>
    <xdr:to>
      <xdr:col>7</xdr:col>
      <xdr:colOff>215924</xdr:colOff>
      <xdr:row>78</xdr:row>
      <xdr:rowOff>235744</xdr:rowOff>
    </xdr:to>
    <xdr:sp macro="" textlink="">
      <xdr:nvSpPr>
        <xdr:cNvPr id="38" name="右中かっこ 37">
          <a:extLst>
            <a:ext uri="{FF2B5EF4-FFF2-40B4-BE49-F238E27FC236}">
              <a16:creationId xmlns:a16="http://schemas.microsoft.com/office/drawing/2014/main" id="{5D32295D-3480-4B53-B131-5BBA068FC5EC}"/>
            </a:ext>
          </a:extLst>
        </xdr:cNvPr>
        <xdr:cNvSpPr/>
      </xdr:nvSpPr>
      <xdr:spPr>
        <a:xfrm rot="10800000">
          <a:off x="6235292" y="14229669"/>
          <a:ext cx="239918" cy="701789"/>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3</xdr:col>
      <xdr:colOff>164307</xdr:colOff>
      <xdr:row>76</xdr:row>
      <xdr:rowOff>50866</xdr:rowOff>
    </xdr:from>
    <xdr:to>
      <xdr:col>6</xdr:col>
      <xdr:colOff>262376</xdr:colOff>
      <xdr:row>78</xdr:row>
      <xdr:rowOff>163562</xdr:rowOff>
    </xdr:to>
    <xdr:sp macro="" textlink="">
      <xdr:nvSpPr>
        <xdr:cNvPr id="39" name="正方形/長方形 38">
          <a:extLst>
            <a:ext uri="{FF2B5EF4-FFF2-40B4-BE49-F238E27FC236}">
              <a16:creationId xmlns:a16="http://schemas.microsoft.com/office/drawing/2014/main" id="{A2D2A1F1-F34B-4F8E-8094-F44CF316680B}"/>
            </a:ext>
          </a:extLst>
        </xdr:cNvPr>
        <xdr:cNvSpPr/>
      </xdr:nvSpPr>
      <xdr:spPr>
        <a:xfrm>
          <a:off x="5335021" y="14256723"/>
          <a:ext cx="914498" cy="60255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1280 KBytes</a:t>
          </a:r>
        </a:p>
      </xdr:txBody>
    </xdr:sp>
    <xdr:clientData/>
  </xdr:twoCellAnchor>
  <xdr:twoCellAnchor>
    <xdr:from>
      <xdr:col>10</xdr:col>
      <xdr:colOff>258088</xdr:colOff>
      <xdr:row>119</xdr:row>
      <xdr:rowOff>78894</xdr:rowOff>
    </xdr:from>
    <xdr:to>
      <xdr:col>16</xdr:col>
      <xdr:colOff>11240</xdr:colOff>
      <xdr:row>120</xdr:row>
      <xdr:rowOff>137327</xdr:rowOff>
    </xdr:to>
    <xdr:sp macro="" textlink="">
      <xdr:nvSpPr>
        <xdr:cNvPr id="40" name="正方形/長方形 39">
          <a:extLst>
            <a:ext uri="{FF2B5EF4-FFF2-40B4-BE49-F238E27FC236}">
              <a16:creationId xmlns:a16="http://schemas.microsoft.com/office/drawing/2014/main" id="{7EA189C9-BACF-4038-A8D6-31CB735B2DE5}"/>
            </a:ext>
          </a:extLst>
        </xdr:cNvPr>
        <xdr:cNvSpPr/>
      </xdr:nvSpPr>
      <xdr:spPr>
        <a:xfrm>
          <a:off x="7333802" y="29470323"/>
          <a:ext cx="1386009" cy="30336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b="1">
              <a:solidFill>
                <a:schemeClr val="tx1"/>
              </a:solidFill>
            </a:rPr>
            <a:t>デザイン </a:t>
          </a:r>
          <a:r>
            <a:rPr kumimoji="1" lang="en-US" altLang="ja-JP" sz="1100" b="1">
              <a:solidFill>
                <a:schemeClr val="tx1"/>
              </a:solidFill>
            </a:rPr>
            <a:t>2, 3</a:t>
          </a:r>
        </a:p>
      </xdr:txBody>
    </xdr:sp>
    <xdr:clientData/>
  </xdr:twoCellAnchor>
  <xdr:twoCellAnchor>
    <xdr:from>
      <xdr:col>6</xdr:col>
      <xdr:colOff>245730</xdr:colOff>
      <xdr:row>79</xdr:row>
      <xdr:rowOff>42183</xdr:rowOff>
    </xdr:from>
    <xdr:to>
      <xdr:col>7</xdr:col>
      <xdr:colOff>213505</xdr:colOff>
      <xdr:row>80</xdr:row>
      <xdr:rowOff>235966</xdr:rowOff>
    </xdr:to>
    <xdr:sp macro="" textlink="">
      <xdr:nvSpPr>
        <xdr:cNvPr id="41" name="右中かっこ 40">
          <a:extLst>
            <a:ext uri="{FF2B5EF4-FFF2-40B4-BE49-F238E27FC236}">
              <a16:creationId xmlns:a16="http://schemas.microsoft.com/office/drawing/2014/main" id="{A1678FCF-2920-4A36-B8B5-56713C47FDB5}"/>
            </a:ext>
          </a:extLst>
        </xdr:cNvPr>
        <xdr:cNvSpPr/>
      </xdr:nvSpPr>
      <xdr:spPr>
        <a:xfrm rot="10800000">
          <a:off x="6258904" y="19257835"/>
          <a:ext cx="241101" cy="433979"/>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xdr:col>
      <xdr:colOff>266662</xdr:colOff>
      <xdr:row>79</xdr:row>
      <xdr:rowOff>69705</xdr:rowOff>
    </xdr:from>
    <xdr:to>
      <xdr:col>6</xdr:col>
      <xdr:colOff>258809</xdr:colOff>
      <xdr:row>80</xdr:row>
      <xdr:rowOff>194291</xdr:rowOff>
    </xdr:to>
    <xdr:sp macro="" textlink="">
      <xdr:nvSpPr>
        <xdr:cNvPr id="42" name="正方形/長方形 41">
          <a:extLst>
            <a:ext uri="{FF2B5EF4-FFF2-40B4-BE49-F238E27FC236}">
              <a16:creationId xmlns:a16="http://schemas.microsoft.com/office/drawing/2014/main" id="{E101A9B3-4CBE-48CF-AD4A-FBC85E38B378}"/>
            </a:ext>
          </a:extLst>
        </xdr:cNvPr>
        <xdr:cNvSpPr/>
      </xdr:nvSpPr>
      <xdr:spPr>
        <a:xfrm>
          <a:off x="5186532" y="19285357"/>
          <a:ext cx="1085451" cy="36478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523008 KBytes</a:t>
          </a:r>
        </a:p>
      </xdr:txBody>
    </xdr:sp>
    <xdr:clientData/>
  </xdr:twoCellAnchor>
  <xdr:twoCellAnchor>
    <xdr:from>
      <xdr:col>6</xdr:col>
      <xdr:colOff>254900</xdr:colOff>
      <xdr:row>81</xdr:row>
      <xdr:rowOff>23975</xdr:rowOff>
    </xdr:from>
    <xdr:to>
      <xdr:col>7</xdr:col>
      <xdr:colOff>222675</xdr:colOff>
      <xdr:row>83</xdr:row>
      <xdr:rowOff>238414</xdr:rowOff>
    </xdr:to>
    <xdr:sp macro="" textlink="">
      <xdr:nvSpPr>
        <xdr:cNvPr id="43" name="右中かっこ 42">
          <a:extLst>
            <a:ext uri="{FF2B5EF4-FFF2-40B4-BE49-F238E27FC236}">
              <a16:creationId xmlns:a16="http://schemas.microsoft.com/office/drawing/2014/main" id="{073B1AC8-5ED7-4BD0-8ABC-5730E842E53D}"/>
            </a:ext>
          </a:extLst>
        </xdr:cNvPr>
        <xdr:cNvSpPr/>
      </xdr:nvSpPr>
      <xdr:spPr>
        <a:xfrm rot="10800000">
          <a:off x="6320821" y="19755764"/>
          <a:ext cx="243499" cy="695703"/>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3</xdr:col>
      <xdr:colOff>171058</xdr:colOff>
      <xdr:row>81</xdr:row>
      <xdr:rowOff>51029</xdr:rowOff>
    </xdr:from>
    <xdr:to>
      <xdr:col>6</xdr:col>
      <xdr:colOff>269127</xdr:colOff>
      <xdr:row>83</xdr:row>
      <xdr:rowOff>168055</xdr:rowOff>
    </xdr:to>
    <xdr:sp macro="" textlink="">
      <xdr:nvSpPr>
        <xdr:cNvPr id="44" name="正方形/長方形 43">
          <a:extLst>
            <a:ext uri="{FF2B5EF4-FFF2-40B4-BE49-F238E27FC236}">
              <a16:creationId xmlns:a16="http://schemas.microsoft.com/office/drawing/2014/main" id="{FA5B28E8-154C-432E-8239-A7E600B33D02}"/>
            </a:ext>
          </a:extLst>
        </xdr:cNvPr>
        <xdr:cNvSpPr/>
      </xdr:nvSpPr>
      <xdr:spPr>
        <a:xfrm>
          <a:off x="5409808" y="19782818"/>
          <a:ext cx="925240" cy="59829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320 KBytes</a:t>
          </a:r>
        </a:p>
      </xdr:txBody>
    </xdr:sp>
    <xdr:clientData/>
  </xdr:twoCellAnchor>
  <xdr:twoCellAnchor>
    <xdr:from>
      <xdr:col>6</xdr:col>
      <xdr:colOff>252706</xdr:colOff>
      <xdr:row>84</xdr:row>
      <xdr:rowOff>37388</xdr:rowOff>
    </xdr:from>
    <xdr:to>
      <xdr:col>7</xdr:col>
      <xdr:colOff>220481</xdr:colOff>
      <xdr:row>85</xdr:row>
      <xdr:rowOff>231171</xdr:rowOff>
    </xdr:to>
    <xdr:sp macro="" textlink="">
      <xdr:nvSpPr>
        <xdr:cNvPr id="45" name="右中かっこ 44">
          <a:extLst>
            <a:ext uri="{FF2B5EF4-FFF2-40B4-BE49-F238E27FC236}">
              <a16:creationId xmlns:a16="http://schemas.microsoft.com/office/drawing/2014/main" id="{C58FA386-AF6B-406E-874A-AED63CD7CB04}"/>
            </a:ext>
          </a:extLst>
        </xdr:cNvPr>
        <xdr:cNvSpPr/>
      </xdr:nvSpPr>
      <xdr:spPr>
        <a:xfrm rot="10800000">
          <a:off x="6318627" y="20491072"/>
          <a:ext cx="243499" cy="434415"/>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xdr:col>
      <xdr:colOff>273638</xdr:colOff>
      <xdr:row>84</xdr:row>
      <xdr:rowOff>64910</xdr:rowOff>
    </xdr:from>
    <xdr:to>
      <xdr:col>6</xdr:col>
      <xdr:colOff>265785</xdr:colOff>
      <xdr:row>85</xdr:row>
      <xdr:rowOff>189496</xdr:rowOff>
    </xdr:to>
    <xdr:sp macro="" textlink="">
      <xdr:nvSpPr>
        <xdr:cNvPr id="46" name="正方形/長方形 45">
          <a:extLst>
            <a:ext uri="{FF2B5EF4-FFF2-40B4-BE49-F238E27FC236}">
              <a16:creationId xmlns:a16="http://schemas.microsoft.com/office/drawing/2014/main" id="{C530C471-14C6-486E-BA26-193A5042B88B}"/>
            </a:ext>
          </a:extLst>
        </xdr:cNvPr>
        <xdr:cNvSpPr/>
      </xdr:nvSpPr>
      <xdr:spPr>
        <a:xfrm>
          <a:off x="5236664" y="20518594"/>
          <a:ext cx="1095042" cy="36521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523968 KBytes</a:t>
          </a:r>
        </a:p>
      </xdr:txBody>
    </xdr:sp>
    <xdr:clientData/>
  </xdr:twoCellAnchor>
  <xdr:twoCellAnchor>
    <xdr:from>
      <xdr:col>6</xdr:col>
      <xdr:colOff>246879</xdr:colOff>
      <xdr:row>86</xdr:row>
      <xdr:rowOff>30994</xdr:rowOff>
    </xdr:from>
    <xdr:to>
      <xdr:col>7</xdr:col>
      <xdr:colOff>214654</xdr:colOff>
      <xdr:row>89</xdr:row>
      <xdr:rowOff>4802</xdr:rowOff>
    </xdr:to>
    <xdr:sp macro="" textlink="">
      <xdr:nvSpPr>
        <xdr:cNvPr id="47" name="右中かっこ 46">
          <a:extLst>
            <a:ext uri="{FF2B5EF4-FFF2-40B4-BE49-F238E27FC236}">
              <a16:creationId xmlns:a16="http://schemas.microsoft.com/office/drawing/2014/main" id="{26A61F5E-FC18-4DC5-945A-FCDE1E863279}"/>
            </a:ext>
          </a:extLst>
        </xdr:cNvPr>
        <xdr:cNvSpPr/>
      </xdr:nvSpPr>
      <xdr:spPr>
        <a:xfrm rot="10800000">
          <a:off x="6312800" y="20965941"/>
          <a:ext cx="243499" cy="695703"/>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3</xdr:col>
      <xdr:colOff>163037</xdr:colOff>
      <xdr:row>86</xdr:row>
      <xdr:rowOff>58048</xdr:rowOff>
    </xdr:from>
    <xdr:to>
      <xdr:col>6</xdr:col>
      <xdr:colOff>261106</xdr:colOff>
      <xdr:row>88</xdr:row>
      <xdr:rowOff>175074</xdr:rowOff>
    </xdr:to>
    <xdr:sp macro="" textlink="">
      <xdr:nvSpPr>
        <xdr:cNvPr id="48" name="正方形/長方形 47">
          <a:extLst>
            <a:ext uri="{FF2B5EF4-FFF2-40B4-BE49-F238E27FC236}">
              <a16:creationId xmlns:a16="http://schemas.microsoft.com/office/drawing/2014/main" id="{239E00D9-6493-412A-B039-E6B9B9D0DC66}"/>
            </a:ext>
          </a:extLst>
        </xdr:cNvPr>
        <xdr:cNvSpPr/>
      </xdr:nvSpPr>
      <xdr:spPr>
        <a:xfrm>
          <a:off x="5401787" y="20992995"/>
          <a:ext cx="925240" cy="59829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320 KBytes</a:t>
          </a:r>
        </a:p>
      </xdr:txBody>
    </xdr:sp>
    <xdr:clientData/>
  </xdr:twoCellAnchor>
  <xdr:twoCellAnchor>
    <xdr:from>
      <xdr:col>6</xdr:col>
      <xdr:colOff>244685</xdr:colOff>
      <xdr:row>89</xdr:row>
      <xdr:rowOff>44407</xdr:rowOff>
    </xdr:from>
    <xdr:to>
      <xdr:col>7</xdr:col>
      <xdr:colOff>212460</xdr:colOff>
      <xdr:row>90</xdr:row>
      <xdr:rowOff>238190</xdr:rowOff>
    </xdr:to>
    <xdr:sp macro="" textlink="">
      <xdr:nvSpPr>
        <xdr:cNvPr id="49" name="右中かっこ 48">
          <a:extLst>
            <a:ext uri="{FF2B5EF4-FFF2-40B4-BE49-F238E27FC236}">
              <a16:creationId xmlns:a16="http://schemas.microsoft.com/office/drawing/2014/main" id="{89D30947-44AB-402E-9475-5DFDDA6327F2}"/>
            </a:ext>
          </a:extLst>
        </xdr:cNvPr>
        <xdr:cNvSpPr/>
      </xdr:nvSpPr>
      <xdr:spPr>
        <a:xfrm rot="10800000">
          <a:off x="6310606" y="21701249"/>
          <a:ext cx="243499" cy="434415"/>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xdr:col>
      <xdr:colOff>265617</xdr:colOff>
      <xdr:row>89</xdr:row>
      <xdr:rowOff>71929</xdr:rowOff>
    </xdr:from>
    <xdr:to>
      <xdr:col>6</xdr:col>
      <xdr:colOff>257764</xdr:colOff>
      <xdr:row>90</xdr:row>
      <xdr:rowOff>196515</xdr:rowOff>
    </xdr:to>
    <xdr:sp macro="" textlink="">
      <xdr:nvSpPr>
        <xdr:cNvPr id="50" name="正方形/長方形 49">
          <a:extLst>
            <a:ext uri="{FF2B5EF4-FFF2-40B4-BE49-F238E27FC236}">
              <a16:creationId xmlns:a16="http://schemas.microsoft.com/office/drawing/2014/main" id="{C68ED5A6-F42B-4F8A-BB2B-6E2A848E914A}"/>
            </a:ext>
          </a:extLst>
        </xdr:cNvPr>
        <xdr:cNvSpPr/>
      </xdr:nvSpPr>
      <xdr:spPr>
        <a:xfrm>
          <a:off x="5228643" y="21728771"/>
          <a:ext cx="1095042" cy="36521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523968 KBytes</a:t>
          </a:r>
        </a:p>
      </xdr:txBody>
    </xdr:sp>
    <xdr:clientData/>
  </xdr:twoCellAnchor>
  <xdr:twoCellAnchor>
    <xdr:from>
      <xdr:col>6</xdr:col>
      <xdr:colOff>244999</xdr:colOff>
      <xdr:row>91</xdr:row>
      <xdr:rowOff>34754</xdr:rowOff>
    </xdr:from>
    <xdr:to>
      <xdr:col>7</xdr:col>
      <xdr:colOff>212774</xdr:colOff>
      <xdr:row>94</xdr:row>
      <xdr:rowOff>8562</xdr:rowOff>
    </xdr:to>
    <xdr:sp macro="" textlink="">
      <xdr:nvSpPr>
        <xdr:cNvPr id="51" name="右中かっこ 50">
          <a:extLst>
            <a:ext uri="{FF2B5EF4-FFF2-40B4-BE49-F238E27FC236}">
              <a16:creationId xmlns:a16="http://schemas.microsoft.com/office/drawing/2014/main" id="{8744DD22-9A3E-40D6-A9F0-357AD7DCF5AF}"/>
            </a:ext>
          </a:extLst>
        </xdr:cNvPr>
        <xdr:cNvSpPr/>
      </xdr:nvSpPr>
      <xdr:spPr>
        <a:xfrm rot="10800000">
          <a:off x="6269562" y="21942254"/>
          <a:ext cx="241618" cy="688183"/>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3</xdr:col>
      <xdr:colOff>161157</xdr:colOff>
      <xdr:row>91</xdr:row>
      <xdr:rowOff>61808</xdr:rowOff>
    </xdr:from>
    <xdr:to>
      <xdr:col>6</xdr:col>
      <xdr:colOff>259226</xdr:colOff>
      <xdr:row>93</xdr:row>
      <xdr:rowOff>178834</xdr:rowOff>
    </xdr:to>
    <xdr:sp macro="" textlink="">
      <xdr:nvSpPr>
        <xdr:cNvPr id="52" name="正方形/長方形 51">
          <a:extLst>
            <a:ext uri="{FF2B5EF4-FFF2-40B4-BE49-F238E27FC236}">
              <a16:creationId xmlns:a16="http://schemas.microsoft.com/office/drawing/2014/main" id="{0CB9F40E-0206-4CFD-BAA6-5CA3A9CFA390}"/>
            </a:ext>
          </a:extLst>
        </xdr:cNvPr>
        <xdr:cNvSpPr/>
      </xdr:nvSpPr>
      <xdr:spPr>
        <a:xfrm>
          <a:off x="5364188" y="21969308"/>
          <a:ext cx="919601" cy="59327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320 KBytes</a:t>
          </a:r>
        </a:p>
      </xdr:txBody>
    </xdr:sp>
    <xdr:clientData/>
  </xdr:twoCellAnchor>
  <xdr:twoCellAnchor>
    <xdr:from>
      <xdr:col>6</xdr:col>
      <xdr:colOff>242805</xdr:colOff>
      <xdr:row>94</xdr:row>
      <xdr:rowOff>48167</xdr:rowOff>
    </xdr:from>
    <xdr:to>
      <xdr:col>7</xdr:col>
      <xdr:colOff>210580</xdr:colOff>
      <xdr:row>96</xdr:row>
      <xdr:rowOff>3825</xdr:rowOff>
    </xdr:to>
    <xdr:sp macro="" textlink="">
      <xdr:nvSpPr>
        <xdr:cNvPr id="53" name="右中かっこ 52">
          <a:extLst>
            <a:ext uri="{FF2B5EF4-FFF2-40B4-BE49-F238E27FC236}">
              <a16:creationId xmlns:a16="http://schemas.microsoft.com/office/drawing/2014/main" id="{A42B77D1-4C58-43F6-A40F-A766087D5CAC}"/>
            </a:ext>
          </a:extLst>
        </xdr:cNvPr>
        <xdr:cNvSpPr/>
      </xdr:nvSpPr>
      <xdr:spPr>
        <a:xfrm rot="10800000">
          <a:off x="6267368" y="22670042"/>
          <a:ext cx="241618" cy="431908"/>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xdr:col>
      <xdr:colOff>263737</xdr:colOff>
      <xdr:row>94</xdr:row>
      <xdr:rowOff>75689</xdr:rowOff>
    </xdr:from>
    <xdr:to>
      <xdr:col>6</xdr:col>
      <xdr:colOff>255884</xdr:colOff>
      <xdr:row>95</xdr:row>
      <xdr:rowOff>200275</xdr:rowOff>
    </xdr:to>
    <xdr:sp macro="" textlink="">
      <xdr:nvSpPr>
        <xdr:cNvPr id="54" name="正方形/長方形 53">
          <a:extLst>
            <a:ext uri="{FF2B5EF4-FFF2-40B4-BE49-F238E27FC236}">
              <a16:creationId xmlns:a16="http://schemas.microsoft.com/office/drawing/2014/main" id="{94F1C8CD-E070-4215-83F5-8AB5BD4C1BBE}"/>
            </a:ext>
          </a:extLst>
        </xdr:cNvPr>
        <xdr:cNvSpPr/>
      </xdr:nvSpPr>
      <xdr:spPr>
        <a:xfrm>
          <a:off x="5192925" y="22697564"/>
          <a:ext cx="1087522" cy="36271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523968 KBytes</a:t>
          </a:r>
        </a:p>
      </xdr:txBody>
    </xdr:sp>
    <xdr:clientData/>
  </xdr:twoCellAnchor>
  <xdr:twoCellAnchor>
    <xdr:from>
      <xdr:col>6</xdr:col>
      <xdr:colOff>241240</xdr:colOff>
      <xdr:row>96</xdr:row>
      <xdr:rowOff>34754</xdr:rowOff>
    </xdr:from>
    <xdr:to>
      <xdr:col>7</xdr:col>
      <xdr:colOff>209015</xdr:colOff>
      <xdr:row>99</xdr:row>
      <xdr:rowOff>8562</xdr:rowOff>
    </xdr:to>
    <xdr:sp macro="" textlink="">
      <xdr:nvSpPr>
        <xdr:cNvPr id="55" name="右中かっこ 54">
          <a:extLst>
            <a:ext uri="{FF2B5EF4-FFF2-40B4-BE49-F238E27FC236}">
              <a16:creationId xmlns:a16="http://schemas.microsoft.com/office/drawing/2014/main" id="{1269B6D4-0597-492D-A406-8828908C03DB}"/>
            </a:ext>
          </a:extLst>
        </xdr:cNvPr>
        <xdr:cNvSpPr/>
      </xdr:nvSpPr>
      <xdr:spPr>
        <a:xfrm rot="10800000">
          <a:off x="6307161" y="23376017"/>
          <a:ext cx="243499" cy="695703"/>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3</xdr:col>
      <xdr:colOff>157398</xdr:colOff>
      <xdr:row>96</xdr:row>
      <xdr:rowOff>61808</xdr:rowOff>
    </xdr:from>
    <xdr:to>
      <xdr:col>6</xdr:col>
      <xdr:colOff>255467</xdr:colOff>
      <xdr:row>98</xdr:row>
      <xdr:rowOff>178834</xdr:rowOff>
    </xdr:to>
    <xdr:sp macro="" textlink="">
      <xdr:nvSpPr>
        <xdr:cNvPr id="56" name="正方形/長方形 55">
          <a:extLst>
            <a:ext uri="{FF2B5EF4-FFF2-40B4-BE49-F238E27FC236}">
              <a16:creationId xmlns:a16="http://schemas.microsoft.com/office/drawing/2014/main" id="{C7CD788D-C42D-4726-B374-F23A1FA6EF70}"/>
            </a:ext>
          </a:extLst>
        </xdr:cNvPr>
        <xdr:cNvSpPr/>
      </xdr:nvSpPr>
      <xdr:spPr>
        <a:xfrm>
          <a:off x="5396148" y="23403071"/>
          <a:ext cx="925240" cy="59828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320 KBytes</a:t>
          </a:r>
        </a:p>
      </xdr:txBody>
    </xdr:sp>
    <xdr:clientData/>
  </xdr:twoCellAnchor>
  <xdr:twoCellAnchor>
    <xdr:from>
      <xdr:col>6</xdr:col>
      <xdr:colOff>239046</xdr:colOff>
      <xdr:row>99</xdr:row>
      <xdr:rowOff>48167</xdr:rowOff>
    </xdr:from>
    <xdr:to>
      <xdr:col>7</xdr:col>
      <xdr:colOff>206821</xdr:colOff>
      <xdr:row>101</xdr:row>
      <xdr:rowOff>3825</xdr:rowOff>
    </xdr:to>
    <xdr:sp macro="" textlink="">
      <xdr:nvSpPr>
        <xdr:cNvPr id="57" name="右中かっこ 56">
          <a:extLst>
            <a:ext uri="{FF2B5EF4-FFF2-40B4-BE49-F238E27FC236}">
              <a16:creationId xmlns:a16="http://schemas.microsoft.com/office/drawing/2014/main" id="{2B8323A3-C4B5-44BA-AFDA-665F99B89976}"/>
            </a:ext>
          </a:extLst>
        </xdr:cNvPr>
        <xdr:cNvSpPr/>
      </xdr:nvSpPr>
      <xdr:spPr>
        <a:xfrm rot="10800000">
          <a:off x="6304967" y="24111325"/>
          <a:ext cx="243499" cy="436921"/>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xdr:col>
      <xdr:colOff>259978</xdr:colOff>
      <xdr:row>99</xdr:row>
      <xdr:rowOff>75689</xdr:rowOff>
    </xdr:from>
    <xdr:to>
      <xdr:col>6</xdr:col>
      <xdr:colOff>252125</xdr:colOff>
      <xdr:row>100</xdr:row>
      <xdr:rowOff>200276</xdr:rowOff>
    </xdr:to>
    <xdr:sp macro="" textlink="">
      <xdr:nvSpPr>
        <xdr:cNvPr id="58" name="正方形/長方形 57">
          <a:extLst>
            <a:ext uri="{FF2B5EF4-FFF2-40B4-BE49-F238E27FC236}">
              <a16:creationId xmlns:a16="http://schemas.microsoft.com/office/drawing/2014/main" id="{FC2E21AE-67F8-4300-B124-4CBCB2A13D08}"/>
            </a:ext>
          </a:extLst>
        </xdr:cNvPr>
        <xdr:cNvSpPr/>
      </xdr:nvSpPr>
      <xdr:spPr>
        <a:xfrm>
          <a:off x="5223004" y="24138847"/>
          <a:ext cx="1095042" cy="36521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523968 KBytes</a:t>
          </a:r>
        </a:p>
      </xdr:txBody>
    </xdr:sp>
    <xdr:clientData/>
  </xdr:twoCellAnchor>
  <xdr:twoCellAnchor>
    <xdr:from>
      <xdr:col>6</xdr:col>
      <xdr:colOff>238232</xdr:colOff>
      <xdr:row>101</xdr:row>
      <xdr:rowOff>36759</xdr:rowOff>
    </xdr:from>
    <xdr:to>
      <xdr:col>7</xdr:col>
      <xdr:colOff>206007</xdr:colOff>
      <xdr:row>104</xdr:row>
      <xdr:rowOff>10567</xdr:rowOff>
    </xdr:to>
    <xdr:sp macro="" textlink="">
      <xdr:nvSpPr>
        <xdr:cNvPr id="59" name="右中かっこ 58">
          <a:extLst>
            <a:ext uri="{FF2B5EF4-FFF2-40B4-BE49-F238E27FC236}">
              <a16:creationId xmlns:a16="http://schemas.microsoft.com/office/drawing/2014/main" id="{84C5A504-8257-4077-8713-3F044E19F5A3}"/>
            </a:ext>
          </a:extLst>
        </xdr:cNvPr>
        <xdr:cNvSpPr/>
      </xdr:nvSpPr>
      <xdr:spPr>
        <a:xfrm rot="10800000">
          <a:off x="6304153" y="24581180"/>
          <a:ext cx="243499" cy="695703"/>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3</xdr:col>
      <xdr:colOff>154390</xdr:colOff>
      <xdr:row>101</xdr:row>
      <xdr:rowOff>63813</xdr:rowOff>
    </xdr:from>
    <xdr:to>
      <xdr:col>6</xdr:col>
      <xdr:colOff>252459</xdr:colOff>
      <xdr:row>103</xdr:row>
      <xdr:rowOff>180839</xdr:rowOff>
    </xdr:to>
    <xdr:sp macro="" textlink="">
      <xdr:nvSpPr>
        <xdr:cNvPr id="60" name="正方形/長方形 59">
          <a:extLst>
            <a:ext uri="{FF2B5EF4-FFF2-40B4-BE49-F238E27FC236}">
              <a16:creationId xmlns:a16="http://schemas.microsoft.com/office/drawing/2014/main" id="{704268B6-0027-4CC0-876B-7EC57953C777}"/>
            </a:ext>
          </a:extLst>
        </xdr:cNvPr>
        <xdr:cNvSpPr/>
      </xdr:nvSpPr>
      <xdr:spPr>
        <a:xfrm>
          <a:off x="5393140" y="24608234"/>
          <a:ext cx="925240" cy="59828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320 KBytes</a:t>
          </a:r>
        </a:p>
      </xdr:txBody>
    </xdr:sp>
    <xdr:clientData/>
  </xdr:twoCellAnchor>
  <xdr:twoCellAnchor>
    <xdr:from>
      <xdr:col>6</xdr:col>
      <xdr:colOff>236038</xdr:colOff>
      <xdr:row>104</xdr:row>
      <xdr:rowOff>50172</xdr:rowOff>
    </xdr:from>
    <xdr:to>
      <xdr:col>7</xdr:col>
      <xdr:colOff>203813</xdr:colOff>
      <xdr:row>106</xdr:row>
      <xdr:rowOff>5830</xdr:rowOff>
    </xdr:to>
    <xdr:sp macro="" textlink="">
      <xdr:nvSpPr>
        <xdr:cNvPr id="61" name="右中かっこ 60">
          <a:extLst>
            <a:ext uri="{FF2B5EF4-FFF2-40B4-BE49-F238E27FC236}">
              <a16:creationId xmlns:a16="http://schemas.microsoft.com/office/drawing/2014/main" id="{F166C58E-1388-44D9-82AB-91C9D873C397}"/>
            </a:ext>
          </a:extLst>
        </xdr:cNvPr>
        <xdr:cNvSpPr/>
      </xdr:nvSpPr>
      <xdr:spPr>
        <a:xfrm rot="10800000">
          <a:off x="6301959" y="25316488"/>
          <a:ext cx="243499" cy="436921"/>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xdr:col>
      <xdr:colOff>256970</xdr:colOff>
      <xdr:row>104</xdr:row>
      <xdr:rowOff>77694</xdr:rowOff>
    </xdr:from>
    <xdr:to>
      <xdr:col>6</xdr:col>
      <xdr:colOff>249117</xdr:colOff>
      <xdr:row>105</xdr:row>
      <xdr:rowOff>202281</xdr:rowOff>
    </xdr:to>
    <xdr:sp macro="" textlink="">
      <xdr:nvSpPr>
        <xdr:cNvPr id="62" name="正方形/長方形 61">
          <a:extLst>
            <a:ext uri="{FF2B5EF4-FFF2-40B4-BE49-F238E27FC236}">
              <a16:creationId xmlns:a16="http://schemas.microsoft.com/office/drawing/2014/main" id="{EDCF55F7-9D4E-4D33-B544-49E1A6906649}"/>
            </a:ext>
          </a:extLst>
        </xdr:cNvPr>
        <xdr:cNvSpPr/>
      </xdr:nvSpPr>
      <xdr:spPr>
        <a:xfrm>
          <a:off x="5219996" y="25344010"/>
          <a:ext cx="1095042" cy="36521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523968 KBytes</a:t>
          </a:r>
        </a:p>
      </xdr:txBody>
    </xdr:sp>
    <xdr:clientData/>
  </xdr:twoCellAnchor>
  <xdr:twoCellAnchor>
    <xdr:from>
      <xdr:col>6</xdr:col>
      <xdr:colOff>235224</xdr:colOff>
      <xdr:row>106</xdr:row>
      <xdr:rowOff>28738</xdr:rowOff>
    </xdr:from>
    <xdr:to>
      <xdr:col>7</xdr:col>
      <xdr:colOff>202999</xdr:colOff>
      <xdr:row>109</xdr:row>
      <xdr:rowOff>2546</xdr:rowOff>
    </xdr:to>
    <xdr:sp macro="" textlink="">
      <xdr:nvSpPr>
        <xdr:cNvPr id="63" name="右中かっこ 62">
          <a:extLst>
            <a:ext uri="{FF2B5EF4-FFF2-40B4-BE49-F238E27FC236}">
              <a16:creationId xmlns:a16="http://schemas.microsoft.com/office/drawing/2014/main" id="{AFFEB803-04F3-4BDA-BF93-521BDBF7EB52}"/>
            </a:ext>
          </a:extLst>
        </xdr:cNvPr>
        <xdr:cNvSpPr/>
      </xdr:nvSpPr>
      <xdr:spPr>
        <a:xfrm rot="10800000">
          <a:off x="6301145" y="25776317"/>
          <a:ext cx="243499" cy="695703"/>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3</xdr:col>
      <xdr:colOff>151382</xdr:colOff>
      <xdr:row>106</xdr:row>
      <xdr:rowOff>55792</xdr:rowOff>
    </xdr:from>
    <xdr:to>
      <xdr:col>6</xdr:col>
      <xdr:colOff>249451</xdr:colOff>
      <xdr:row>108</xdr:row>
      <xdr:rowOff>172818</xdr:rowOff>
    </xdr:to>
    <xdr:sp macro="" textlink="">
      <xdr:nvSpPr>
        <xdr:cNvPr id="64" name="正方形/長方形 63">
          <a:extLst>
            <a:ext uri="{FF2B5EF4-FFF2-40B4-BE49-F238E27FC236}">
              <a16:creationId xmlns:a16="http://schemas.microsoft.com/office/drawing/2014/main" id="{4AD622A6-C0D5-447A-B8F8-FBAB95BB4DFB}"/>
            </a:ext>
          </a:extLst>
        </xdr:cNvPr>
        <xdr:cNvSpPr/>
      </xdr:nvSpPr>
      <xdr:spPr>
        <a:xfrm>
          <a:off x="5390132" y="25803371"/>
          <a:ext cx="925240" cy="59828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320 KBytes</a:t>
          </a:r>
        </a:p>
      </xdr:txBody>
    </xdr:sp>
    <xdr:clientData/>
  </xdr:twoCellAnchor>
  <xdr:twoCellAnchor>
    <xdr:from>
      <xdr:col>6</xdr:col>
      <xdr:colOff>233030</xdr:colOff>
      <xdr:row>109</xdr:row>
      <xdr:rowOff>42151</xdr:rowOff>
    </xdr:from>
    <xdr:to>
      <xdr:col>7</xdr:col>
      <xdr:colOff>200805</xdr:colOff>
      <xdr:row>110</xdr:row>
      <xdr:rowOff>238441</xdr:rowOff>
    </xdr:to>
    <xdr:sp macro="" textlink="">
      <xdr:nvSpPr>
        <xdr:cNvPr id="65" name="右中かっこ 64">
          <a:extLst>
            <a:ext uri="{FF2B5EF4-FFF2-40B4-BE49-F238E27FC236}">
              <a16:creationId xmlns:a16="http://schemas.microsoft.com/office/drawing/2014/main" id="{BEFBA7D9-8E6D-469E-A48E-5025FD588AA6}"/>
            </a:ext>
          </a:extLst>
        </xdr:cNvPr>
        <xdr:cNvSpPr/>
      </xdr:nvSpPr>
      <xdr:spPr>
        <a:xfrm rot="10800000">
          <a:off x="6298951" y="26511625"/>
          <a:ext cx="243499" cy="436921"/>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xdr:col>
      <xdr:colOff>253962</xdr:colOff>
      <xdr:row>109</xdr:row>
      <xdr:rowOff>69673</xdr:rowOff>
    </xdr:from>
    <xdr:to>
      <xdr:col>6</xdr:col>
      <xdr:colOff>246109</xdr:colOff>
      <xdr:row>110</xdr:row>
      <xdr:rowOff>194260</xdr:rowOff>
    </xdr:to>
    <xdr:sp macro="" textlink="">
      <xdr:nvSpPr>
        <xdr:cNvPr id="66" name="正方形/長方形 65">
          <a:extLst>
            <a:ext uri="{FF2B5EF4-FFF2-40B4-BE49-F238E27FC236}">
              <a16:creationId xmlns:a16="http://schemas.microsoft.com/office/drawing/2014/main" id="{2BBAB342-DC90-4461-B09F-ABA23136EB67}"/>
            </a:ext>
          </a:extLst>
        </xdr:cNvPr>
        <xdr:cNvSpPr/>
      </xdr:nvSpPr>
      <xdr:spPr>
        <a:xfrm>
          <a:off x="5216988" y="26539147"/>
          <a:ext cx="1095042" cy="36521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523968 KBytes</a:t>
          </a:r>
        </a:p>
      </xdr:txBody>
    </xdr:sp>
    <xdr:clientData/>
  </xdr:twoCellAnchor>
  <xdr:twoCellAnchor>
    <xdr:from>
      <xdr:col>6</xdr:col>
      <xdr:colOff>232216</xdr:colOff>
      <xdr:row>111</xdr:row>
      <xdr:rowOff>25730</xdr:rowOff>
    </xdr:from>
    <xdr:to>
      <xdr:col>7</xdr:col>
      <xdr:colOff>199991</xdr:colOff>
      <xdr:row>113</xdr:row>
      <xdr:rowOff>240170</xdr:rowOff>
    </xdr:to>
    <xdr:sp macro="" textlink="">
      <xdr:nvSpPr>
        <xdr:cNvPr id="67" name="右中かっこ 66">
          <a:extLst>
            <a:ext uri="{FF2B5EF4-FFF2-40B4-BE49-F238E27FC236}">
              <a16:creationId xmlns:a16="http://schemas.microsoft.com/office/drawing/2014/main" id="{6E7FE794-A094-4F63-932C-33D4769F980C}"/>
            </a:ext>
          </a:extLst>
        </xdr:cNvPr>
        <xdr:cNvSpPr/>
      </xdr:nvSpPr>
      <xdr:spPr>
        <a:xfrm rot="10800000">
          <a:off x="6298137" y="26976467"/>
          <a:ext cx="243499" cy="695703"/>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3</xdr:col>
      <xdr:colOff>148374</xdr:colOff>
      <xdr:row>111</xdr:row>
      <xdr:rowOff>52784</xdr:rowOff>
    </xdr:from>
    <xdr:to>
      <xdr:col>6</xdr:col>
      <xdr:colOff>246443</xdr:colOff>
      <xdr:row>113</xdr:row>
      <xdr:rowOff>169810</xdr:rowOff>
    </xdr:to>
    <xdr:sp macro="" textlink="">
      <xdr:nvSpPr>
        <xdr:cNvPr id="68" name="正方形/長方形 67">
          <a:extLst>
            <a:ext uri="{FF2B5EF4-FFF2-40B4-BE49-F238E27FC236}">
              <a16:creationId xmlns:a16="http://schemas.microsoft.com/office/drawing/2014/main" id="{E2F4A850-6E20-4377-90B0-4B99222152F6}"/>
            </a:ext>
          </a:extLst>
        </xdr:cNvPr>
        <xdr:cNvSpPr/>
      </xdr:nvSpPr>
      <xdr:spPr>
        <a:xfrm>
          <a:off x="5387124" y="27003521"/>
          <a:ext cx="925240" cy="59828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320 KBytes</a:t>
          </a:r>
        </a:p>
      </xdr:txBody>
    </xdr:sp>
    <xdr:clientData/>
  </xdr:twoCellAnchor>
  <xdr:twoCellAnchor>
    <xdr:from>
      <xdr:col>6</xdr:col>
      <xdr:colOff>230022</xdr:colOff>
      <xdr:row>114</xdr:row>
      <xdr:rowOff>39143</xdr:rowOff>
    </xdr:from>
    <xdr:to>
      <xdr:col>7</xdr:col>
      <xdr:colOff>197797</xdr:colOff>
      <xdr:row>115</xdr:row>
      <xdr:rowOff>235433</xdr:rowOff>
    </xdr:to>
    <xdr:sp macro="" textlink="">
      <xdr:nvSpPr>
        <xdr:cNvPr id="69" name="右中かっこ 68">
          <a:extLst>
            <a:ext uri="{FF2B5EF4-FFF2-40B4-BE49-F238E27FC236}">
              <a16:creationId xmlns:a16="http://schemas.microsoft.com/office/drawing/2014/main" id="{FEF0862B-B5CB-4FEB-9909-4BD063A7D8B4}"/>
            </a:ext>
          </a:extLst>
        </xdr:cNvPr>
        <xdr:cNvSpPr/>
      </xdr:nvSpPr>
      <xdr:spPr>
        <a:xfrm rot="10800000">
          <a:off x="6295943" y="27711775"/>
          <a:ext cx="243499" cy="436921"/>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xdr:col>
      <xdr:colOff>250954</xdr:colOff>
      <xdr:row>114</xdr:row>
      <xdr:rowOff>66665</xdr:rowOff>
    </xdr:from>
    <xdr:to>
      <xdr:col>6</xdr:col>
      <xdr:colOff>243101</xdr:colOff>
      <xdr:row>115</xdr:row>
      <xdr:rowOff>191252</xdr:rowOff>
    </xdr:to>
    <xdr:sp macro="" textlink="">
      <xdr:nvSpPr>
        <xdr:cNvPr id="70" name="正方形/長方形 69">
          <a:extLst>
            <a:ext uri="{FF2B5EF4-FFF2-40B4-BE49-F238E27FC236}">
              <a16:creationId xmlns:a16="http://schemas.microsoft.com/office/drawing/2014/main" id="{A6F63944-ACF1-4C6D-B112-B47FDB9F9029}"/>
            </a:ext>
          </a:extLst>
        </xdr:cNvPr>
        <xdr:cNvSpPr/>
      </xdr:nvSpPr>
      <xdr:spPr>
        <a:xfrm>
          <a:off x="5213980" y="27739297"/>
          <a:ext cx="1095042" cy="36521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523968 KBytes</a:t>
          </a:r>
        </a:p>
      </xdr:txBody>
    </xdr:sp>
    <xdr:clientData/>
  </xdr:twoCellAnchor>
  <xdr:twoCellAnchor>
    <xdr:from>
      <xdr:col>6</xdr:col>
      <xdr:colOff>234221</xdr:colOff>
      <xdr:row>116</xdr:row>
      <xdr:rowOff>27735</xdr:rowOff>
    </xdr:from>
    <xdr:to>
      <xdr:col>7</xdr:col>
      <xdr:colOff>201996</xdr:colOff>
      <xdr:row>119</xdr:row>
      <xdr:rowOff>1544</xdr:rowOff>
    </xdr:to>
    <xdr:sp macro="" textlink="">
      <xdr:nvSpPr>
        <xdr:cNvPr id="71" name="右中かっこ 70">
          <a:extLst>
            <a:ext uri="{FF2B5EF4-FFF2-40B4-BE49-F238E27FC236}">
              <a16:creationId xmlns:a16="http://schemas.microsoft.com/office/drawing/2014/main" id="{A390F945-78B1-4F97-B5C1-D6C2586A60DB}"/>
            </a:ext>
          </a:extLst>
        </xdr:cNvPr>
        <xdr:cNvSpPr/>
      </xdr:nvSpPr>
      <xdr:spPr>
        <a:xfrm rot="10800000">
          <a:off x="6300142" y="28181630"/>
          <a:ext cx="243499" cy="695703"/>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3</xdr:col>
      <xdr:colOff>150379</xdr:colOff>
      <xdr:row>116</xdr:row>
      <xdr:rowOff>54789</xdr:rowOff>
    </xdr:from>
    <xdr:to>
      <xdr:col>6</xdr:col>
      <xdr:colOff>248448</xdr:colOff>
      <xdr:row>118</xdr:row>
      <xdr:rowOff>171815</xdr:rowOff>
    </xdr:to>
    <xdr:sp macro="" textlink="">
      <xdr:nvSpPr>
        <xdr:cNvPr id="72" name="正方形/長方形 71">
          <a:extLst>
            <a:ext uri="{FF2B5EF4-FFF2-40B4-BE49-F238E27FC236}">
              <a16:creationId xmlns:a16="http://schemas.microsoft.com/office/drawing/2014/main" id="{E2819826-27CE-444D-9FF4-617DA2291710}"/>
            </a:ext>
          </a:extLst>
        </xdr:cNvPr>
        <xdr:cNvSpPr/>
      </xdr:nvSpPr>
      <xdr:spPr>
        <a:xfrm>
          <a:off x="5389129" y="28208684"/>
          <a:ext cx="925240" cy="59828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320 KBytes</a:t>
          </a:r>
        </a:p>
      </xdr:txBody>
    </xdr:sp>
    <xdr:clientData/>
  </xdr:twoCellAnchor>
  <xdr:twoCellAnchor>
    <xdr:from>
      <xdr:col>23</xdr:col>
      <xdr:colOff>244576</xdr:colOff>
      <xdr:row>66</xdr:row>
      <xdr:rowOff>25371</xdr:rowOff>
    </xdr:from>
    <xdr:to>
      <xdr:col>24</xdr:col>
      <xdr:colOff>212351</xdr:colOff>
      <xdr:row>70</xdr:row>
      <xdr:rowOff>215675</xdr:rowOff>
    </xdr:to>
    <xdr:sp macro="" textlink="">
      <xdr:nvSpPr>
        <xdr:cNvPr id="73" name="右中かっこ 72">
          <a:extLst>
            <a:ext uri="{FF2B5EF4-FFF2-40B4-BE49-F238E27FC236}">
              <a16:creationId xmlns:a16="http://schemas.microsoft.com/office/drawing/2014/main" id="{957795C7-9F1D-4610-9EC1-DCF3735F4F26}"/>
            </a:ext>
          </a:extLst>
        </xdr:cNvPr>
        <xdr:cNvSpPr/>
      </xdr:nvSpPr>
      <xdr:spPr>
        <a:xfrm rot="10800000">
          <a:off x="6231719" y="16190657"/>
          <a:ext cx="239918" cy="1170018"/>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21</xdr:col>
      <xdr:colOff>31656</xdr:colOff>
      <xdr:row>67</xdr:row>
      <xdr:rowOff>47146</xdr:rowOff>
    </xdr:from>
    <xdr:to>
      <xdr:col>23</xdr:col>
      <xdr:colOff>258515</xdr:colOff>
      <xdr:row>69</xdr:row>
      <xdr:rowOff>159842</xdr:rowOff>
    </xdr:to>
    <xdr:sp macro="" textlink="">
      <xdr:nvSpPr>
        <xdr:cNvPr id="74" name="正方形/長方形 73">
          <a:extLst>
            <a:ext uri="{FF2B5EF4-FFF2-40B4-BE49-F238E27FC236}">
              <a16:creationId xmlns:a16="http://schemas.microsoft.com/office/drawing/2014/main" id="{D91A0513-8EA9-458D-A070-15832F2E08C7}"/>
            </a:ext>
          </a:extLst>
        </xdr:cNvPr>
        <xdr:cNvSpPr/>
      </xdr:nvSpPr>
      <xdr:spPr>
        <a:xfrm>
          <a:off x="5474513" y="16457360"/>
          <a:ext cx="771145" cy="60255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2 GBytes</a:t>
          </a:r>
        </a:p>
      </xdr:txBody>
    </xdr:sp>
    <xdr:clientData/>
  </xdr:twoCellAnchor>
  <xdr:twoCellAnchor>
    <xdr:from>
      <xdr:col>23</xdr:col>
      <xdr:colOff>246958</xdr:colOff>
      <xdr:row>71</xdr:row>
      <xdr:rowOff>29623</xdr:rowOff>
    </xdr:from>
    <xdr:to>
      <xdr:col>24</xdr:col>
      <xdr:colOff>214733</xdr:colOff>
      <xdr:row>72</xdr:row>
      <xdr:rowOff>220266</xdr:rowOff>
    </xdr:to>
    <xdr:sp macro="" textlink="">
      <xdr:nvSpPr>
        <xdr:cNvPr id="79" name="右中かっこ 78">
          <a:extLst>
            <a:ext uri="{FF2B5EF4-FFF2-40B4-BE49-F238E27FC236}">
              <a16:creationId xmlns:a16="http://schemas.microsoft.com/office/drawing/2014/main" id="{E8E2BDCA-0AFE-4868-B494-09FD5CF88138}"/>
            </a:ext>
          </a:extLst>
        </xdr:cNvPr>
        <xdr:cNvSpPr/>
      </xdr:nvSpPr>
      <xdr:spPr>
        <a:xfrm rot="10800000">
          <a:off x="6588603" y="17114465"/>
          <a:ext cx="243498" cy="431275"/>
        </a:xfrm>
        <a:prstGeom prst="rightBrace">
          <a:avLst>
            <a:gd name="adj1" fmla="val 23039"/>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21</xdr:col>
      <xdr:colOff>47625</xdr:colOff>
      <xdr:row>71</xdr:row>
      <xdr:rowOff>57145</xdr:rowOff>
    </xdr:from>
    <xdr:to>
      <xdr:col>23</xdr:col>
      <xdr:colOff>260037</xdr:colOff>
      <xdr:row>72</xdr:row>
      <xdr:rowOff>178591</xdr:rowOff>
    </xdr:to>
    <xdr:sp macro="" textlink="">
      <xdr:nvSpPr>
        <xdr:cNvPr id="80" name="正方形/長方形 79">
          <a:extLst>
            <a:ext uri="{FF2B5EF4-FFF2-40B4-BE49-F238E27FC236}">
              <a16:creationId xmlns:a16="http://schemas.microsoft.com/office/drawing/2014/main" id="{5EC56C27-399B-4691-8E7B-09736480FF84}"/>
            </a:ext>
          </a:extLst>
        </xdr:cNvPr>
        <xdr:cNvSpPr/>
      </xdr:nvSpPr>
      <xdr:spPr>
        <a:xfrm>
          <a:off x="5848350" y="16964020"/>
          <a:ext cx="764862" cy="35957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1 GBytes</a:t>
          </a:r>
        </a:p>
      </xdr:txBody>
    </xdr:sp>
    <xdr:clientData/>
  </xdr:twoCellAnchor>
  <xdr:twoCellAnchor>
    <xdr:from>
      <xdr:col>23</xdr:col>
      <xdr:colOff>254016</xdr:colOff>
      <xdr:row>73</xdr:row>
      <xdr:rowOff>27773</xdr:rowOff>
    </xdr:from>
    <xdr:to>
      <xdr:col>24</xdr:col>
      <xdr:colOff>221791</xdr:colOff>
      <xdr:row>76</xdr:row>
      <xdr:rowOff>951</xdr:rowOff>
    </xdr:to>
    <xdr:sp macro="" textlink="">
      <xdr:nvSpPr>
        <xdr:cNvPr id="81" name="右中かっこ 80">
          <a:extLst>
            <a:ext uri="{FF2B5EF4-FFF2-40B4-BE49-F238E27FC236}">
              <a16:creationId xmlns:a16="http://schemas.microsoft.com/office/drawing/2014/main" id="{956CE379-E6AD-4C6C-AD56-25354E109EA8}"/>
            </a:ext>
          </a:extLst>
        </xdr:cNvPr>
        <xdr:cNvSpPr/>
      </xdr:nvSpPr>
      <xdr:spPr>
        <a:xfrm rot="10800000">
          <a:off x="6599637" y="17291014"/>
          <a:ext cx="243671" cy="682627"/>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20</xdr:col>
      <xdr:colOff>176127</xdr:colOff>
      <xdr:row>73</xdr:row>
      <xdr:rowOff>69255</xdr:rowOff>
    </xdr:from>
    <xdr:to>
      <xdr:col>23</xdr:col>
      <xdr:colOff>269945</xdr:colOff>
      <xdr:row>75</xdr:row>
      <xdr:rowOff>181951</xdr:rowOff>
    </xdr:to>
    <xdr:sp macro="" textlink="">
      <xdr:nvSpPr>
        <xdr:cNvPr id="82" name="正方形/長方形 81">
          <a:extLst>
            <a:ext uri="{FF2B5EF4-FFF2-40B4-BE49-F238E27FC236}">
              <a16:creationId xmlns:a16="http://schemas.microsoft.com/office/drawing/2014/main" id="{938171AE-E274-45D5-BD5F-CD5C39E1249A}"/>
            </a:ext>
          </a:extLst>
        </xdr:cNvPr>
        <xdr:cNvSpPr/>
      </xdr:nvSpPr>
      <xdr:spPr>
        <a:xfrm>
          <a:off x="5694058" y="17332496"/>
          <a:ext cx="921508" cy="58566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512 MBytes</a:t>
          </a:r>
        </a:p>
      </xdr:txBody>
    </xdr:sp>
    <xdr:clientData/>
  </xdr:twoCellAnchor>
  <xdr:twoCellAnchor>
    <xdr:from>
      <xdr:col>23</xdr:col>
      <xdr:colOff>247446</xdr:colOff>
      <xdr:row>76</xdr:row>
      <xdr:rowOff>28783</xdr:rowOff>
    </xdr:from>
    <xdr:to>
      <xdr:col>24</xdr:col>
      <xdr:colOff>215221</xdr:colOff>
      <xdr:row>79</xdr:row>
      <xdr:rowOff>1961</xdr:rowOff>
    </xdr:to>
    <xdr:sp macro="" textlink="">
      <xdr:nvSpPr>
        <xdr:cNvPr id="83" name="右中かっこ 82">
          <a:extLst>
            <a:ext uri="{FF2B5EF4-FFF2-40B4-BE49-F238E27FC236}">
              <a16:creationId xmlns:a16="http://schemas.microsoft.com/office/drawing/2014/main" id="{0CC5C972-0D27-4918-8E91-CACEF3D54968}"/>
            </a:ext>
          </a:extLst>
        </xdr:cNvPr>
        <xdr:cNvSpPr/>
      </xdr:nvSpPr>
      <xdr:spPr>
        <a:xfrm rot="10800000">
          <a:off x="6651177" y="18404706"/>
          <a:ext cx="246198" cy="698543"/>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20</xdr:col>
      <xdr:colOff>169557</xdr:colOff>
      <xdr:row>76</xdr:row>
      <xdr:rowOff>70265</xdr:rowOff>
    </xdr:from>
    <xdr:to>
      <xdr:col>23</xdr:col>
      <xdr:colOff>263375</xdr:colOff>
      <xdr:row>78</xdr:row>
      <xdr:rowOff>182961</xdr:rowOff>
    </xdr:to>
    <xdr:sp macro="" textlink="">
      <xdr:nvSpPr>
        <xdr:cNvPr id="84" name="正方形/長方形 83">
          <a:extLst>
            <a:ext uri="{FF2B5EF4-FFF2-40B4-BE49-F238E27FC236}">
              <a16:creationId xmlns:a16="http://schemas.microsoft.com/office/drawing/2014/main" id="{22CADBA7-25FD-4DFF-B924-2D0A70801B7F}"/>
            </a:ext>
          </a:extLst>
        </xdr:cNvPr>
        <xdr:cNvSpPr/>
      </xdr:nvSpPr>
      <xdr:spPr>
        <a:xfrm>
          <a:off x="5738019" y="18446188"/>
          <a:ext cx="929087" cy="59627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2560 KBytes</a:t>
          </a:r>
        </a:p>
      </xdr:txBody>
    </xdr:sp>
    <xdr:clientData/>
  </xdr:twoCellAnchor>
  <xdr:twoCellAnchor>
    <xdr:from>
      <xdr:col>23</xdr:col>
      <xdr:colOff>244760</xdr:colOff>
      <xdr:row>79</xdr:row>
      <xdr:rowOff>53481</xdr:rowOff>
    </xdr:from>
    <xdr:to>
      <xdr:col>24</xdr:col>
      <xdr:colOff>212535</xdr:colOff>
      <xdr:row>80</xdr:row>
      <xdr:rowOff>219807</xdr:rowOff>
    </xdr:to>
    <xdr:sp macro="" textlink="">
      <xdr:nvSpPr>
        <xdr:cNvPr id="85" name="右中かっこ 84">
          <a:extLst>
            <a:ext uri="{FF2B5EF4-FFF2-40B4-BE49-F238E27FC236}">
              <a16:creationId xmlns:a16="http://schemas.microsoft.com/office/drawing/2014/main" id="{87F136E9-88A5-47C1-B615-20033125868C}"/>
            </a:ext>
          </a:extLst>
        </xdr:cNvPr>
        <xdr:cNvSpPr/>
      </xdr:nvSpPr>
      <xdr:spPr>
        <a:xfrm rot="10800000">
          <a:off x="6648491" y="19154769"/>
          <a:ext cx="246198" cy="408115"/>
        </a:xfrm>
        <a:prstGeom prst="rightBrace">
          <a:avLst>
            <a:gd name="adj1" fmla="val 23039"/>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19</xdr:col>
      <xdr:colOff>249117</xdr:colOff>
      <xdr:row>79</xdr:row>
      <xdr:rowOff>73677</xdr:rowOff>
    </xdr:from>
    <xdr:to>
      <xdr:col>23</xdr:col>
      <xdr:colOff>257840</xdr:colOff>
      <xdr:row>80</xdr:row>
      <xdr:rowOff>195122</xdr:rowOff>
    </xdr:to>
    <xdr:sp macro="" textlink="">
      <xdr:nvSpPr>
        <xdr:cNvPr id="86" name="正方形/長方形 85">
          <a:extLst>
            <a:ext uri="{FF2B5EF4-FFF2-40B4-BE49-F238E27FC236}">
              <a16:creationId xmlns:a16="http://schemas.microsoft.com/office/drawing/2014/main" id="{D5D2BD11-BD82-4829-9B42-924D1CED0A05}"/>
            </a:ext>
          </a:extLst>
        </xdr:cNvPr>
        <xdr:cNvSpPr/>
      </xdr:nvSpPr>
      <xdr:spPr>
        <a:xfrm>
          <a:off x="5539155" y="19174965"/>
          <a:ext cx="1122416" cy="36323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521728 KBytes</a:t>
          </a:r>
        </a:p>
      </xdr:txBody>
    </xdr:sp>
    <xdr:clientData/>
  </xdr:twoCellAnchor>
  <xdr:twoCellAnchor>
    <xdr:from>
      <xdr:col>23</xdr:col>
      <xdr:colOff>245981</xdr:colOff>
      <xdr:row>81</xdr:row>
      <xdr:rowOff>34645</xdr:rowOff>
    </xdr:from>
    <xdr:to>
      <xdr:col>24</xdr:col>
      <xdr:colOff>213756</xdr:colOff>
      <xdr:row>84</xdr:row>
      <xdr:rowOff>7822</xdr:rowOff>
    </xdr:to>
    <xdr:sp macro="" textlink="">
      <xdr:nvSpPr>
        <xdr:cNvPr id="87" name="右中かっこ 86">
          <a:extLst>
            <a:ext uri="{FF2B5EF4-FFF2-40B4-BE49-F238E27FC236}">
              <a16:creationId xmlns:a16="http://schemas.microsoft.com/office/drawing/2014/main" id="{8AF60CE9-E9DA-406E-AF08-126FF9D63F82}"/>
            </a:ext>
          </a:extLst>
        </xdr:cNvPr>
        <xdr:cNvSpPr/>
      </xdr:nvSpPr>
      <xdr:spPr>
        <a:xfrm rot="10800000">
          <a:off x="6649712" y="19619510"/>
          <a:ext cx="246198" cy="698543"/>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20</xdr:col>
      <xdr:colOff>168092</xdr:colOff>
      <xdr:row>81</xdr:row>
      <xdr:rowOff>76127</xdr:rowOff>
    </xdr:from>
    <xdr:to>
      <xdr:col>23</xdr:col>
      <xdr:colOff>261910</xdr:colOff>
      <xdr:row>83</xdr:row>
      <xdr:rowOff>188823</xdr:rowOff>
    </xdr:to>
    <xdr:sp macro="" textlink="">
      <xdr:nvSpPr>
        <xdr:cNvPr id="88" name="正方形/長方形 87">
          <a:extLst>
            <a:ext uri="{FF2B5EF4-FFF2-40B4-BE49-F238E27FC236}">
              <a16:creationId xmlns:a16="http://schemas.microsoft.com/office/drawing/2014/main" id="{C366EC28-B967-46DF-B7B4-5AA1061B2C70}"/>
            </a:ext>
          </a:extLst>
        </xdr:cNvPr>
        <xdr:cNvSpPr/>
      </xdr:nvSpPr>
      <xdr:spPr>
        <a:xfrm>
          <a:off x="5736554" y="19660992"/>
          <a:ext cx="929087" cy="59627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256 KBytes</a:t>
          </a:r>
        </a:p>
      </xdr:txBody>
    </xdr:sp>
    <xdr:clientData/>
  </xdr:twoCellAnchor>
  <xdr:twoCellAnchor>
    <xdr:from>
      <xdr:col>23</xdr:col>
      <xdr:colOff>244760</xdr:colOff>
      <xdr:row>84</xdr:row>
      <xdr:rowOff>53481</xdr:rowOff>
    </xdr:from>
    <xdr:to>
      <xdr:col>24</xdr:col>
      <xdr:colOff>212535</xdr:colOff>
      <xdr:row>85</xdr:row>
      <xdr:rowOff>219807</xdr:rowOff>
    </xdr:to>
    <xdr:sp macro="" textlink="">
      <xdr:nvSpPr>
        <xdr:cNvPr id="89" name="右中かっこ 88">
          <a:extLst>
            <a:ext uri="{FF2B5EF4-FFF2-40B4-BE49-F238E27FC236}">
              <a16:creationId xmlns:a16="http://schemas.microsoft.com/office/drawing/2014/main" id="{A5A3FC9E-89BF-419F-B417-BBE2D0CB1D0E}"/>
            </a:ext>
          </a:extLst>
        </xdr:cNvPr>
        <xdr:cNvSpPr/>
      </xdr:nvSpPr>
      <xdr:spPr>
        <a:xfrm rot="10800000">
          <a:off x="6648491" y="19154769"/>
          <a:ext cx="246198" cy="408115"/>
        </a:xfrm>
        <a:prstGeom prst="rightBrace">
          <a:avLst>
            <a:gd name="adj1" fmla="val 23039"/>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19</xdr:col>
      <xdr:colOff>249117</xdr:colOff>
      <xdr:row>84</xdr:row>
      <xdr:rowOff>73677</xdr:rowOff>
    </xdr:from>
    <xdr:to>
      <xdr:col>23</xdr:col>
      <xdr:colOff>257840</xdr:colOff>
      <xdr:row>85</xdr:row>
      <xdr:rowOff>195122</xdr:rowOff>
    </xdr:to>
    <xdr:sp macro="" textlink="">
      <xdr:nvSpPr>
        <xdr:cNvPr id="90" name="正方形/長方形 89">
          <a:extLst>
            <a:ext uri="{FF2B5EF4-FFF2-40B4-BE49-F238E27FC236}">
              <a16:creationId xmlns:a16="http://schemas.microsoft.com/office/drawing/2014/main" id="{8C3EE2B8-1836-4518-8A6B-E890B7E8E214}"/>
            </a:ext>
          </a:extLst>
        </xdr:cNvPr>
        <xdr:cNvSpPr/>
      </xdr:nvSpPr>
      <xdr:spPr>
        <a:xfrm>
          <a:off x="5539155" y="19174965"/>
          <a:ext cx="1122416" cy="36323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524032 KBytes</a:t>
          </a:r>
        </a:p>
      </xdr:txBody>
    </xdr:sp>
    <xdr:clientData/>
  </xdr:twoCellAnchor>
  <xdr:twoCellAnchor>
    <xdr:from>
      <xdr:col>23</xdr:col>
      <xdr:colOff>244515</xdr:colOff>
      <xdr:row>86</xdr:row>
      <xdr:rowOff>25852</xdr:rowOff>
    </xdr:from>
    <xdr:to>
      <xdr:col>24</xdr:col>
      <xdr:colOff>212290</xdr:colOff>
      <xdr:row>88</xdr:row>
      <xdr:rowOff>240818</xdr:rowOff>
    </xdr:to>
    <xdr:sp macro="" textlink="">
      <xdr:nvSpPr>
        <xdr:cNvPr id="91" name="右中かっこ 90">
          <a:extLst>
            <a:ext uri="{FF2B5EF4-FFF2-40B4-BE49-F238E27FC236}">
              <a16:creationId xmlns:a16="http://schemas.microsoft.com/office/drawing/2014/main" id="{8FD06CD1-75BF-4904-8B6D-1B49452992AB}"/>
            </a:ext>
          </a:extLst>
        </xdr:cNvPr>
        <xdr:cNvSpPr/>
      </xdr:nvSpPr>
      <xdr:spPr>
        <a:xfrm rot="10800000">
          <a:off x="6648246" y="20819660"/>
          <a:ext cx="246198" cy="698543"/>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20</xdr:col>
      <xdr:colOff>166626</xdr:colOff>
      <xdr:row>86</xdr:row>
      <xdr:rowOff>67334</xdr:rowOff>
    </xdr:from>
    <xdr:to>
      <xdr:col>23</xdr:col>
      <xdr:colOff>260444</xdr:colOff>
      <xdr:row>88</xdr:row>
      <xdr:rowOff>180030</xdr:rowOff>
    </xdr:to>
    <xdr:sp macro="" textlink="">
      <xdr:nvSpPr>
        <xdr:cNvPr id="92" name="正方形/長方形 91">
          <a:extLst>
            <a:ext uri="{FF2B5EF4-FFF2-40B4-BE49-F238E27FC236}">
              <a16:creationId xmlns:a16="http://schemas.microsoft.com/office/drawing/2014/main" id="{B49D49AC-FF82-43F5-8245-B48C2B8187BE}"/>
            </a:ext>
          </a:extLst>
        </xdr:cNvPr>
        <xdr:cNvSpPr/>
      </xdr:nvSpPr>
      <xdr:spPr>
        <a:xfrm>
          <a:off x="5735088" y="20861142"/>
          <a:ext cx="929087" cy="59627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256 KBytes</a:t>
          </a:r>
        </a:p>
      </xdr:txBody>
    </xdr:sp>
    <xdr:clientData/>
  </xdr:twoCellAnchor>
  <xdr:twoCellAnchor>
    <xdr:from>
      <xdr:col>27</xdr:col>
      <xdr:colOff>228152</xdr:colOff>
      <xdr:row>89</xdr:row>
      <xdr:rowOff>95223</xdr:rowOff>
    </xdr:from>
    <xdr:to>
      <xdr:col>32</xdr:col>
      <xdr:colOff>257529</xdr:colOff>
      <xdr:row>90</xdr:row>
      <xdr:rowOff>153656</xdr:rowOff>
    </xdr:to>
    <xdr:sp macro="" textlink="">
      <xdr:nvSpPr>
        <xdr:cNvPr id="93" name="正方形/長方形 92">
          <a:extLst>
            <a:ext uri="{FF2B5EF4-FFF2-40B4-BE49-F238E27FC236}">
              <a16:creationId xmlns:a16="http://schemas.microsoft.com/office/drawing/2014/main" id="{8D2F6905-A882-4FF1-BE58-F76458CF7085}"/>
            </a:ext>
          </a:extLst>
        </xdr:cNvPr>
        <xdr:cNvSpPr/>
      </xdr:nvSpPr>
      <xdr:spPr>
        <a:xfrm>
          <a:off x="7686227" y="21288348"/>
          <a:ext cx="1410502" cy="29655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b="1">
              <a:solidFill>
                <a:schemeClr val="tx1"/>
              </a:solidFill>
            </a:rPr>
            <a:t>デザイン </a:t>
          </a:r>
          <a:r>
            <a:rPr kumimoji="1" lang="en-US" altLang="ja-JP" sz="1100" b="1">
              <a:solidFill>
                <a:schemeClr val="tx1"/>
              </a:solidFill>
            </a:rPr>
            <a:t>4</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4</xdr:col>
      <xdr:colOff>40822</xdr:colOff>
      <xdr:row>3</xdr:row>
      <xdr:rowOff>54428</xdr:rowOff>
    </xdr:from>
    <xdr:to>
      <xdr:col>44</xdr:col>
      <xdr:colOff>244931</xdr:colOff>
      <xdr:row>4</xdr:row>
      <xdr:rowOff>81643</xdr:rowOff>
    </xdr:to>
    <xdr:sp macro="" textlink="">
      <xdr:nvSpPr>
        <xdr:cNvPr id="2" name="右中かっこ 1">
          <a:extLst>
            <a:ext uri="{FF2B5EF4-FFF2-40B4-BE49-F238E27FC236}">
              <a16:creationId xmlns:a16="http://schemas.microsoft.com/office/drawing/2014/main" id="{C0CC0A93-998B-4D5E-80B7-E6C21ED267C0}"/>
            </a:ext>
          </a:extLst>
        </xdr:cNvPr>
        <xdr:cNvSpPr/>
      </xdr:nvSpPr>
      <xdr:spPr>
        <a:xfrm rot="16200000">
          <a:off x="6087157" y="-324532"/>
          <a:ext cx="265340" cy="9595759"/>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21</xdr:col>
      <xdr:colOff>50347</xdr:colOff>
      <xdr:row>1</xdr:row>
      <xdr:rowOff>212271</xdr:rowOff>
    </xdr:from>
    <xdr:to>
      <xdr:col>26</xdr:col>
      <xdr:colOff>257175</xdr:colOff>
      <xdr:row>3</xdr:row>
      <xdr:rowOff>35379</xdr:rowOff>
    </xdr:to>
    <xdr:sp macro="" textlink="">
      <xdr:nvSpPr>
        <xdr:cNvPr id="3" name="正方形/長方形 2">
          <a:extLst>
            <a:ext uri="{FF2B5EF4-FFF2-40B4-BE49-F238E27FC236}">
              <a16:creationId xmlns:a16="http://schemas.microsoft.com/office/drawing/2014/main" id="{B75A92DA-B4FA-40E6-AEA3-6EE778BF3354}"/>
            </a:ext>
          </a:extLst>
        </xdr:cNvPr>
        <xdr:cNvSpPr/>
      </xdr:nvSpPr>
      <xdr:spPr>
        <a:xfrm>
          <a:off x="5574847" y="4022271"/>
          <a:ext cx="1311728" cy="29935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a:t>
          </a:r>
          <a:r>
            <a:rPr kumimoji="1" lang="ja-JP" altLang="en-US" sz="1100">
              <a:solidFill>
                <a:schemeClr val="tx1"/>
              </a:solidFill>
            </a:rPr>
            <a:t>ワード </a:t>
          </a:r>
          <a:r>
            <a:rPr kumimoji="1" lang="en-US" altLang="ja-JP" sz="1100">
              <a:solidFill>
                <a:schemeClr val="tx1"/>
              </a:solidFill>
            </a:rPr>
            <a:t>= 512</a:t>
          </a:r>
          <a:r>
            <a:rPr kumimoji="1" lang="ja-JP" altLang="en-US" sz="1100" baseline="0">
              <a:solidFill>
                <a:schemeClr val="tx1"/>
              </a:solidFill>
            </a:rPr>
            <a:t> </a:t>
          </a:r>
          <a:r>
            <a:rPr kumimoji="1" lang="en-US" altLang="ja-JP" sz="1100">
              <a:solidFill>
                <a:schemeClr val="tx1"/>
              </a:solidFill>
            </a:rPr>
            <a:t>bits</a:t>
          </a:r>
          <a:endParaRPr kumimoji="1" lang="ja-JP" altLang="en-US" sz="1100">
            <a:solidFill>
              <a:schemeClr val="tx1"/>
            </a:solidFill>
          </a:endParaRPr>
        </a:p>
      </xdr:txBody>
    </xdr:sp>
    <xdr:clientData/>
  </xdr:twoCellAnchor>
  <xdr:twoCellAnchor>
    <xdr:from>
      <xdr:col>20</xdr:col>
      <xdr:colOff>16565</xdr:colOff>
      <xdr:row>10</xdr:row>
      <xdr:rowOff>6569</xdr:rowOff>
    </xdr:from>
    <xdr:to>
      <xdr:col>21</xdr:col>
      <xdr:colOff>0</xdr:colOff>
      <xdr:row>10</xdr:row>
      <xdr:rowOff>173935</xdr:rowOff>
    </xdr:to>
    <xdr:cxnSp macro="">
      <xdr:nvCxnSpPr>
        <xdr:cNvPr id="4" name="直線コネクタ 3">
          <a:extLst>
            <a:ext uri="{FF2B5EF4-FFF2-40B4-BE49-F238E27FC236}">
              <a16:creationId xmlns:a16="http://schemas.microsoft.com/office/drawing/2014/main" id="{BB6E27C7-943E-4CE9-A8D5-7BEF87C2C1BC}"/>
            </a:ext>
          </a:extLst>
        </xdr:cNvPr>
        <xdr:cNvCxnSpPr/>
      </xdr:nvCxnSpPr>
      <xdr:spPr>
        <a:xfrm flipH="1">
          <a:off x="5264840" y="5959694"/>
          <a:ext cx="259660" cy="167366"/>
        </a:xfrm>
        <a:prstGeom prst="line">
          <a:avLst/>
        </a:prstGeom>
        <a:ln>
          <a:solidFill>
            <a:schemeClr val="tx1"/>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27</xdr:col>
      <xdr:colOff>0</xdr:colOff>
      <xdr:row>10</xdr:row>
      <xdr:rowOff>8282</xdr:rowOff>
    </xdr:from>
    <xdr:to>
      <xdr:col>28</xdr:col>
      <xdr:colOff>0</xdr:colOff>
      <xdr:row>10</xdr:row>
      <xdr:rowOff>157369</xdr:rowOff>
    </xdr:to>
    <xdr:cxnSp macro="">
      <xdr:nvCxnSpPr>
        <xdr:cNvPr id="5" name="直線コネクタ 4">
          <a:extLst>
            <a:ext uri="{FF2B5EF4-FFF2-40B4-BE49-F238E27FC236}">
              <a16:creationId xmlns:a16="http://schemas.microsoft.com/office/drawing/2014/main" id="{483CD0C4-F953-44B7-A2E6-69040231206B}"/>
            </a:ext>
          </a:extLst>
        </xdr:cNvPr>
        <xdr:cNvCxnSpPr/>
      </xdr:nvCxnSpPr>
      <xdr:spPr>
        <a:xfrm>
          <a:off x="6905625" y="5961407"/>
          <a:ext cx="276225" cy="149087"/>
        </a:xfrm>
        <a:prstGeom prst="line">
          <a:avLst/>
        </a:prstGeom>
        <a:ln>
          <a:solidFill>
            <a:schemeClr val="tx1"/>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40822</xdr:colOff>
      <xdr:row>19</xdr:row>
      <xdr:rowOff>54428</xdr:rowOff>
    </xdr:from>
    <xdr:to>
      <xdr:col>44</xdr:col>
      <xdr:colOff>244931</xdr:colOff>
      <xdr:row>20</xdr:row>
      <xdr:rowOff>81643</xdr:rowOff>
    </xdr:to>
    <xdr:sp macro="" textlink="">
      <xdr:nvSpPr>
        <xdr:cNvPr id="10" name="右中かっこ 9">
          <a:extLst>
            <a:ext uri="{FF2B5EF4-FFF2-40B4-BE49-F238E27FC236}">
              <a16:creationId xmlns:a16="http://schemas.microsoft.com/office/drawing/2014/main" id="{E0259EC5-F4CF-41B2-8EB9-32119D5155B3}"/>
            </a:ext>
          </a:extLst>
        </xdr:cNvPr>
        <xdr:cNvSpPr/>
      </xdr:nvSpPr>
      <xdr:spPr>
        <a:xfrm rot="16200000">
          <a:off x="6538233" y="-3884841"/>
          <a:ext cx="272144" cy="11089824"/>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21</xdr:col>
      <xdr:colOff>50347</xdr:colOff>
      <xdr:row>17</xdr:row>
      <xdr:rowOff>212271</xdr:rowOff>
    </xdr:from>
    <xdr:to>
      <xdr:col>26</xdr:col>
      <xdr:colOff>257175</xdr:colOff>
      <xdr:row>19</xdr:row>
      <xdr:rowOff>35379</xdr:rowOff>
    </xdr:to>
    <xdr:sp macro="" textlink="">
      <xdr:nvSpPr>
        <xdr:cNvPr id="11" name="正方形/長方形 10">
          <a:extLst>
            <a:ext uri="{FF2B5EF4-FFF2-40B4-BE49-F238E27FC236}">
              <a16:creationId xmlns:a16="http://schemas.microsoft.com/office/drawing/2014/main" id="{3D1F2000-7DBA-41DF-A77F-751D8FC2CD0D}"/>
            </a:ext>
          </a:extLst>
        </xdr:cNvPr>
        <xdr:cNvSpPr/>
      </xdr:nvSpPr>
      <xdr:spPr>
        <a:xfrm>
          <a:off x="5765347" y="1191985"/>
          <a:ext cx="1567542" cy="31296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a:t>
          </a:r>
          <a:r>
            <a:rPr kumimoji="1" lang="ja-JP" altLang="en-US" sz="1100">
              <a:solidFill>
                <a:schemeClr val="tx1"/>
              </a:solidFill>
            </a:rPr>
            <a:t>ワード </a:t>
          </a:r>
          <a:r>
            <a:rPr kumimoji="1" lang="en-US" altLang="ja-JP" sz="1100">
              <a:solidFill>
                <a:schemeClr val="tx1"/>
              </a:solidFill>
            </a:rPr>
            <a:t>= 512</a:t>
          </a:r>
          <a:r>
            <a:rPr kumimoji="1" lang="ja-JP" altLang="en-US" sz="1100" baseline="0">
              <a:solidFill>
                <a:schemeClr val="tx1"/>
              </a:solidFill>
            </a:rPr>
            <a:t> </a:t>
          </a:r>
          <a:r>
            <a:rPr kumimoji="1" lang="en-US" altLang="ja-JP" sz="1100">
              <a:solidFill>
                <a:schemeClr val="tx1"/>
              </a:solidFill>
            </a:rPr>
            <a:t>bits</a:t>
          </a:r>
          <a:endParaRPr kumimoji="1" lang="ja-JP" altLang="en-US" sz="1100">
            <a:solidFill>
              <a:schemeClr val="tx1"/>
            </a:solidFill>
          </a:endParaRPr>
        </a:p>
      </xdr:txBody>
    </xdr:sp>
    <xdr:clientData/>
  </xdr:twoCellAnchor>
  <xdr:twoCellAnchor>
    <xdr:from>
      <xdr:col>20</xdr:col>
      <xdr:colOff>16565</xdr:colOff>
      <xdr:row>26</xdr:row>
      <xdr:rowOff>6569</xdr:rowOff>
    </xdr:from>
    <xdr:to>
      <xdr:col>21</xdr:col>
      <xdr:colOff>0</xdr:colOff>
      <xdr:row>26</xdr:row>
      <xdr:rowOff>173935</xdr:rowOff>
    </xdr:to>
    <xdr:cxnSp macro="">
      <xdr:nvCxnSpPr>
        <xdr:cNvPr id="12" name="直線コネクタ 11">
          <a:extLst>
            <a:ext uri="{FF2B5EF4-FFF2-40B4-BE49-F238E27FC236}">
              <a16:creationId xmlns:a16="http://schemas.microsoft.com/office/drawing/2014/main" id="{8925FA63-3590-4FE7-85CF-26BC07A81717}"/>
            </a:ext>
          </a:extLst>
        </xdr:cNvPr>
        <xdr:cNvCxnSpPr/>
      </xdr:nvCxnSpPr>
      <xdr:spPr>
        <a:xfrm flipH="1">
          <a:off x="5459422" y="3190640"/>
          <a:ext cx="255578" cy="167366"/>
        </a:xfrm>
        <a:prstGeom prst="line">
          <a:avLst/>
        </a:prstGeom>
        <a:ln>
          <a:solidFill>
            <a:schemeClr val="tx1"/>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27</xdr:col>
      <xdr:colOff>0</xdr:colOff>
      <xdr:row>26</xdr:row>
      <xdr:rowOff>8282</xdr:rowOff>
    </xdr:from>
    <xdr:to>
      <xdr:col>28</xdr:col>
      <xdr:colOff>0</xdr:colOff>
      <xdr:row>26</xdr:row>
      <xdr:rowOff>157369</xdr:rowOff>
    </xdr:to>
    <xdr:cxnSp macro="">
      <xdr:nvCxnSpPr>
        <xdr:cNvPr id="13" name="直線コネクタ 12">
          <a:extLst>
            <a:ext uri="{FF2B5EF4-FFF2-40B4-BE49-F238E27FC236}">
              <a16:creationId xmlns:a16="http://schemas.microsoft.com/office/drawing/2014/main" id="{C3C859E7-8D24-4087-B3C2-12CDE7F43D14}"/>
            </a:ext>
          </a:extLst>
        </xdr:cNvPr>
        <xdr:cNvCxnSpPr/>
      </xdr:nvCxnSpPr>
      <xdr:spPr>
        <a:xfrm>
          <a:off x="7347857" y="3192353"/>
          <a:ext cx="272143" cy="149087"/>
        </a:xfrm>
        <a:prstGeom prst="line">
          <a:avLst/>
        </a:prstGeom>
        <a:ln>
          <a:solidFill>
            <a:schemeClr val="tx1"/>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40822</xdr:colOff>
      <xdr:row>37</xdr:row>
      <xdr:rowOff>54428</xdr:rowOff>
    </xdr:from>
    <xdr:to>
      <xdr:col>38</xdr:col>
      <xdr:colOff>244931</xdr:colOff>
      <xdr:row>38</xdr:row>
      <xdr:rowOff>81643</xdr:rowOff>
    </xdr:to>
    <xdr:sp macro="" textlink="">
      <xdr:nvSpPr>
        <xdr:cNvPr id="31" name="右中かっこ 30">
          <a:extLst>
            <a:ext uri="{FF2B5EF4-FFF2-40B4-BE49-F238E27FC236}">
              <a16:creationId xmlns:a16="http://schemas.microsoft.com/office/drawing/2014/main" id="{3B9999E2-325A-4CC0-A6C1-593495B7EBEE}"/>
            </a:ext>
          </a:extLst>
        </xdr:cNvPr>
        <xdr:cNvSpPr/>
      </xdr:nvSpPr>
      <xdr:spPr>
        <a:xfrm rot="16200000">
          <a:off x="6087157" y="-324532"/>
          <a:ext cx="265340" cy="9595759"/>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19</xdr:col>
      <xdr:colOff>50347</xdr:colOff>
      <xdr:row>35</xdr:row>
      <xdr:rowOff>212271</xdr:rowOff>
    </xdr:from>
    <xdr:to>
      <xdr:col>23</xdr:col>
      <xdr:colOff>257175</xdr:colOff>
      <xdr:row>37</xdr:row>
      <xdr:rowOff>35379</xdr:rowOff>
    </xdr:to>
    <xdr:sp macro="" textlink="">
      <xdr:nvSpPr>
        <xdr:cNvPr id="32" name="正方形/長方形 31">
          <a:extLst>
            <a:ext uri="{FF2B5EF4-FFF2-40B4-BE49-F238E27FC236}">
              <a16:creationId xmlns:a16="http://schemas.microsoft.com/office/drawing/2014/main" id="{1CDB87B2-0D83-4C98-B862-447090FCADDE}"/>
            </a:ext>
          </a:extLst>
        </xdr:cNvPr>
        <xdr:cNvSpPr/>
      </xdr:nvSpPr>
      <xdr:spPr>
        <a:xfrm>
          <a:off x="5574847" y="4022271"/>
          <a:ext cx="1311728" cy="29935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a:t>
          </a:r>
          <a:r>
            <a:rPr kumimoji="1" lang="ja-JP" altLang="en-US" sz="1100">
              <a:solidFill>
                <a:schemeClr val="tx1"/>
              </a:solidFill>
            </a:rPr>
            <a:t>ワード </a:t>
          </a:r>
          <a:r>
            <a:rPr kumimoji="1" lang="en-US" altLang="ja-JP" sz="1100">
              <a:solidFill>
                <a:schemeClr val="tx1"/>
              </a:solidFill>
            </a:rPr>
            <a:t>= 512</a:t>
          </a:r>
          <a:r>
            <a:rPr kumimoji="1" lang="ja-JP" altLang="en-US" sz="1100" baseline="0">
              <a:solidFill>
                <a:schemeClr val="tx1"/>
              </a:solidFill>
            </a:rPr>
            <a:t> </a:t>
          </a:r>
          <a:r>
            <a:rPr kumimoji="1" lang="en-US" altLang="ja-JP" sz="1100">
              <a:solidFill>
                <a:schemeClr val="tx1"/>
              </a:solidFill>
            </a:rPr>
            <a:t>bits</a:t>
          </a:r>
          <a:endParaRPr kumimoji="1" lang="ja-JP" altLang="en-US" sz="1100">
            <a:solidFill>
              <a:schemeClr val="tx1"/>
            </a:solidFill>
          </a:endParaRPr>
        </a:p>
      </xdr:txBody>
    </xdr:sp>
    <xdr:clientData/>
  </xdr:twoCellAnchor>
  <xdr:twoCellAnchor>
    <xdr:from>
      <xdr:col>18</xdr:col>
      <xdr:colOff>16565</xdr:colOff>
      <xdr:row>44</xdr:row>
      <xdr:rowOff>6569</xdr:rowOff>
    </xdr:from>
    <xdr:to>
      <xdr:col>19</xdr:col>
      <xdr:colOff>0</xdr:colOff>
      <xdr:row>44</xdr:row>
      <xdr:rowOff>173935</xdr:rowOff>
    </xdr:to>
    <xdr:cxnSp macro="">
      <xdr:nvCxnSpPr>
        <xdr:cNvPr id="33" name="直線コネクタ 32">
          <a:extLst>
            <a:ext uri="{FF2B5EF4-FFF2-40B4-BE49-F238E27FC236}">
              <a16:creationId xmlns:a16="http://schemas.microsoft.com/office/drawing/2014/main" id="{6DE34B96-770C-43E8-B20D-E4403F64BA10}"/>
            </a:ext>
          </a:extLst>
        </xdr:cNvPr>
        <xdr:cNvCxnSpPr/>
      </xdr:nvCxnSpPr>
      <xdr:spPr>
        <a:xfrm flipH="1">
          <a:off x="5264840" y="5959694"/>
          <a:ext cx="259660" cy="167366"/>
        </a:xfrm>
        <a:prstGeom prst="line">
          <a:avLst/>
        </a:prstGeom>
        <a:ln>
          <a:solidFill>
            <a:schemeClr val="tx1"/>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24</xdr:col>
      <xdr:colOff>0</xdr:colOff>
      <xdr:row>44</xdr:row>
      <xdr:rowOff>8282</xdr:rowOff>
    </xdr:from>
    <xdr:to>
      <xdr:col>25</xdr:col>
      <xdr:colOff>0</xdr:colOff>
      <xdr:row>44</xdr:row>
      <xdr:rowOff>157369</xdr:rowOff>
    </xdr:to>
    <xdr:cxnSp macro="">
      <xdr:nvCxnSpPr>
        <xdr:cNvPr id="34" name="直線コネクタ 33">
          <a:extLst>
            <a:ext uri="{FF2B5EF4-FFF2-40B4-BE49-F238E27FC236}">
              <a16:creationId xmlns:a16="http://schemas.microsoft.com/office/drawing/2014/main" id="{E095A86F-B9EE-4376-955D-2055DF7D0373}"/>
            </a:ext>
          </a:extLst>
        </xdr:cNvPr>
        <xdr:cNvCxnSpPr/>
      </xdr:nvCxnSpPr>
      <xdr:spPr>
        <a:xfrm>
          <a:off x="6905625" y="5961407"/>
          <a:ext cx="276225" cy="149087"/>
        </a:xfrm>
        <a:prstGeom prst="line">
          <a:avLst/>
        </a:prstGeom>
        <a:ln>
          <a:solidFill>
            <a:schemeClr val="tx1"/>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40822</xdr:colOff>
      <xdr:row>51</xdr:row>
      <xdr:rowOff>54428</xdr:rowOff>
    </xdr:from>
    <xdr:to>
      <xdr:col>38</xdr:col>
      <xdr:colOff>244931</xdr:colOff>
      <xdr:row>52</xdr:row>
      <xdr:rowOff>81643</xdr:rowOff>
    </xdr:to>
    <xdr:sp macro="" textlink="">
      <xdr:nvSpPr>
        <xdr:cNvPr id="36" name="右中かっこ 35">
          <a:extLst>
            <a:ext uri="{FF2B5EF4-FFF2-40B4-BE49-F238E27FC236}">
              <a16:creationId xmlns:a16="http://schemas.microsoft.com/office/drawing/2014/main" id="{AA331F91-C382-49AA-8A7F-7B86333C14C4}"/>
            </a:ext>
          </a:extLst>
        </xdr:cNvPr>
        <xdr:cNvSpPr/>
      </xdr:nvSpPr>
      <xdr:spPr>
        <a:xfrm rot="16200000">
          <a:off x="5721805" y="6973659"/>
          <a:ext cx="272143" cy="9456967"/>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19</xdr:col>
      <xdr:colOff>50347</xdr:colOff>
      <xdr:row>49</xdr:row>
      <xdr:rowOff>212271</xdr:rowOff>
    </xdr:from>
    <xdr:to>
      <xdr:col>23</xdr:col>
      <xdr:colOff>257175</xdr:colOff>
      <xdr:row>51</xdr:row>
      <xdr:rowOff>35379</xdr:rowOff>
    </xdr:to>
    <xdr:sp macro="" textlink="">
      <xdr:nvSpPr>
        <xdr:cNvPr id="37" name="正方形/長方形 36">
          <a:extLst>
            <a:ext uri="{FF2B5EF4-FFF2-40B4-BE49-F238E27FC236}">
              <a16:creationId xmlns:a16="http://schemas.microsoft.com/office/drawing/2014/main" id="{4FE4FF28-B74A-4A20-A1F3-9DD33A71D47F}"/>
            </a:ext>
          </a:extLst>
        </xdr:cNvPr>
        <xdr:cNvSpPr/>
      </xdr:nvSpPr>
      <xdr:spPr>
        <a:xfrm>
          <a:off x="5221061" y="11234057"/>
          <a:ext cx="1295400" cy="31296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a:t>
          </a:r>
          <a:r>
            <a:rPr kumimoji="1" lang="ja-JP" altLang="en-US" sz="1100">
              <a:solidFill>
                <a:schemeClr val="tx1"/>
              </a:solidFill>
            </a:rPr>
            <a:t>ワード </a:t>
          </a:r>
          <a:r>
            <a:rPr kumimoji="1" lang="en-US" altLang="ja-JP" sz="1100">
              <a:solidFill>
                <a:schemeClr val="tx1"/>
              </a:solidFill>
            </a:rPr>
            <a:t>= 512</a:t>
          </a:r>
          <a:r>
            <a:rPr kumimoji="1" lang="ja-JP" altLang="en-US" sz="1100" baseline="0">
              <a:solidFill>
                <a:schemeClr val="tx1"/>
              </a:solidFill>
            </a:rPr>
            <a:t> </a:t>
          </a:r>
          <a:r>
            <a:rPr kumimoji="1" lang="en-US" altLang="ja-JP" sz="1100">
              <a:solidFill>
                <a:schemeClr val="tx1"/>
              </a:solidFill>
            </a:rPr>
            <a:t>bits</a:t>
          </a:r>
          <a:endParaRPr kumimoji="1" lang="ja-JP" altLang="en-US" sz="1100">
            <a:solidFill>
              <a:schemeClr val="tx1"/>
            </a:solidFill>
          </a:endParaRPr>
        </a:p>
      </xdr:txBody>
    </xdr:sp>
    <xdr:clientData/>
  </xdr:twoCellAnchor>
  <xdr:twoCellAnchor>
    <xdr:from>
      <xdr:col>18</xdr:col>
      <xdr:colOff>16565</xdr:colOff>
      <xdr:row>58</xdr:row>
      <xdr:rowOff>6569</xdr:rowOff>
    </xdr:from>
    <xdr:to>
      <xdr:col>19</xdr:col>
      <xdr:colOff>0</xdr:colOff>
      <xdr:row>58</xdr:row>
      <xdr:rowOff>173935</xdr:rowOff>
    </xdr:to>
    <xdr:cxnSp macro="">
      <xdr:nvCxnSpPr>
        <xdr:cNvPr id="38" name="直線コネクタ 37">
          <a:extLst>
            <a:ext uri="{FF2B5EF4-FFF2-40B4-BE49-F238E27FC236}">
              <a16:creationId xmlns:a16="http://schemas.microsoft.com/office/drawing/2014/main" id="{E3BF0E43-D189-4898-AE6E-132CD728FE87}"/>
            </a:ext>
          </a:extLst>
        </xdr:cNvPr>
        <xdr:cNvCxnSpPr/>
      </xdr:nvCxnSpPr>
      <xdr:spPr>
        <a:xfrm flipH="1">
          <a:off x="4915136" y="13232712"/>
          <a:ext cx="255578" cy="167366"/>
        </a:xfrm>
        <a:prstGeom prst="line">
          <a:avLst/>
        </a:prstGeom>
        <a:ln>
          <a:solidFill>
            <a:schemeClr val="tx1"/>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24</xdr:col>
      <xdr:colOff>0</xdr:colOff>
      <xdr:row>58</xdr:row>
      <xdr:rowOff>8282</xdr:rowOff>
    </xdr:from>
    <xdr:to>
      <xdr:col>25</xdr:col>
      <xdr:colOff>0</xdr:colOff>
      <xdr:row>58</xdr:row>
      <xdr:rowOff>157369</xdr:rowOff>
    </xdr:to>
    <xdr:cxnSp macro="">
      <xdr:nvCxnSpPr>
        <xdr:cNvPr id="39" name="直線コネクタ 38">
          <a:extLst>
            <a:ext uri="{FF2B5EF4-FFF2-40B4-BE49-F238E27FC236}">
              <a16:creationId xmlns:a16="http://schemas.microsoft.com/office/drawing/2014/main" id="{08306F38-BC15-40E1-9CD0-C4FA63EACAEA}"/>
            </a:ext>
          </a:extLst>
        </xdr:cNvPr>
        <xdr:cNvCxnSpPr/>
      </xdr:nvCxnSpPr>
      <xdr:spPr>
        <a:xfrm>
          <a:off x="6531429" y="13234425"/>
          <a:ext cx="272142" cy="149087"/>
        </a:xfrm>
        <a:prstGeom prst="line">
          <a:avLst/>
        </a:prstGeom>
        <a:ln>
          <a:solidFill>
            <a:schemeClr val="tx1"/>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40822</xdr:colOff>
      <xdr:row>68</xdr:row>
      <xdr:rowOff>54428</xdr:rowOff>
    </xdr:from>
    <xdr:to>
      <xdr:col>42</xdr:col>
      <xdr:colOff>244931</xdr:colOff>
      <xdr:row>69</xdr:row>
      <xdr:rowOff>81643</xdr:rowOff>
    </xdr:to>
    <xdr:sp macro="" textlink="">
      <xdr:nvSpPr>
        <xdr:cNvPr id="46" name="右中かっこ 45">
          <a:extLst>
            <a:ext uri="{FF2B5EF4-FFF2-40B4-BE49-F238E27FC236}">
              <a16:creationId xmlns:a16="http://schemas.microsoft.com/office/drawing/2014/main" id="{35A8A181-F928-4D1E-8801-DA52929F6CD4}"/>
            </a:ext>
          </a:extLst>
        </xdr:cNvPr>
        <xdr:cNvSpPr/>
      </xdr:nvSpPr>
      <xdr:spPr>
        <a:xfrm rot="16200000">
          <a:off x="22050376" y="5694588"/>
          <a:ext cx="272144" cy="10545538"/>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20</xdr:col>
      <xdr:colOff>172811</xdr:colOff>
      <xdr:row>66</xdr:row>
      <xdr:rowOff>185057</xdr:rowOff>
    </xdr:from>
    <xdr:to>
      <xdr:col>26</xdr:col>
      <xdr:colOff>107496</xdr:colOff>
      <xdr:row>68</xdr:row>
      <xdr:rowOff>8165</xdr:rowOff>
    </xdr:to>
    <xdr:sp macro="" textlink="">
      <xdr:nvSpPr>
        <xdr:cNvPr id="47" name="正方形/長方形 46">
          <a:extLst>
            <a:ext uri="{FF2B5EF4-FFF2-40B4-BE49-F238E27FC236}">
              <a16:creationId xmlns:a16="http://schemas.microsoft.com/office/drawing/2014/main" id="{DF718BD0-337B-487E-AF60-7BBE3794DB56}"/>
            </a:ext>
          </a:extLst>
        </xdr:cNvPr>
        <xdr:cNvSpPr/>
      </xdr:nvSpPr>
      <xdr:spPr>
        <a:xfrm>
          <a:off x="21399954" y="10472057"/>
          <a:ext cx="1567542" cy="31296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a:t>
          </a:r>
          <a:r>
            <a:rPr kumimoji="1" lang="ja-JP" altLang="en-US" sz="1100">
              <a:solidFill>
                <a:schemeClr val="tx1"/>
              </a:solidFill>
            </a:rPr>
            <a:t>ワード </a:t>
          </a:r>
          <a:r>
            <a:rPr kumimoji="1" lang="en-US" altLang="ja-JP" sz="1100">
              <a:solidFill>
                <a:schemeClr val="tx1"/>
              </a:solidFill>
            </a:rPr>
            <a:t>= 512</a:t>
          </a:r>
          <a:r>
            <a:rPr kumimoji="1" lang="ja-JP" altLang="en-US" sz="1100" baseline="0">
              <a:solidFill>
                <a:schemeClr val="tx1"/>
              </a:solidFill>
            </a:rPr>
            <a:t> </a:t>
          </a:r>
          <a:r>
            <a:rPr kumimoji="1" lang="en-US" altLang="ja-JP" sz="1100">
              <a:solidFill>
                <a:schemeClr val="tx1"/>
              </a:solidFill>
            </a:rPr>
            <a:t>bits</a:t>
          </a:r>
          <a:endParaRPr kumimoji="1" lang="ja-JP" altLang="en-US" sz="1100">
            <a:solidFill>
              <a:schemeClr val="tx1"/>
            </a:solidFill>
          </a:endParaRPr>
        </a:p>
      </xdr:txBody>
    </xdr:sp>
    <xdr:clientData/>
  </xdr:twoCellAnchor>
  <xdr:twoCellAnchor>
    <xdr:from>
      <xdr:col>4</xdr:col>
      <xdr:colOff>40822</xdr:colOff>
      <xdr:row>79</xdr:row>
      <xdr:rowOff>54428</xdr:rowOff>
    </xdr:from>
    <xdr:to>
      <xdr:col>38</xdr:col>
      <xdr:colOff>244931</xdr:colOff>
      <xdr:row>80</xdr:row>
      <xdr:rowOff>81643</xdr:rowOff>
    </xdr:to>
    <xdr:sp macro="" textlink="">
      <xdr:nvSpPr>
        <xdr:cNvPr id="52" name="右中かっこ 51">
          <a:extLst>
            <a:ext uri="{FF2B5EF4-FFF2-40B4-BE49-F238E27FC236}">
              <a16:creationId xmlns:a16="http://schemas.microsoft.com/office/drawing/2014/main" id="{ED78E9D2-C729-4068-A2E9-A18CCCC8C8F5}"/>
            </a:ext>
          </a:extLst>
        </xdr:cNvPr>
        <xdr:cNvSpPr/>
      </xdr:nvSpPr>
      <xdr:spPr>
        <a:xfrm rot="16200000">
          <a:off x="21233947" y="2809874"/>
          <a:ext cx="272144" cy="9456966"/>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18</xdr:col>
      <xdr:colOff>186419</xdr:colOff>
      <xdr:row>77</xdr:row>
      <xdr:rowOff>225876</xdr:rowOff>
    </xdr:from>
    <xdr:to>
      <xdr:col>24</xdr:col>
      <xdr:colOff>121104</xdr:colOff>
      <xdr:row>79</xdr:row>
      <xdr:rowOff>48984</xdr:rowOff>
    </xdr:to>
    <xdr:sp macro="" textlink="">
      <xdr:nvSpPr>
        <xdr:cNvPr id="53" name="正方形/長方形 52">
          <a:extLst>
            <a:ext uri="{FF2B5EF4-FFF2-40B4-BE49-F238E27FC236}">
              <a16:creationId xmlns:a16="http://schemas.microsoft.com/office/drawing/2014/main" id="{576BA405-734A-401A-92CC-74E9786E048E}"/>
            </a:ext>
          </a:extLst>
        </xdr:cNvPr>
        <xdr:cNvSpPr/>
      </xdr:nvSpPr>
      <xdr:spPr>
        <a:xfrm>
          <a:off x="20597133" y="7083876"/>
          <a:ext cx="1567542" cy="31296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a:t>
          </a:r>
          <a:r>
            <a:rPr kumimoji="1" lang="ja-JP" altLang="en-US" sz="1100">
              <a:solidFill>
                <a:schemeClr val="tx1"/>
              </a:solidFill>
            </a:rPr>
            <a:t>ワード </a:t>
          </a:r>
          <a:r>
            <a:rPr kumimoji="1" lang="en-US" altLang="ja-JP" sz="1100">
              <a:solidFill>
                <a:schemeClr val="tx1"/>
              </a:solidFill>
            </a:rPr>
            <a:t>= 512</a:t>
          </a:r>
          <a:r>
            <a:rPr kumimoji="1" lang="ja-JP" altLang="en-US" sz="1100" baseline="0">
              <a:solidFill>
                <a:schemeClr val="tx1"/>
              </a:solidFill>
            </a:rPr>
            <a:t> </a:t>
          </a:r>
          <a:r>
            <a:rPr kumimoji="1" lang="en-US" altLang="ja-JP" sz="1100">
              <a:solidFill>
                <a:schemeClr val="tx1"/>
              </a:solidFill>
            </a:rPr>
            <a:t>bits</a:t>
          </a:r>
          <a:endParaRPr kumimoji="1" lang="ja-JP" altLang="en-US" sz="1100">
            <a:solidFill>
              <a:schemeClr val="tx1"/>
            </a:solidFill>
          </a:endParaRP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4</xdr:col>
      <xdr:colOff>266700</xdr:colOff>
      <xdr:row>7</xdr:row>
      <xdr:rowOff>0</xdr:rowOff>
    </xdr:from>
    <xdr:to>
      <xdr:col>27</xdr:col>
      <xdr:colOff>9525</xdr:colOff>
      <xdr:row>7</xdr:row>
      <xdr:rowOff>0</xdr:rowOff>
    </xdr:to>
    <xdr:cxnSp macro="">
      <xdr:nvCxnSpPr>
        <xdr:cNvPr id="2" name="直線矢印コネクタ 1">
          <a:extLst>
            <a:ext uri="{FF2B5EF4-FFF2-40B4-BE49-F238E27FC236}">
              <a16:creationId xmlns:a16="http://schemas.microsoft.com/office/drawing/2014/main" id="{CDB94A66-1F09-42A2-8B3A-0EE320A1400E}"/>
            </a:ext>
          </a:extLst>
        </xdr:cNvPr>
        <xdr:cNvCxnSpPr/>
      </xdr:nvCxnSpPr>
      <xdr:spPr>
        <a:xfrm>
          <a:off x="1371600" y="1666875"/>
          <a:ext cx="6096000"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24</xdr:col>
      <xdr:colOff>219075</xdr:colOff>
      <xdr:row>7</xdr:row>
      <xdr:rowOff>95250</xdr:rowOff>
    </xdr:from>
    <xdr:to>
      <xdr:col>27</xdr:col>
      <xdr:colOff>0</xdr:colOff>
      <xdr:row>8</xdr:row>
      <xdr:rowOff>228600</xdr:rowOff>
    </xdr:to>
    <xdr:sp macro="" textlink="">
      <xdr:nvSpPr>
        <xdr:cNvPr id="3" name="正方形/長方形 2">
          <a:extLst>
            <a:ext uri="{FF2B5EF4-FFF2-40B4-BE49-F238E27FC236}">
              <a16:creationId xmlns:a16="http://schemas.microsoft.com/office/drawing/2014/main" id="{B426675A-74B1-45D4-8A28-166B787A061E}"/>
            </a:ext>
          </a:extLst>
        </xdr:cNvPr>
        <xdr:cNvSpPr/>
      </xdr:nvSpPr>
      <xdr:spPr>
        <a:xfrm>
          <a:off x="6848475" y="1762125"/>
          <a:ext cx="609600"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r>
            <a:rPr kumimoji="1" lang="ja-JP" altLang="en-US" sz="1100">
              <a:solidFill>
                <a:schemeClr val="tx1"/>
              </a:solidFill>
            </a:rPr>
            <a:t>時間</a:t>
          </a:r>
        </a:p>
      </xdr:txBody>
    </xdr:sp>
    <xdr:clientData/>
  </xdr:twoCellAnchor>
  <xdr:twoCellAnchor>
    <xdr:from>
      <xdr:col>6</xdr:col>
      <xdr:colOff>4763</xdr:colOff>
      <xdr:row>2</xdr:row>
      <xdr:rowOff>147636</xdr:rowOff>
    </xdr:from>
    <xdr:to>
      <xdr:col>25</xdr:col>
      <xdr:colOff>257177</xdr:colOff>
      <xdr:row>3</xdr:row>
      <xdr:rowOff>147636</xdr:rowOff>
    </xdr:to>
    <xdr:sp macro="" textlink="">
      <xdr:nvSpPr>
        <xdr:cNvPr id="4" name="右中かっこ 3">
          <a:extLst>
            <a:ext uri="{FF2B5EF4-FFF2-40B4-BE49-F238E27FC236}">
              <a16:creationId xmlns:a16="http://schemas.microsoft.com/office/drawing/2014/main" id="{E0250408-9A95-4158-B87C-4ED25A6E3E41}"/>
            </a:ext>
          </a:extLst>
        </xdr:cNvPr>
        <xdr:cNvSpPr/>
      </xdr:nvSpPr>
      <xdr:spPr>
        <a:xfrm rot="16200000">
          <a:off x="4293395" y="-2007396"/>
          <a:ext cx="238125" cy="5500689"/>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13</xdr:col>
      <xdr:colOff>133350</xdr:colOff>
      <xdr:row>1</xdr:row>
      <xdr:rowOff>28575</xdr:rowOff>
    </xdr:from>
    <xdr:to>
      <xdr:col>18</xdr:col>
      <xdr:colOff>142875</xdr:colOff>
      <xdr:row>2</xdr:row>
      <xdr:rowOff>161925</xdr:rowOff>
    </xdr:to>
    <xdr:sp macro="" textlink="">
      <xdr:nvSpPr>
        <xdr:cNvPr id="5" name="正方形/長方形 4">
          <a:extLst>
            <a:ext uri="{FF2B5EF4-FFF2-40B4-BE49-F238E27FC236}">
              <a16:creationId xmlns:a16="http://schemas.microsoft.com/office/drawing/2014/main" id="{3E6D2764-B530-44C4-A814-0C36B895AD66}"/>
            </a:ext>
          </a:extLst>
        </xdr:cNvPr>
        <xdr:cNvSpPr/>
      </xdr:nvSpPr>
      <xdr:spPr>
        <a:xfrm>
          <a:off x="3724275" y="266700"/>
          <a:ext cx="1390650"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100">
              <a:solidFill>
                <a:schemeClr val="tx1"/>
              </a:solidFill>
            </a:rPr>
            <a:t>ユーザ定義波形</a:t>
          </a:r>
        </a:p>
      </xdr:txBody>
    </xdr:sp>
    <xdr:clientData/>
  </xdr:twoCellAnchor>
  <xdr:twoCellAnchor>
    <xdr:from>
      <xdr:col>4</xdr:col>
      <xdr:colOff>266700</xdr:colOff>
      <xdr:row>17</xdr:row>
      <xdr:rowOff>133350</xdr:rowOff>
    </xdr:from>
    <xdr:to>
      <xdr:col>35</xdr:col>
      <xdr:colOff>0</xdr:colOff>
      <xdr:row>17</xdr:row>
      <xdr:rowOff>133350</xdr:rowOff>
    </xdr:to>
    <xdr:cxnSp macro="">
      <xdr:nvCxnSpPr>
        <xdr:cNvPr id="6" name="直線矢印コネクタ 5">
          <a:extLst>
            <a:ext uri="{FF2B5EF4-FFF2-40B4-BE49-F238E27FC236}">
              <a16:creationId xmlns:a16="http://schemas.microsoft.com/office/drawing/2014/main" id="{F0585841-06DE-4369-9480-C40B7AC965E4}"/>
            </a:ext>
          </a:extLst>
        </xdr:cNvPr>
        <xdr:cNvCxnSpPr/>
      </xdr:nvCxnSpPr>
      <xdr:spPr>
        <a:xfrm>
          <a:off x="1371600" y="4181475"/>
          <a:ext cx="829627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32</xdr:col>
      <xdr:colOff>219075</xdr:colOff>
      <xdr:row>17</xdr:row>
      <xdr:rowOff>228600</xdr:rowOff>
    </xdr:from>
    <xdr:to>
      <xdr:col>35</xdr:col>
      <xdr:colOff>0</xdr:colOff>
      <xdr:row>19</xdr:row>
      <xdr:rowOff>123825</xdr:rowOff>
    </xdr:to>
    <xdr:sp macro="" textlink="">
      <xdr:nvSpPr>
        <xdr:cNvPr id="7" name="正方形/長方形 6">
          <a:extLst>
            <a:ext uri="{FF2B5EF4-FFF2-40B4-BE49-F238E27FC236}">
              <a16:creationId xmlns:a16="http://schemas.microsoft.com/office/drawing/2014/main" id="{4F97B16F-AB16-4C51-AAC6-F7042D3D4367}"/>
            </a:ext>
          </a:extLst>
        </xdr:cNvPr>
        <xdr:cNvSpPr/>
      </xdr:nvSpPr>
      <xdr:spPr>
        <a:xfrm>
          <a:off x="9058275" y="4276725"/>
          <a:ext cx="609600"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r>
            <a:rPr kumimoji="1" lang="ja-JP" altLang="en-US" sz="1100">
              <a:solidFill>
                <a:schemeClr val="tx1"/>
              </a:solidFill>
            </a:rPr>
            <a:t>時間</a:t>
          </a:r>
        </a:p>
      </xdr:txBody>
    </xdr:sp>
    <xdr:clientData/>
  </xdr:twoCellAnchor>
  <xdr:twoCellAnchor>
    <xdr:from>
      <xdr:col>6</xdr:col>
      <xdr:colOff>14288</xdr:colOff>
      <xdr:row>14</xdr:row>
      <xdr:rowOff>114299</xdr:rowOff>
    </xdr:from>
    <xdr:to>
      <xdr:col>17</xdr:col>
      <xdr:colOff>247650</xdr:colOff>
      <xdr:row>15</xdr:row>
      <xdr:rowOff>119060</xdr:rowOff>
    </xdr:to>
    <xdr:sp macro="" textlink="">
      <xdr:nvSpPr>
        <xdr:cNvPr id="8" name="右中かっこ 7">
          <a:extLst>
            <a:ext uri="{FF2B5EF4-FFF2-40B4-BE49-F238E27FC236}">
              <a16:creationId xmlns:a16="http://schemas.microsoft.com/office/drawing/2014/main" id="{D7618705-934B-4639-BBFE-A8E2275149BC}"/>
            </a:ext>
          </a:extLst>
        </xdr:cNvPr>
        <xdr:cNvSpPr/>
      </xdr:nvSpPr>
      <xdr:spPr>
        <a:xfrm rot="16200000" flipH="1">
          <a:off x="3186114" y="1933573"/>
          <a:ext cx="242886" cy="3271837"/>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7</xdr:col>
      <xdr:colOff>0</xdr:colOff>
      <xdr:row>15</xdr:row>
      <xdr:rowOff>133350</xdr:rowOff>
    </xdr:from>
    <xdr:to>
      <xdr:col>16</xdr:col>
      <xdr:colOff>257175</xdr:colOff>
      <xdr:row>17</xdr:row>
      <xdr:rowOff>28575</xdr:rowOff>
    </xdr:to>
    <xdr:sp macro="" textlink="">
      <xdr:nvSpPr>
        <xdr:cNvPr id="9" name="正方形/長方形 8">
          <a:extLst>
            <a:ext uri="{FF2B5EF4-FFF2-40B4-BE49-F238E27FC236}">
              <a16:creationId xmlns:a16="http://schemas.microsoft.com/office/drawing/2014/main" id="{6981B0D6-48F1-4D0E-8302-AFAA19E98B18}"/>
            </a:ext>
          </a:extLst>
        </xdr:cNvPr>
        <xdr:cNvSpPr/>
      </xdr:nvSpPr>
      <xdr:spPr>
        <a:xfrm>
          <a:off x="1933575" y="3705225"/>
          <a:ext cx="2743200"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100">
              <a:solidFill>
                <a:schemeClr val="tx1"/>
              </a:solidFill>
            </a:rPr>
            <a:t>最小単位 </a:t>
          </a:r>
          <a:r>
            <a:rPr kumimoji="1" lang="en-US" altLang="ja-JP" sz="1100">
              <a:solidFill>
                <a:schemeClr val="tx1"/>
              </a:solidFill>
            </a:rPr>
            <a:t>8 </a:t>
          </a:r>
          <a:r>
            <a:rPr kumimoji="1" lang="ja-JP" altLang="en-US" sz="1100">
              <a:solidFill>
                <a:schemeClr val="tx1"/>
              </a:solidFill>
            </a:rPr>
            <a:t>サンプル </a:t>
          </a:r>
          <a:r>
            <a:rPr kumimoji="1" lang="en-US" altLang="ja-JP" sz="1100">
              <a:solidFill>
                <a:schemeClr val="tx1"/>
              </a:solidFill>
            </a:rPr>
            <a:t>(= 1 AWG </a:t>
          </a:r>
          <a:r>
            <a:rPr kumimoji="1" lang="ja-JP" altLang="en-US" sz="1100">
              <a:solidFill>
                <a:schemeClr val="tx1"/>
              </a:solidFill>
            </a:rPr>
            <a:t>ワード</a:t>
          </a:r>
          <a:r>
            <a:rPr kumimoji="1" lang="en-US" altLang="ja-JP" sz="1100">
              <a:solidFill>
                <a:schemeClr val="tx1"/>
              </a:solidFill>
            </a:rPr>
            <a:t>)</a:t>
          </a:r>
          <a:endParaRPr kumimoji="1" lang="ja-JP" altLang="en-US" sz="1100">
            <a:solidFill>
              <a:schemeClr val="tx1"/>
            </a:solidFill>
          </a:endParaRPr>
        </a:p>
      </xdr:txBody>
    </xdr:sp>
    <xdr:clientData/>
  </xdr:twoCellAnchor>
  <xdr:twoCellAnchor>
    <xdr:from>
      <xdr:col>20</xdr:col>
      <xdr:colOff>188256</xdr:colOff>
      <xdr:row>15</xdr:row>
      <xdr:rowOff>104775</xdr:rowOff>
    </xdr:from>
    <xdr:to>
      <xdr:col>25</xdr:col>
      <xdr:colOff>235322</xdr:colOff>
      <xdr:row>17</xdr:row>
      <xdr:rowOff>0</xdr:rowOff>
    </xdr:to>
    <xdr:sp macro="" textlink="">
      <xdr:nvSpPr>
        <xdr:cNvPr id="10" name="正方形/長方形 9">
          <a:extLst>
            <a:ext uri="{FF2B5EF4-FFF2-40B4-BE49-F238E27FC236}">
              <a16:creationId xmlns:a16="http://schemas.microsoft.com/office/drawing/2014/main" id="{92EE739D-11DF-43F2-A652-926C146C33B3}"/>
            </a:ext>
          </a:extLst>
        </xdr:cNvPr>
        <xdr:cNvSpPr/>
      </xdr:nvSpPr>
      <xdr:spPr>
        <a:xfrm>
          <a:off x="5712756" y="3676650"/>
          <a:ext cx="1428191"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(I </a:t>
          </a:r>
          <a:r>
            <a:rPr kumimoji="1" lang="ja-JP" altLang="en-US" sz="1100">
              <a:solidFill>
                <a:schemeClr val="tx1"/>
              </a:solidFill>
            </a:rPr>
            <a:t>値</a:t>
          </a:r>
          <a:r>
            <a:rPr kumimoji="1" lang="en-US" altLang="ja-JP" sz="1100">
              <a:solidFill>
                <a:schemeClr val="tx1"/>
              </a:solidFill>
            </a:rPr>
            <a:t>, Q </a:t>
          </a:r>
          <a:r>
            <a:rPr kumimoji="1" lang="ja-JP" altLang="en-US" sz="1100">
              <a:solidFill>
                <a:schemeClr val="tx1"/>
              </a:solidFill>
            </a:rPr>
            <a:t>値</a:t>
          </a:r>
          <a:r>
            <a:rPr kumimoji="1" lang="en-US" altLang="ja-JP" sz="1100">
              <a:solidFill>
                <a:schemeClr val="tx1"/>
              </a:solidFill>
            </a:rPr>
            <a:t>)</a:t>
          </a:r>
          <a:r>
            <a:rPr kumimoji="1" lang="ja-JP" altLang="en-US" sz="1100">
              <a:solidFill>
                <a:schemeClr val="tx1"/>
              </a:solidFill>
            </a:rPr>
            <a:t> </a:t>
          </a:r>
          <a:r>
            <a:rPr kumimoji="1" lang="en-US" altLang="ja-JP" sz="1100">
              <a:solidFill>
                <a:schemeClr val="tx1"/>
              </a:solidFill>
            </a:rPr>
            <a:t>= (0, 0)</a:t>
          </a:r>
          <a:endParaRPr kumimoji="1" lang="ja-JP" altLang="en-US" sz="1100">
            <a:solidFill>
              <a:schemeClr val="tx1"/>
            </a:solidFill>
          </a:endParaRPr>
        </a:p>
      </xdr:txBody>
    </xdr:sp>
    <xdr:clientData/>
  </xdr:twoCellAnchor>
  <xdr:twoCellAnchor>
    <xdr:from>
      <xdr:col>23</xdr:col>
      <xdr:colOff>66675</xdr:colOff>
      <xdr:row>13</xdr:row>
      <xdr:rowOff>180975</xdr:rowOff>
    </xdr:from>
    <xdr:to>
      <xdr:col>24</xdr:col>
      <xdr:colOff>152400</xdr:colOff>
      <xdr:row>15</xdr:row>
      <xdr:rowOff>104775</xdr:rowOff>
    </xdr:to>
    <xdr:cxnSp macro="">
      <xdr:nvCxnSpPr>
        <xdr:cNvPr id="11" name="直線コネクタ 10">
          <a:extLst>
            <a:ext uri="{FF2B5EF4-FFF2-40B4-BE49-F238E27FC236}">
              <a16:creationId xmlns:a16="http://schemas.microsoft.com/office/drawing/2014/main" id="{1D80EFF6-36F8-4033-91B0-F1CE4325E5CE}"/>
            </a:ext>
          </a:extLst>
        </xdr:cNvPr>
        <xdr:cNvCxnSpPr/>
      </xdr:nvCxnSpPr>
      <xdr:spPr>
        <a:xfrm flipH="1">
          <a:off x="6419850" y="3276600"/>
          <a:ext cx="361950" cy="400050"/>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271463</xdr:colOff>
      <xdr:row>10</xdr:row>
      <xdr:rowOff>147635</xdr:rowOff>
    </xdr:from>
    <xdr:to>
      <xdr:col>33</xdr:col>
      <xdr:colOff>266700</xdr:colOff>
      <xdr:row>11</xdr:row>
      <xdr:rowOff>147635</xdr:rowOff>
    </xdr:to>
    <xdr:sp macro="" textlink="">
      <xdr:nvSpPr>
        <xdr:cNvPr id="12" name="右中かっこ 11">
          <a:extLst>
            <a:ext uri="{FF2B5EF4-FFF2-40B4-BE49-F238E27FC236}">
              <a16:creationId xmlns:a16="http://schemas.microsoft.com/office/drawing/2014/main" id="{CC709465-7CB9-4639-AD65-BFA692344D74}"/>
            </a:ext>
          </a:extLst>
        </xdr:cNvPr>
        <xdr:cNvSpPr/>
      </xdr:nvSpPr>
      <xdr:spPr>
        <a:xfrm rot="16200000">
          <a:off x="5398294" y="-1216821"/>
          <a:ext cx="238125" cy="7729537"/>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17</xdr:col>
      <xdr:colOff>152400</xdr:colOff>
      <xdr:row>9</xdr:row>
      <xdr:rowOff>66675</xdr:rowOff>
    </xdr:from>
    <xdr:to>
      <xdr:col>22</xdr:col>
      <xdr:colOff>161925</xdr:colOff>
      <xdr:row>10</xdr:row>
      <xdr:rowOff>200025</xdr:rowOff>
    </xdr:to>
    <xdr:sp macro="" textlink="">
      <xdr:nvSpPr>
        <xdr:cNvPr id="13" name="正方形/長方形 12">
          <a:extLst>
            <a:ext uri="{FF2B5EF4-FFF2-40B4-BE49-F238E27FC236}">
              <a16:creationId xmlns:a16="http://schemas.microsoft.com/office/drawing/2014/main" id="{D223053E-3724-4AAE-AF25-8F523867CE61}"/>
            </a:ext>
          </a:extLst>
        </xdr:cNvPr>
        <xdr:cNvSpPr/>
      </xdr:nvSpPr>
      <xdr:spPr>
        <a:xfrm>
          <a:off x="4848225" y="2209800"/>
          <a:ext cx="1390650"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wait</a:t>
          </a:r>
          <a:r>
            <a:rPr kumimoji="1" lang="en-US" altLang="ja-JP" sz="1100" baseline="0">
              <a:solidFill>
                <a:schemeClr val="tx1"/>
              </a:solidFill>
            </a:rPr>
            <a:t> word</a:t>
          </a:r>
          <a:endParaRPr kumimoji="1" lang="ja-JP" altLang="en-US" sz="1100">
            <a:solidFill>
              <a:schemeClr val="tx1"/>
            </a:solidFill>
          </a:endParaRPr>
        </a:p>
      </xdr:txBody>
    </xdr:sp>
    <xdr:clientData/>
  </xdr:twoCellAnchor>
  <xdr:twoCellAnchor>
    <xdr:from>
      <xdr:col>6</xdr:col>
      <xdr:colOff>4763</xdr:colOff>
      <xdr:row>20</xdr:row>
      <xdr:rowOff>166684</xdr:rowOff>
    </xdr:from>
    <xdr:to>
      <xdr:col>13</xdr:col>
      <xdr:colOff>266700</xdr:colOff>
      <xdr:row>21</xdr:row>
      <xdr:rowOff>166684</xdr:rowOff>
    </xdr:to>
    <xdr:sp macro="" textlink="">
      <xdr:nvSpPr>
        <xdr:cNvPr id="14" name="右中かっこ 13">
          <a:extLst>
            <a:ext uri="{FF2B5EF4-FFF2-40B4-BE49-F238E27FC236}">
              <a16:creationId xmlns:a16="http://schemas.microsoft.com/office/drawing/2014/main" id="{F8CFBADB-7B93-4B08-9403-232ED53EA090}"/>
            </a:ext>
          </a:extLst>
        </xdr:cNvPr>
        <xdr:cNvSpPr/>
      </xdr:nvSpPr>
      <xdr:spPr>
        <a:xfrm rot="16200000">
          <a:off x="2640806" y="3950491"/>
          <a:ext cx="238125" cy="2195512"/>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7</xdr:col>
      <xdr:colOff>123825</xdr:colOff>
      <xdr:row>19</xdr:row>
      <xdr:rowOff>38100</xdr:rowOff>
    </xdr:from>
    <xdr:to>
      <xdr:col>12</xdr:col>
      <xdr:colOff>133350</xdr:colOff>
      <xdr:row>20</xdr:row>
      <xdr:rowOff>171450</xdr:rowOff>
    </xdr:to>
    <xdr:sp macro="" textlink="">
      <xdr:nvSpPr>
        <xdr:cNvPr id="15" name="正方形/長方形 14">
          <a:extLst>
            <a:ext uri="{FF2B5EF4-FFF2-40B4-BE49-F238E27FC236}">
              <a16:creationId xmlns:a16="http://schemas.microsoft.com/office/drawing/2014/main" id="{B34AD76F-3C62-45E0-9A09-24FE615D4114}"/>
            </a:ext>
          </a:extLst>
        </xdr:cNvPr>
        <xdr:cNvSpPr/>
      </xdr:nvSpPr>
      <xdr:spPr>
        <a:xfrm>
          <a:off x="2057400" y="4562475"/>
          <a:ext cx="1390650"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100">
              <a:solidFill>
                <a:schemeClr val="tx1"/>
              </a:solidFill>
            </a:rPr>
            <a:t>波形サイクル</a:t>
          </a:r>
        </a:p>
      </xdr:txBody>
    </xdr:sp>
    <xdr:clientData/>
  </xdr:twoCellAnchor>
  <xdr:twoCellAnchor>
    <xdr:from>
      <xdr:col>5</xdr:col>
      <xdr:colOff>9525</xdr:colOff>
      <xdr:row>25</xdr:row>
      <xdr:rowOff>0</xdr:rowOff>
    </xdr:from>
    <xdr:to>
      <xdr:col>14</xdr:col>
      <xdr:colOff>266700</xdr:colOff>
      <xdr:row>25</xdr:row>
      <xdr:rowOff>0</xdr:rowOff>
    </xdr:to>
    <xdr:cxnSp macro="">
      <xdr:nvCxnSpPr>
        <xdr:cNvPr id="16" name="直線矢印コネクタ 15">
          <a:extLst>
            <a:ext uri="{FF2B5EF4-FFF2-40B4-BE49-F238E27FC236}">
              <a16:creationId xmlns:a16="http://schemas.microsoft.com/office/drawing/2014/main" id="{BA8EDD34-451E-4257-BCEF-25DBB514FEB8}"/>
            </a:ext>
          </a:extLst>
        </xdr:cNvPr>
        <xdr:cNvCxnSpPr/>
      </xdr:nvCxnSpPr>
      <xdr:spPr>
        <a:xfrm>
          <a:off x="1390650" y="5953125"/>
          <a:ext cx="2743200"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209550</xdr:colOff>
      <xdr:row>25</xdr:row>
      <xdr:rowOff>95250</xdr:rowOff>
    </xdr:from>
    <xdr:to>
      <xdr:col>14</xdr:col>
      <xdr:colOff>266700</xdr:colOff>
      <xdr:row>26</xdr:row>
      <xdr:rowOff>228600</xdr:rowOff>
    </xdr:to>
    <xdr:sp macro="" textlink="">
      <xdr:nvSpPr>
        <xdr:cNvPr id="17" name="正方形/長方形 16">
          <a:extLst>
            <a:ext uri="{FF2B5EF4-FFF2-40B4-BE49-F238E27FC236}">
              <a16:creationId xmlns:a16="http://schemas.microsoft.com/office/drawing/2014/main" id="{F4A7698F-7FD2-4B73-A251-132C6D1777DB}"/>
            </a:ext>
          </a:extLst>
        </xdr:cNvPr>
        <xdr:cNvSpPr/>
      </xdr:nvSpPr>
      <xdr:spPr>
        <a:xfrm>
          <a:off x="3524250" y="6048375"/>
          <a:ext cx="609600"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r>
            <a:rPr kumimoji="1" lang="ja-JP" altLang="en-US" sz="1100">
              <a:solidFill>
                <a:schemeClr val="tx1"/>
              </a:solidFill>
            </a:rPr>
            <a:t>時間</a:t>
          </a:r>
        </a:p>
      </xdr:txBody>
    </xdr:sp>
    <xdr:clientData/>
  </xdr:twoCellAnchor>
  <xdr:twoCellAnchor>
    <xdr:from>
      <xdr:col>4</xdr:col>
      <xdr:colOff>266700</xdr:colOff>
      <xdr:row>39</xdr:row>
      <xdr:rowOff>133350</xdr:rowOff>
    </xdr:from>
    <xdr:to>
      <xdr:col>35</xdr:col>
      <xdr:colOff>0</xdr:colOff>
      <xdr:row>39</xdr:row>
      <xdr:rowOff>133350</xdr:rowOff>
    </xdr:to>
    <xdr:cxnSp macro="">
      <xdr:nvCxnSpPr>
        <xdr:cNvPr id="18" name="直線矢印コネクタ 17">
          <a:extLst>
            <a:ext uri="{FF2B5EF4-FFF2-40B4-BE49-F238E27FC236}">
              <a16:creationId xmlns:a16="http://schemas.microsoft.com/office/drawing/2014/main" id="{23498B84-04FC-48AC-81E2-0E35E524827A}"/>
            </a:ext>
          </a:extLst>
        </xdr:cNvPr>
        <xdr:cNvCxnSpPr/>
      </xdr:nvCxnSpPr>
      <xdr:spPr>
        <a:xfrm>
          <a:off x="1371600" y="9439275"/>
          <a:ext cx="829627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32</xdr:col>
      <xdr:colOff>219075</xdr:colOff>
      <xdr:row>39</xdr:row>
      <xdr:rowOff>228600</xdr:rowOff>
    </xdr:from>
    <xdr:to>
      <xdr:col>35</xdr:col>
      <xdr:colOff>0</xdr:colOff>
      <xdr:row>41</xdr:row>
      <xdr:rowOff>115956</xdr:rowOff>
    </xdr:to>
    <xdr:sp macro="" textlink="">
      <xdr:nvSpPr>
        <xdr:cNvPr id="19" name="正方形/長方形 18">
          <a:extLst>
            <a:ext uri="{FF2B5EF4-FFF2-40B4-BE49-F238E27FC236}">
              <a16:creationId xmlns:a16="http://schemas.microsoft.com/office/drawing/2014/main" id="{068C723F-B64D-42FB-9655-EFAD9124AD5C}"/>
            </a:ext>
          </a:extLst>
        </xdr:cNvPr>
        <xdr:cNvSpPr/>
      </xdr:nvSpPr>
      <xdr:spPr>
        <a:xfrm>
          <a:off x="8965510" y="9612796"/>
          <a:ext cx="600903" cy="36774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r>
            <a:rPr kumimoji="1" lang="ja-JP" altLang="en-US" sz="1100">
              <a:solidFill>
                <a:schemeClr val="tx1"/>
              </a:solidFill>
            </a:rPr>
            <a:t>時間</a:t>
          </a:r>
        </a:p>
      </xdr:txBody>
    </xdr:sp>
    <xdr:clientData/>
  </xdr:twoCellAnchor>
  <xdr:twoCellAnchor>
    <xdr:from>
      <xdr:col>6</xdr:col>
      <xdr:colOff>14288</xdr:colOff>
      <xdr:row>34</xdr:row>
      <xdr:rowOff>114299</xdr:rowOff>
    </xdr:from>
    <xdr:to>
      <xdr:col>17</xdr:col>
      <xdr:colOff>247650</xdr:colOff>
      <xdr:row>35</xdr:row>
      <xdr:rowOff>119060</xdr:rowOff>
    </xdr:to>
    <xdr:sp macro="" textlink="">
      <xdr:nvSpPr>
        <xdr:cNvPr id="20" name="右中かっこ 19">
          <a:extLst>
            <a:ext uri="{FF2B5EF4-FFF2-40B4-BE49-F238E27FC236}">
              <a16:creationId xmlns:a16="http://schemas.microsoft.com/office/drawing/2014/main" id="{0B90D79B-5D4D-4F03-AA24-A907828AC278}"/>
            </a:ext>
          </a:extLst>
        </xdr:cNvPr>
        <xdr:cNvSpPr/>
      </xdr:nvSpPr>
      <xdr:spPr>
        <a:xfrm rot="16200000" flipH="1">
          <a:off x="3186114" y="6715123"/>
          <a:ext cx="242886" cy="3271837"/>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6</xdr:col>
      <xdr:colOff>207061</xdr:colOff>
      <xdr:row>35</xdr:row>
      <xdr:rowOff>133350</xdr:rowOff>
    </xdr:from>
    <xdr:to>
      <xdr:col>17</xdr:col>
      <xdr:colOff>99388</xdr:colOff>
      <xdr:row>37</xdr:row>
      <xdr:rowOff>82826</xdr:rowOff>
    </xdr:to>
    <xdr:sp macro="" textlink="">
      <xdr:nvSpPr>
        <xdr:cNvPr id="21" name="正方形/長方形 20">
          <a:extLst>
            <a:ext uri="{FF2B5EF4-FFF2-40B4-BE49-F238E27FC236}">
              <a16:creationId xmlns:a16="http://schemas.microsoft.com/office/drawing/2014/main" id="{58CB7DA5-4477-410A-AF59-8828B9B244D8}"/>
            </a:ext>
          </a:extLst>
        </xdr:cNvPr>
        <xdr:cNvSpPr/>
      </xdr:nvSpPr>
      <xdr:spPr>
        <a:xfrm>
          <a:off x="1847018" y="8556763"/>
          <a:ext cx="2898913" cy="42986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100">
              <a:solidFill>
                <a:schemeClr val="tx1"/>
              </a:solidFill>
            </a:rPr>
            <a:t>最小単位 </a:t>
          </a:r>
          <a:r>
            <a:rPr kumimoji="1" lang="en-US" altLang="ja-JP" sz="1100">
              <a:solidFill>
                <a:schemeClr val="tx1"/>
              </a:solidFill>
            </a:rPr>
            <a:t>512 </a:t>
          </a:r>
          <a:r>
            <a:rPr kumimoji="1" lang="ja-JP" altLang="en-US" sz="1100">
              <a:solidFill>
                <a:schemeClr val="tx1"/>
              </a:solidFill>
            </a:rPr>
            <a:t>サンプル </a:t>
          </a:r>
          <a:r>
            <a:rPr kumimoji="1" lang="en-US" altLang="ja-JP" sz="1100">
              <a:solidFill>
                <a:schemeClr val="tx1"/>
              </a:solidFill>
            </a:rPr>
            <a:t>(= 64 AWG </a:t>
          </a:r>
          <a:r>
            <a:rPr kumimoji="1" lang="ja-JP" altLang="en-US" sz="1100">
              <a:solidFill>
                <a:schemeClr val="tx1"/>
              </a:solidFill>
            </a:rPr>
            <a:t>ワード</a:t>
          </a:r>
          <a:r>
            <a:rPr kumimoji="1" lang="en-US" altLang="ja-JP" sz="1100">
              <a:solidFill>
                <a:schemeClr val="tx1"/>
              </a:solidFill>
            </a:rPr>
            <a:t>)</a:t>
          </a:r>
          <a:endParaRPr kumimoji="1" lang="ja-JP" altLang="en-US" sz="1100">
            <a:solidFill>
              <a:schemeClr val="tx1"/>
            </a:solidFill>
          </a:endParaRPr>
        </a:p>
      </xdr:txBody>
    </xdr:sp>
    <xdr:clientData/>
  </xdr:twoCellAnchor>
  <xdr:twoCellAnchor>
    <xdr:from>
      <xdr:col>5</xdr:col>
      <xdr:colOff>271463</xdr:colOff>
      <xdr:row>30</xdr:row>
      <xdr:rowOff>147635</xdr:rowOff>
    </xdr:from>
    <xdr:to>
      <xdr:col>33</xdr:col>
      <xdr:colOff>266700</xdr:colOff>
      <xdr:row>31</xdr:row>
      <xdr:rowOff>147635</xdr:rowOff>
    </xdr:to>
    <xdr:sp macro="" textlink="">
      <xdr:nvSpPr>
        <xdr:cNvPr id="22" name="右中かっこ 21">
          <a:extLst>
            <a:ext uri="{FF2B5EF4-FFF2-40B4-BE49-F238E27FC236}">
              <a16:creationId xmlns:a16="http://schemas.microsoft.com/office/drawing/2014/main" id="{89ECCE40-1BAE-4C15-904E-1453ED692533}"/>
            </a:ext>
          </a:extLst>
        </xdr:cNvPr>
        <xdr:cNvSpPr/>
      </xdr:nvSpPr>
      <xdr:spPr>
        <a:xfrm rot="16200000">
          <a:off x="5398294" y="3545679"/>
          <a:ext cx="238125" cy="7729537"/>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17</xdr:col>
      <xdr:colOff>152400</xdr:colOff>
      <xdr:row>29</xdr:row>
      <xdr:rowOff>66675</xdr:rowOff>
    </xdr:from>
    <xdr:to>
      <xdr:col>22</xdr:col>
      <xdr:colOff>161925</xdr:colOff>
      <xdr:row>30</xdr:row>
      <xdr:rowOff>200025</xdr:rowOff>
    </xdr:to>
    <xdr:sp macro="" textlink="">
      <xdr:nvSpPr>
        <xdr:cNvPr id="23" name="正方形/長方形 22">
          <a:extLst>
            <a:ext uri="{FF2B5EF4-FFF2-40B4-BE49-F238E27FC236}">
              <a16:creationId xmlns:a16="http://schemas.microsoft.com/office/drawing/2014/main" id="{B6B61376-117E-434F-A05A-D7ADA2B62A90}"/>
            </a:ext>
          </a:extLst>
        </xdr:cNvPr>
        <xdr:cNvSpPr/>
      </xdr:nvSpPr>
      <xdr:spPr>
        <a:xfrm>
          <a:off x="4848225" y="6972300"/>
          <a:ext cx="1390650"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波形パート</a:t>
          </a:r>
        </a:p>
      </xdr:txBody>
    </xdr:sp>
    <xdr:clientData/>
  </xdr:twoCellAnchor>
  <xdr:twoCellAnchor>
    <xdr:from>
      <xdr:col>26</xdr:col>
      <xdr:colOff>6</xdr:colOff>
      <xdr:row>37</xdr:row>
      <xdr:rowOff>76201</xdr:rowOff>
    </xdr:from>
    <xdr:to>
      <xdr:col>29</xdr:col>
      <xdr:colOff>6</xdr:colOff>
      <xdr:row>38</xdr:row>
      <xdr:rowOff>14288</xdr:rowOff>
    </xdr:to>
    <xdr:sp macro="" textlink="">
      <xdr:nvSpPr>
        <xdr:cNvPr id="24" name="右中かっこ 23">
          <a:extLst>
            <a:ext uri="{FF2B5EF4-FFF2-40B4-BE49-F238E27FC236}">
              <a16:creationId xmlns:a16="http://schemas.microsoft.com/office/drawing/2014/main" id="{1EB2C01E-9AE1-4FE7-A84A-DF967E36410D}"/>
            </a:ext>
          </a:extLst>
        </xdr:cNvPr>
        <xdr:cNvSpPr/>
      </xdr:nvSpPr>
      <xdr:spPr>
        <a:xfrm rot="16200000" flipH="1">
          <a:off x="7508088" y="8579644"/>
          <a:ext cx="176212" cy="828675"/>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24</xdr:col>
      <xdr:colOff>228600</xdr:colOff>
      <xdr:row>37</xdr:row>
      <xdr:rowOff>219075</xdr:rowOff>
    </xdr:from>
    <xdr:to>
      <xdr:col>30</xdr:col>
      <xdr:colOff>133350</xdr:colOff>
      <xdr:row>40</xdr:row>
      <xdr:rowOff>114300</xdr:rowOff>
    </xdr:to>
    <xdr:sp macro="" textlink="">
      <xdr:nvSpPr>
        <xdr:cNvPr id="25" name="正方形/長方形 24">
          <a:extLst>
            <a:ext uri="{FF2B5EF4-FFF2-40B4-BE49-F238E27FC236}">
              <a16:creationId xmlns:a16="http://schemas.microsoft.com/office/drawing/2014/main" id="{7B275AA5-6414-4C29-BC1D-5C7D1FA577EF}"/>
            </a:ext>
          </a:extLst>
        </xdr:cNvPr>
        <xdr:cNvSpPr/>
      </xdr:nvSpPr>
      <xdr:spPr>
        <a:xfrm>
          <a:off x="6858000" y="9048750"/>
          <a:ext cx="1562100" cy="6096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16-bit</a:t>
          </a:r>
          <a:r>
            <a:rPr kumimoji="1" lang="en-US" altLang="ja-JP" sz="1100" baseline="0">
              <a:solidFill>
                <a:schemeClr val="tx1"/>
              </a:solidFill>
            </a:rPr>
            <a:t> </a:t>
          </a:r>
          <a:r>
            <a:rPr kumimoji="1" lang="ja-JP" altLang="en-US" sz="1100" baseline="0">
              <a:solidFill>
                <a:schemeClr val="tx1"/>
              </a:solidFill>
            </a:rPr>
            <a:t>符号付整数</a:t>
          </a:r>
          <a:endParaRPr kumimoji="1" lang="ja-JP" altLang="en-US" sz="1100">
            <a:solidFill>
              <a:schemeClr val="tx1"/>
            </a:solidFill>
          </a:endParaRPr>
        </a:p>
      </xdr:txBody>
    </xdr:sp>
    <xdr:clientData/>
  </xdr:twoCellAnchor>
  <xdr:twoCellAnchor>
    <xdr:from>
      <xdr:col>17</xdr:col>
      <xdr:colOff>230379</xdr:colOff>
      <xdr:row>69</xdr:row>
      <xdr:rowOff>0</xdr:rowOff>
    </xdr:from>
    <xdr:to>
      <xdr:col>20</xdr:col>
      <xdr:colOff>17585</xdr:colOff>
      <xdr:row>69</xdr:row>
      <xdr:rowOff>66675</xdr:rowOff>
    </xdr:to>
    <xdr:sp macro="" textlink="">
      <xdr:nvSpPr>
        <xdr:cNvPr id="26" name="正方形/長方形 25">
          <a:extLst>
            <a:ext uri="{FF2B5EF4-FFF2-40B4-BE49-F238E27FC236}">
              <a16:creationId xmlns:a16="http://schemas.microsoft.com/office/drawing/2014/main" id="{99A89115-15F1-41AD-878C-FC315C95FCE4}"/>
            </a:ext>
          </a:extLst>
        </xdr:cNvPr>
        <xdr:cNvSpPr/>
      </xdr:nvSpPr>
      <xdr:spPr>
        <a:xfrm>
          <a:off x="4926204" y="13115925"/>
          <a:ext cx="615881" cy="666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r>
            <a:rPr kumimoji="1" lang="ja-JP" altLang="en-US" sz="1100">
              <a:solidFill>
                <a:schemeClr val="tx1"/>
              </a:solidFill>
            </a:rPr>
            <a:t>時間</a:t>
          </a:r>
        </a:p>
      </xdr:txBody>
    </xdr:sp>
    <xdr:clientData/>
  </xdr:twoCellAnchor>
  <xdr:twoCellAnchor>
    <xdr:from>
      <xdr:col>8</xdr:col>
      <xdr:colOff>125721</xdr:colOff>
      <xdr:row>116</xdr:row>
      <xdr:rowOff>86933</xdr:rowOff>
    </xdr:from>
    <xdr:to>
      <xdr:col>13</xdr:col>
      <xdr:colOff>180975</xdr:colOff>
      <xdr:row>117</xdr:row>
      <xdr:rowOff>223083</xdr:rowOff>
    </xdr:to>
    <xdr:sp macro="" textlink="">
      <xdr:nvSpPr>
        <xdr:cNvPr id="27" name="正方形/長方形 26">
          <a:extLst>
            <a:ext uri="{FF2B5EF4-FFF2-40B4-BE49-F238E27FC236}">
              <a16:creationId xmlns:a16="http://schemas.microsoft.com/office/drawing/2014/main" id="{35381D74-EB4E-4626-855F-CA4343BA4948}"/>
            </a:ext>
          </a:extLst>
        </xdr:cNvPr>
        <xdr:cNvSpPr/>
      </xdr:nvSpPr>
      <xdr:spPr>
        <a:xfrm>
          <a:off x="2335521" y="20346608"/>
          <a:ext cx="1436379" cy="3742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波形チャンク </a:t>
          </a:r>
          <a:r>
            <a:rPr kumimoji="1" lang="en-US" altLang="ja-JP" sz="1100">
              <a:solidFill>
                <a:schemeClr val="tx1"/>
              </a:solidFill>
            </a:rPr>
            <a:t>0</a:t>
          </a:r>
          <a:endParaRPr kumimoji="1" lang="ja-JP" altLang="en-US" sz="1100">
            <a:solidFill>
              <a:schemeClr val="tx1"/>
            </a:solidFill>
          </a:endParaRPr>
        </a:p>
      </xdr:txBody>
    </xdr:sp>
    <xdr:clientData/>
  </xdr:twoCellAnchor>
  <xdr:twoCellAnchor>
    <xdr:from>
      <xdr:col>14</xdr:col>
      <xdr:colOff>78096</xdr:colOff>
      <xdr:row>116</xdr:row>
      <xdr:rowOff>86933</xdr:rowOff>
    </xdr:from>
    <xdr:to>
      <xdr:col>19</xdr:col>
      <xdr:colOff>133350</xdr:colOff>
      <xdr:row>117</xdr:row>
      <xdr:rowOff>223083</xdr:rowOff>
    </xdr:to>
    <xdr:sp macro="" textlink="">
      <xdr:nvSpPr>
        <xdr:cNvPr id="28" name="正方形/長方形 27">
          <a:extLst>
            <a:ext uri="{FF2B5EF4-FFF2-40B4-BE49-F238E27FC236}">
              <a16:creationId xmlns:a16="http://schemas.microsoft.com/office/drawing/2014/main" id="{B7568E90-B25D-47F9-936E-925AF5EA3F28}"/>
            </a:ext>
          </a:extLst>
        </xdr:cNvPr>
        <xdr:cNvSpPr/>
      </xdr:nvSpPr>
      <xdr:spPr>
        <a:xfrm>
          <a:off x="3945246" y="20346608"/>
          <a:ext cx="1436379" cy="3742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波形チャンク </a:t>
          </a:r>
          <a:r>
            <a:rPr kumimoji="1" lang="en-US" altLang="ja-JP" sz="1100">
              <a:solidFill>
                <a:schemeClr val="tx1"/>
              </a:solidFill>
            </a:rPr>
            <a:t>1</a:t>
          </a:r>
        </a:p>
      </xdr:txBody>
    </xdr:sp>
    <xdr:clientData/>
  </xdr:twoCellAnchor>
  <xdr:twoCellAnchor>
    <xdr:from>
      <xdr:col>5</xdr:col>
      <xdr:colOff>116197</xdr:colOff>
      <xdr:row>116</xdr:row>
      <xdr:rowOff>58358</xdr:rowOff>
    </xdr:from>
    <xdr:to>
      <xdr:col>8</xdr:col>
      <xdr:colOff>142876</xdr:colOff>
      <xdr:row>117</xdr:row>
      <xdr:rowOff>194508</xdr:rowOff>
    </xdr:to>
    <xdr:sp macro="" textlink="">
      <xdr:nvSpPr>
        <xdr:cNvPr id="29" name="正方形/長方形 28">
          <a:extLst>
            <a:ext uri="{FF2B5EF4-FFF2-40B4-BE49-F238E27FC236}">
              <a16:creationId xmlns:a16="http://schemas.microsoft.com/office/drawing/2014/main" id="{0222D458-0AEA-4DC3-B666-2E144D9A9707}"/>
            </a:ext>
          </a:extLst>
        </xdr:cNvPr>
        <xdr:cNvSpPr/>
      </xdr:nvSpPr>
      <xdr:spPr>
        <a:xfrm>
          <a:off x="1497322" y="20318033"/>
          <a:ext cx="855354" cy="3742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wait</a:t>
          </a:r>
          <a:r>
            <a:rPr kumimoji="1" lang="en-US" altLang="ja-JP" sz="1100" baseline="0">
              <a:solidFill>
                <a:schemeClr val="tx1"/>
              </a:solidFill>
            </a:rPr>
            <a:t> word</a:t>
          </a:r>
          <a:endParaRPr kumimoji="1" lang="ja-JP" altLang="en-US" sz="1100">
            <a:solidFill>
              <a:schemeClr val="tx1"/>
            </a:solidFill>
          </a:endParaRPr>
        </a:p>
      </xdr:txBody>
    </xdr:sp>
    <xdr:clientData/>
  </xdr:twoCellAnchor>
  <xdr:twoCellAnchor>
    <xdr:from>
      <xdr:col>22</xdr:col>
      <xdr:colOff>106671</xdr:colOff>
      <xdr:row>116</xdr:row>
      <xdr:rowOff>77408</xdr:rowOff>
    </xdr:from>
    <xdr:to>
      <xdr:col>27</xdr:col>
      <xdr:colOff>161925</xdr:colOff>
      <xdr:row>117</xdr:row>
      <xdr:rowOff>213558</xdr:rowOff>
    </xdr:to>
    <xdr:sp macro="" textlink="">
      <xdr:nvSpPr>
        <xdr:cNvPr id="30" name="正方形/長方形 29">
          <a:extLst>
            <a:ext uri="{FF2B5EF4-FFF2-40B4-BE49-F238E27FC236}">
              <a16:creationId xmlns:a16="http://schemas.microsoft.com/office/drawing/2014/main" id="{A78E23DE-3FBF-4860-8281-271DE89AC9A3}"/>
            </a:ext>
          </a:extLst>
        </xdr:cNvPr>
        <xdr:cNvSpPr/>
      </xdr:nvSpPr>
      <xdr:spPr>
        <a:xfrm>
          <a:off x="6183621" y="20337083"/>
          <a:ext cx="1436379" cy="3742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波形チャンク </a:t>
          </a:r>
          <a:r>
            <a:rPr kumimoji="1" lang="en-US" altLang="ja-JP" sz="1100">
              <a:solidFill>
                <a:schemeClr val="tx1"/>
              </a:solidFill>
            </a:rPr>
            <a:t>1</a:t>
          </a:r>
        </a:p>
      </xdr:txBody>
    </xdr:sp>
    <xdr:clientData/>
  </xdr:twoCellAnchor>
  <xdr:twoCellAnchor>
    <xdr:from>
      <xdr:col>28</xdr:col>
      <xdr:colOff>116196</xdr:colOff>
      <xdr:row>116</xdr:row>
      <xdr:rowOff>67883</xdr:rowOff>
    </xdr:from>
    <xdr:to>
      <xdr:col>33</xdr:col>
      <xdr:colOff>171450</xdr:colOff>
      <xdr:row>117</xdr:row>
      <xdr:rowOff>204033</xdr:rowOff>
    </xdr:to>
    <xdr:sp macro="" textlink="">
      <xdr:nvSpPr>
        <xdr:cNvPr id="31" name="正方形/長方形 30">
          <a:extLst>
            <a:ext uri="{FF2B5EF4-FFF2-40B4-BE49-F238E27FC236}">
              <a16:creationId xmlns:a16="http://schemas.microsoft.com/office/drawing/2014/main" id="{9DED9F92-CD28-49C9-AA88-80D0BDBB71A1}"/>
            </a:ext>
          </a:extLst>
        </xdr:cNvPr>
        <xdr:cNvSpPr/>
      </xdr:nvSpPr>
      <xdr:spPr>
        <a:xfrm>
          <a:off x="7850496" y="20327558"/>
          <a:ext cx="1436379" cy="3742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波形チャンク </a:t>
          </a:r>
          <a:r>
            <a:rPr kumimoji="1" lang="en-US" altLang="ja-JP" sz="1100">
              <a:solidFill>
                <a:schemeClr val="tx1"/>
              </a:solidFill>
            </a:rPr>
            <a:t>0</a:t>
          </a:r>
          <a:endParaRPr kumimoji="1" lang="ja-JP" altLang="en-US" sz="1100">
            <a:solidFill>
              <a:schemeClr val="tx1"/>
            </a:solidFill>
          </a:endParaRPr>
        </a:p>
      </xdr:txBody>
    </xdr:sp>
    <xdr:clientData/>
  </xdr:twoCellAnchor>
  <xdr:twoCellAnchor>
    <xdr:from>
      <xdr:col>34</xdr:col>
      <xdr:colOff>97146</xdr:colOff>
      <xdr:row>116</xdr:row>
      <xdr:rowOff>58358</xdr:rowOff>
    </xdr:from>
    <xdr:to>
      <xdr:col>39</xdr:col>
      <xdr:colOff>152400</xdr:colOff>
      <xdr:row>117</xdr:row>
      <xdr:rowOff>194508</xdr:rowOff>
    </xdr:to>
    <xdr:sp macro="" textlink="">
      <xdr:nvSpPr>
        <xdr:cNvPr id="32" name="正方形/長方形 31">
          <a:extLst>
            <a:ext uri="{FF2B5EF4-FFF2-40B4-BE49-F238E27FC236}">
              <a16:creationId xmlns:a16="http://schemas.microsoft.com/office/drawing/2014/main" id="{FA1428D1-1C50-4D6F-B38B-5D7FA45AD6A8}"/>
            </a:ext>
          </a:extLst>
        </xdr:cNvPr>
        <xdr:cNvSpPr/>
      </xdr:nvSpPr>
      <xdr:spPr>
        <a:xfrm>
          <a:off x="9488796" y="20318033"/>
          <a:ext cx="1436379" cy="3742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波形チャンク </a:t>
          </a:r>
          <a:r>
            <a:rPr kumimoji="1" lang="en-US" altLang="ja-JP" sz="1100">
              <a:solidFill>
                <a:schemeClr val="tx1"/>
              </a:solidFill>
            </a:rPr>
            <a:t>1</a:t>
          </a:r>
        </a:p>
      </xdr:txBody>
    </xdr:sp>
    <xdr:clientData/>
  </xdr:twoCellAnchor>
  <xdr:twoCellAnchor>
    <xdr:from>
      <xdr:col>42</xdr:col>
      <xdr:colOff>125721</xdr:colOff>
      <xdr:row>116</xdr:row>
      <xdr:rowOff>48833</xdr:rowOff>
    </xdr:from>
    <xdr:to>
      <xdr:col>47</xdr:col>
      <xdr:colOff>180975</xdr:colOff>
      <xdr:row>117</xdr:row>
      <xdr:rowOff>184983</xdr:rowOff>
    </xdr:to>
    <xdr:sp macro="" textlink="">
      <xdr:nvSpPr>
        <xdr:cNvPr id="33" name="正方形/長方形 32">
          <a:extLst>
            <a:ext uri="{FF2B5EF4-FFF2-40B4-BE49-F238E27FC236}">
              <a16:creationId xmlns:a16="http://schemas.microsoft.com/office/drawing/2014/main" id="{9647E551-CD6C-475F-88B4-A59BAF54C329}"/>
            </a:ext>
          </a:extLst>
        </xdr:cNvPr>
        <xdr:cNvSpPr/>
      </xdr:nvSpPr>
      <xdr:spPr>
        <a:xfrm>
          <a:off x="11727171" y="20308508"/>
          <a:ext cx="1436379" cy="3742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波形チャンク </a:t>
          </a:r>
          <a:r>
            <a:rPr kumimoji="1" lang="en-US" altLang="ja-JP" sz="1100">
              <a:solidFill>
                <a:schemeClr val="tx1"/>
              </a:solidFill>
            </a:rPr>
            <a:t>1</a:t>
          </a:r>
        </a:p>
      </xdr:txBody>
    </xdr:sp>
    <xdr:clientData/>
  </xdr:twoCellAnchor>
  <xdr:twoCellAnchor>
    <xdr:from>
      <xdr:col>9</xdr:col>
      <xdr:colOff>41530</xdr:colOff>
      <xdr:row>117</xdr:row>
      <xdr:rowOff>191995</xdr:rowOff>
    </xdr:from>
    <xdr:to>
      <xdr:col>12</xdr:col>
      <xdr:colOff>238125</xdr:colOff>
      <xdr:row>118</xdr:row>
      <xdr:rowOff>191996</xdr:rowOff>
    </xdr:to>
    <xdr:sp macro="" textlink="">
      <xdr:nvSpPr>
        <xdr:cNvPr id="34" name="右中かっこ 33">
          <a:extLst>
            <a:ext uri="{FF2B5EF4-FFF2-40B4-BE49-F238E27FC236}">
              <a16:creationId xmlns:a16="http://schemas.microsoft.com/office/drawing/2014/main" id="{2A8D721A-7689-43FC-BC52-94F6A2F75A7C}"/>
            </a:ext>
          </a:extLst>
        </xdr:cNvPr>
        <xdr:cNvSpPr/>
      </xdr:nvSpPr>
      <xdr:spPr>
        <a:xfrm rot="16200000">
          <a:off x="2921127" y="20296223"/>
          <a:ext cx="238126" cy="1025270"/>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13</xdr:col>
      <xdr:colOff>60579</xdr:colOff>
      <xdr:row>117</xdr:row>
      <xdr:rowOff>182470</xdr:rowOff>
    </xdr:from>
    <xdr:to>
      <xdr:col>20</xdr:col>
      <xdr:colOff>228599</xdr:colOff>
      <xdr:row>118</xdr:row>
      <xdr:rowOff>182471</xdr:rowOff>
    </xdr:to>
    <xdr:sp macro="" textlink="">
      <xdr:nvSpPr>
        <xdr:cNvPr id="35" name="右中かっこ 34">
          <a:extLst>
            <a:ext uri="{FF2B5EF4-FFF2-40B4-BE49-F238E27FC236}">
              <a16:creationId xmlns:a16="http://schemas.microsoft.com/office/drawing/2014/main" id="{C4C0259B-2947-48D6-A0D6-A0DEB2C30F39}"/>
            </a:ext>
          </a:extLst>
        </xdr:cNvPr>
        <xdr:cNvSpPr/>
      </xdr:nvSpPr>
      <xdr:spPr>
        <a:xfrm rot="16200000">
          <a:off x="4583239" y="19748535"/>
          <a:ext cx="238126" cy="2101595"/>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21</xdr:col>
      <xdr:colOff>60580</xdr:colOff>
      <xdr:row>117</xdr:row>
      <xdr:rowOff>182472</xdr:rowOff>
    </xdr:from>
    <xdr:to>
      <xdr:col>28</xdr:col>
      <xdr:colOff>228600</xdr:colOff>
      <xdr:row>118</xdr:row>
      <xdr:rowOff>182473</xdr:rowOff>
    </xdr:to>
    <xdr:sp macro="" textlink="">
      <xdr:nvSpPr>
        <xdr:cNvPr id="36" name="右中かっこ 35">
          <a:extLst>
            <a:ext uri="{FF2B5EF4-FFF2-40B4-BE49-F238E27FC236}">
              <a16:creationId xmlns:a16="http://schemas.microsoft.com/office/drawing/2014/main" id="{2F797A2D-9E84-4C13-861D-02161D8A0C77}"/>
            </a:ext>
          </a:extLst>
        </xdr:cNvPr>
        <xdr:cNvSpPr/>
      </xdr:nvSpPr>
      <xdr:spPr>
        <a:xfrm rot="16200000">
          <a:off x="6793040" y="19748537"/>
          <a:ext cx="238126" cy="2101595"/>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29</xdr:col>
      <xdr:colOff>41531</xdr:colOff>
      <xdr:row>117</xdr:row>
      <xdr:rowOff>182469</xdr:rowOff>
    </xdr:from>
    <xdr:to>
      <xdr:col>32</xdr:col>
      <xdr:colOff>238126</xdr:colOff>
      <xdr:row>118</xdr:row>
      <xdr:rowOff>182470</xdr:rowOff>
    </xdr:to>
    <xdr:sp macro="" textlink="">
      <xdr:nvSpPr>
        <xdr:cNvPr id="37" name="右中かっこ 36">
          <a:extLst>
            <a:ext uri="{FF2B5EF4-FFF2-40B4-BE49-F238E27FC236}">
              <a16:creationId xmlns:a16="http://schemas.microsoft.com/office/drawing/2014/main" id="{848D74AD-C39C-4595-BCBF-900555A59029}"/>
            </a:ext>
          </a:extLst>
        </xdr:cNvPr>
        <xdr:cNvSpPr/>
      </xdr:nvSpPr>
      <xdr:spPr>
        <a:xfrm rot="16200000">
          <a:off x="8445628" y="20286697"/>
          <a:ext cx="238126" cy="1025270"/>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33</xdr:col>
      <xdr:colOff>60580</xdr:colOff>
      <xdr:row>117</xdr:row>
      <xdr:rowOff>172944</xdr:rowOff>
    </xdr:from>
    <xdr:to>
      <xdr:col>40</xdr:col>
      <xdr:colOff>228600</xdr:colOff>
      <xdr:row>118</xdr:row>
      <xdr:rowOff>172945</xdr:rowOff>
    </xdr:to>
    <xdr:sp macro="" textlink="">
      <xdr:nvSpPr>
        <xdr:cNvPr id="38" name="右中かっこ 37">
          <a:extLst>
            <a:ext uri="{FF2B5EF4-FFF2-40B4-BE49-F238E27FC236}">
              <a16:creationId xmlns:a16="http://schemas.microsoft.com/office/drawing/2014/main" id="{213F8C6E-788B-41DF-A7F7-66D83A4504D4}"/>
            </a:ext>
          </a:extLst>
        </xdr:cNvPr>
        <xdr:cNvSpPr/>
      </xdr:nvSpPr>
      <xdr:spPr>
        <a:xfrm rot="16200000">
          <a:off x="10107740" y="19739009"/>
          <a:ext cx="238126" cy="2101595"/>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41</xdr:col>
      <xdr:colOff>60581</xdr:colOff>
      <xdr:row>117</xdr:row>
      <xdr:rowOff>172946</xdr:rowOff>
    </xdr:from>
    <xdr:to>
      <xdr:col>48</xdr:col>
      <xdr:colOff>228601</xdr:colOff>
      <xdr:row>118</xdr:row>
      <xdr:rowOff>172947</xdr:rowOff>
    </xdr:to>
    <xdr:sp macro="" textlink="">
      <xdr:nvSpPr>
        <xdr:cNvPr id="39" name="右中かっこ 38">
          <a:extLst>
            <a:ext uri="{FF2B5EF4-FFF2-40B4-BE49-F238E27FC236}">
              <a16:creationId xmlns:a16="http://schemas.microsoft.com/office/drawing/2014/main" id="{2794856A-6E51-4B51-9F5D-72B2C439A713}"/>
            </a:ext>
          </a:extLst>
        </xdr:cNvPr>
        <xdr:cNvSpPr/>
      </xdr:nvSpPr>
      <xdr:spPr>
        <a:xfrm rot="16200000">
          <a:off x="12317541" y="19739011"/>
          <a:ext cx="238126" cy="2101595"/>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5</xdr:col>
      <xdr:colOff>51055</xdr:colOff>
      <xdr:row>117</xdr:row>
      <xdr:rowOff>191995</xdr:rowOff>
    </xdr:from>
    <xdr:to>
      <xdr:col>8</xdr:col>
      <xdr:colOff>247650</xdr:colOff>
      <xdr:row>118</xdr:row>
      <xdr:rowOff>191996</xdr:rowOff>
    </xdr:to>
    <xdr:sp macro="" textlink="">
      <xdr:nvSpPr>
        <xdr:cNvPr id="40" name="右中かっこ 39">
          <a:extLst>
            <a:ext uri="{FF2B5EF4-FFF2-40B4-BE49-F238E27FC236}">
              <a16:creationId xmlns:a16="http://schemas.microsoft.com/office/drawing/2014/main" id="{081040A2-00FA-4CE5-BDF0-588581D2B758}"/>
            </a:ext>
          </a:extLst>
        </xdr:cNvPr>
        <xdr:cNvSpPr/>
      </xdr:nvSpPr>
      <xdr:spPr>
        <a:xfrm rot="16200000">
          <a:off x="1825752" y="20296223"/>
          <a:ext cx="238126" cy="1025270"/>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9</xdr:col>
      <xdr:colOff>60581</xdr:colOff>
      <xdr:row>121</xdr:row>
      <xdr:rowOff>76202</xdr:rowOff>
    </xdr:from>
    <xdr:to>
      <xdr:col>28</xdr:col>
      <xdr:colOff>190500</xdr:colOff>
      <xdr:row>122</xdr:row>
      <xdr:rowOff>95253</xdr:rowOff>
    </xdr:to>
    <xdr:sp macro="" textlink="">
      <xdr:nvSpPr>
        <xdr:cNvPr id="41" name="右中かっこ 40">
          <a:extLst>
            <a:ext uri="{FF2B5EF4-FFF2-40B4-BE49-F238E27FC236}">
              <a16:creationId xmlns:a16="http://schemas.microsoft.com/office/drawing/2014/main" id="{4134FD0F-E179-4325-BEE4-ED09E6756924}"/>
            </a:ext>
          </a:extLst>
        </xdr:cNvPr>
        <xdr:cNvSpPr/>
      </xdr:nvSpPr>
      <xdr:spPr>
        <a:xfrm rot="16200000" flipH="1">
          <a:off x="5107115" y="18965993"/>
          <a:ext cx="257176" cy="5378194"/>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29</xdr:col>
      <xdr:colOff>51056</xdr:colOff>
      <xdr:row>121</xdr:row>
      <xdr:rowOff>76202</xdr:rowOff>
    </xdr:from>
    <xdr:to>
      <xdr:col>48</xdr:col>
      <xdr:colOff>180975</xdr:colOff>
      <xdr:row>122</xdr:row>
      <xdr:rowOff>95253</xdr:rowOff>
    </xdr:to>
    <xdr:sp macro="" textlink="">
      <xdr:nvSpPr>
        <xdr:cNvPr id="42" name="右中かっこ 41">
          <a:extLst>
            <a:ext uri="{FF2B5EF4-FFF2-40B4-BE49-F238E27FC236}">
              <a16:creationId xmlns:a16="http://schemas.microsoft.com/office/drawing/2014/main" id="{0F0EB1A9-793E-492C-B464-C57389636B93}"/>
            </a:ext>
          </a:extLst>
        </xdr:cNvPr>
        <xdr:cNvSpPr/>
      </xdr:nvSpPr>
      <xdr:spPr>
        <a:xfrm rot="16200000" flipH="1">
          <a:off x="10622090" y="18965993"/>
          <a:ext cx="257176" cy="5378194"/>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16</xdr:col>
      <xdr:colOff>106671</xdr:colOff>
      <xdr:row>122</xdr:row>
      <xdr:rowOff>163133</xdr:rowOff>
    </xdr:from>
    <xdr:to>
      <xdr:col>21</xdr:col>
      <xdr:colOff>161925</xdr:colOff>
      <xdr:row>124</xdr:row>
      <xdr:rowOff>61158</xdr:rowOff>
    </xdr:to>
    <xdr:sp macro="" textlink="">
      <xdr:nvSpPr>
        <xdr:cNvPr id="43" name="正方形/長方形 42">
          <a:extLst>
            <a:ext uri="{FF2B5EF4-FFF2-40B4-BE49-F238E27FC236}">
              <a16:creationId xmlns:a16="http://schemas.microsoft.com/office/drawing/2014/main" id="{A89119B0-467B-4972-969D-32FC4A87C134}"/>
            </a:ext>
          </a:extLst>
        </xdr:cNvPr>
        <xdr:cNvSpPr/>
      </xdr:nvSpPr>
      <xdr:spPr>
        <a:xfrm>
          <a:off x="4526271" y="21851558"/>
          <a:ext cx="1436379" cy="3742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波形シーケンス</a:t>
          </a:r>
          <a:endParaRPr kumimoji="1" lang="en-US" altLang="ja-JP" sz="1100">
            <a:solidFill>
              <a:schemeClr val="tx1"/>
            </a:solidFill>
          </a:endParaRPr>
        </a:p>
      </xdr:txBody>
    </xdr:sp>
    <xdr:clientData/>
  </xdr:twoCellAnchor>
  <xdr:twoCellAnchor>
    <xdr:from>
      <xdr:col>36</xdr:col>
      <xdr:colOff>106671</xdr:colOff>
      <xdr:row>122</xdr:row>
      <xdr:rowOff>144083</xdr:rowOff>
    </xdr:from>
    <xdr:to>
      <xdr:col>41</xdr:col>
      <xdr:colOff>161925</xdr:colOff>
      <xdr:row>124</xdr:row>
      <xdr:rowOff>42108</xdr:rowOff>
    </xdr:to>
    <xdr:sp macro="" textlink="">
      <xdr:nvSpPr>
        <xdr:cNvPr id="44" name="正方形/長方形 43">
          <a:extLst>
            <a:ext uri="{FF2B5EF4-FFF2-40B4-BE49-F238E27FC236}">
              <a16:creationId xmlns:a16="http://schemas.microsoft.com/office/drawing/2014/main" id="{4D9A813C-E1C8-4658-8312-2075685DD80B}"/>
            </a:ext>
          </a:extLst>
        </xdr:cNvPr>
        <xdr:cNvSpPr/>
      </xdr:nvSpPr>
      <xdr:spPr>
        <a:xfrm>
          <a:off x="10050771" y="21832508"/>
          <a:ext cx="1436379" cy="3742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波形シーケンス</a:t>
          </a:r>
          <a:endParaRPr kumimoji="1" lang="en-US" altLang="ja-JP" sz="1100">
            <a:solidFill>
              <a:schemeClr val="tx1"/>
            </a:solidFill>
          </a:endParaRPr>
        </a:p>
      </xdr:txBody>
    </xdr:sp>
    <xdr:clientData/>
  </xdr:twoCellAnchor>
  <xdr:twoCellAnchor>
    <xdr:from>
      <xdr:col>5</xdr:col>
      <xdr:colOff>32007</xdr:colOff>
      <xdr:row>114</xdr:row>
      <xdr:rowOff>152403</xdr:rowOff>
    </xdr:from>
    <xdr:to>
      <xdr:col>48</xdr:col>
      <xdr:colOff>247654</xdr:colOff>
      <xdr:row>115</xdr:row>
      <xdr:rowOff>190500</xdr:rowOff>
    </xdr:to>
    <xdr:sp macro="" textlink="">
      <xdr:nvSpPr>
        <xdr:cNvPr id="45" name="右中かっこ 44">
          <a:extLst>
            <a:ext uri="{FF2B5EF4-FFF2-40B4-BE49-F238E27FC236}">
              <a16:creationId xmlns:a16="http://schemas.microsoft.com/office/drawing/2014/main" id="{D5D6C65C-0934-4121-B36B-8633895A55BB}"/>
            </a:ext>
          </a:extLst>
        </xdr:cNvPr>
        <xdr:cNvSpPr/>
      </xdr:nvSpPr>
      <xdr:spPr>
        <a:xfrm rot="16200000">
          <a:off x="7321682" y="14027278"/>
          <a:ext cx="276222" cy="12093322"/>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24</xdr:col>
      <xdr:colOff>116196</xdr:colOff>
      <xdr:row>113</xdr:row>
      <xdr:rowOff>29783</xdr:rowOff>
    </xdr:from>
    <xdr:to>
      <xdr:col>29</xdr:col>
      <xdr:colOff>171450</xdr:colOff>
      <xdr:row>114</xdr:row>
      <xdr:rowOff>165933</xdr:rowOff>
    </xdr:to>
    <xdr:sp macro="" textlink="">
      <xdr:nvSpPr>
        <xdr:cNvPr id="46" name="正方形/長方形 45">
          <a:extLst>
            <a:ext uri="{FF2B5EF4-FFF2-40B4-BE49-F238E27FC236}">
              <a16:creationId xmlns:a16="http://schemas.microsoft.com/office/drawing/2014/main" id="{4AD25040-85E8-4161-B7EC-59167B103DE3}"/>
            </a:ext>
          </a:extLst>
        </xdr:cNvPr>
        <xdr:cNvSpPr/>
      </xdr:nvSpPr>
      <xdr:spPr>
        <a:xfrm>
          <a:off x="6745596" y="19575083"/>
          <a:ext cx="1436379" cy="3742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ユーザ定義波形</a:t>
          </a:r>
          <a:endParaRPr kumimoji="1" lang="en-US" altLang="ja-JP" sz="1100">
            <a:solidFill>
              <a:schemeClr val="tx1"/>
            </a:solidFill>
          </a:endParaRPr>
        </a:p>
      </xdr:txBody>
    </xdr:sp>
    <xdr:clientData/>
  </xdr:twoCellAnchor>
  <xdr:twoCellAnchor>
    <xdr:from>
      <xdr:col>5</xdr:col>
      <xdr:colOff>0</xdr:colOff>
      <xdr:row>77</xdr:row>
      <xdr:rowOff>9525</xdr:rowOff>
    </xdr:from>
    <xdr:to>
      <xdr:col>31</xdr:col>
      <xdr:colOff>0</xdr:colOff>
      <xdr:row>77</xdr:row>
      <xdr:rowOff>9525</xdr:rowOff>
    </xdr:to>
    <xdr:cxnSp macro="">
      <xdr:nvCxnSpPr>
        <xdr:cNvPr id="47" name="直線矢印コネクタ 46">
          <a:extLst>
            <a:ext uri="{FF2B5EF4-FFF2-40B4-BE49-F238E27FC236}">
              <a16:creationId xmlns:a16="http://schemas.microsoft.com/office/drawing/2014/main" id="{14E513AB-DF60-4185-9045-4665B30780B4}"/>
            </a:ext>
          </a:extLst>
        </xdr:cNvPr>
        <xdr:cNvCxnSpPr/>
      </xdr:nvCxnSpPr>
      <xdr:spPr>
        <a:xfrm>
          <a:off x="1381125" y="15030450"/>
          <a:ext cx="7181850"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2199</xdr:colOff>
      <xdr:row>72</xdr:row>
      <xdr:rowOff>172853</xdr:rowOff>
    </xdr:from>
    <xdr:to>
      <xdr:col>11</xdr:col>
      <xdr:colOff>247653</xdr:colOff>
      <xdr:row>73</xdr:row>
      <xdr:rowOff>172854</xdr:rowOff>
    </xdr:to>
    <xdr:sp macro="" textlink="">
      <xdr:nvSpPr>
        <xdr:cNvPr id="48" name="右中かっこ 47">
          <a:extLst>
            <a:ext uri="{FF2B5EF4-FFF2-40B4-BE49-F238E27FC236}">
              <a16:creationId xmlns:a16="http://schemas.microsoft.com/office/drawing/2014/main" id="{36BBADCD-91BE-4AC9-9E4A-77E1872011EF}"/>
            </a:ext>
          </a:extLst>
        </xdr:cNvPr>
        <xdr:cNvSpPr/>
      </xdr:nvSpPr>
      <xdr:spPr>
        <a:xfrm rot="16200000">
          <a:off x="2353776" y="13308926"/>
          <a:ext cx="238126" cy="1626579"/>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7</xdr:col>
      <xdr:colOff>15818</xdr:colOff>
      <xdr:row>71</xdr:row>
      <xdr:rowOff>125013</xdr:rowOff>
    </xdr:from>
    <xdr:to>
      <xdr:col>10</xdr:col>
      <xdr:colOff>238125</xdr:colOff>
      <xdr:row>72</xdr:row>
      <xdr:rowOff>216212</xdr:rowOff>
    </xdr:to>
    <xdr:sp macro="" textlink="">
      <xdr:nvSpPr>
        <xdr:cNvPr id="49" name="正方形/長方形 48">
          <a:extLst>
            <a:ext uri="{FF2B5EF4-FFF2-40B4-BE49-F238E27FC236}">
              <a16:creationId xmlns:a16="http://schemas.microsoft.com/office/drawing/2014/main" id="{26EF5135-7DDD-4060-8C08-1C9DFCF3C0A4}"/>
            </a:ext>
          </a:extLst>
        </xdr:cNvPr>
        <xdr:cNvSpPr/>
      </xdr:nvSpPr>
      <xdr:spPr>
        <a:xfrm>
          <a:off x="1949393" y="13717188"/>
          <a:ext cx="1050982" cy="32932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1.44676 [us]</a:t>
          </a:r>
          <a:endParaRPr kumimoji="1" lang="ja-JP" altLang="en-US" sz="1100">
            <a:solidFill>
              <a:schemeClr val="tx1"/>
            </a:solidFill>
          </a:endParaRPr>
        </a:p>
      </xdr:txBody>
    </xdr:sp>
    <xdr:clientData/>
  </xdr:twoCellAnchor>
  <xdr:twoCellAnchor>
    <xdr:from>
      <xdr:col>12</xdr:col>
      <xdr:colOff>31271</xdr:colOff>
      <xdr:row>72</xdr:row>
      <xdr:rowOff>172853</xdr:rowOff>
    </xdr:from>
    <xdr:to>
      <xdr:col>19</xdr:col>
      <xdr:colOff>247649</xdr:colOff>
      <xdr:row>73</xdr:row>
      <xdr:rowOff>172854</xdr:rowOff>
    </xdr:to>
    <xdr:sp macro="" textlink="">
      <xdr:nvSpPr>
        <xdr:cNvPr id="50" name="右中かっこ 49">
          <a:extLst>
            <a:ext uri="{FF2B5EF4-FFF2-40B4-BE49-F238E27FC236}">
              <a16:creationId xmlns:a16="http://schemas.microsoft.com/office/drawing/2014/main" id="{1DCDBFA0-707E-429C-B8DE-D612BE63CCB8}"/>
            </a:ext>
          </a:extLst>
        </xdr:cNvPr>
        <xdr:cNvSpPr/>
      </xdr:nvSpPr>
      <xdr:spPr>
        <a:xfrm rot="16200000">
          <a:off x="4301885" y="13047239"/>
          <a:ext cx="238126" cy="2149953"/>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14</xdr:col>
      <xdr:colOff>77363</xdr:colOff>
      <xdr:row>71</xdr:row>
      <xdr:rowOff>125013</xdr:rowOff>
    </xdr:from>
    <xdr:to>
      <xdr:col>17</xdr:col>
      <xdr:colOff>190500</xdr:colOff>
      <xdr:row>72</xdr:row>
      <xdr:rowOff>208884</xdr:rowOff>
    </xdr:to>
    <xdr:sp macro="" textlink="">
      <xdr:nvSpPr>
        <xdr:cNvPr id="51" name="正方形/長方形 50">
          <a:extLst>
            <a:ext uri="{FF2B5EF4-FFF2-40B4-BE49-F238E27FC236}">
              <a16:creationId xmlns:a16="http://schemas.microsoft.com/office/drawing/2014/main" id="{55BAD706-2338-4E2A-A9B0-C60E8BA1FDCD}"/>
            </a:ext>
          </a:extLst>
        </xdr:cNvPr>
        <xdr:cNvSpPr/>
      </xdr:nvSpPr>
      <xdr:spPr>
        <a:xfrm>
          <a:off x="3944513" y="13717188"/>
          <a:ext cx="941812" cy="32199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2.17014 [us]</a:t>
          </a:r>
          <a:endParaRPr kumimoji="1" lang="ja-JP" altLang="en-US" sz="1100">
            <a:solidFill>
              <a:schemeClr val="tx1"/>
            </a:solidFill>
          </a:endParaRPr>
        </a:p>
      </xdr:txBody>
    </xdr:sp>
    <xdr:clientData/>
  </xdr:twoCellAnchor>
  <xdr:twoCellAnchor>
    <xdr:from>
      <xdr:col>20</xdr:col>
      <xdr:colOff>19053</xdr:colOff>
      <xdr:row>72</xdr:row>
      <xdr:rowOff>173586</xdr:rowOff>
    </xdr:from>
    <xdr:to>
      <xdr:col>29</xdr:col>
      <xdr:colOff>257175</xdr:colOff>
      <xdr:row>73</xdr:row>
      <xdr:rowOff>173587</xdr:rowOff>
    </xdr:to>
    <xdr:sp macro="" textlink="">
      <xdr:nvSpPr>
        <xdr:cNvPr id="52" name="右中かっこ 51">
          <a:extLst>
            <a:ext uri="{FF2B5EF4-FFF2-40B4-BE49-F238E27FC236}">
              <a16:creationId xmlns:a16="http://schemas.microsoft.com/office/drawing/2014/main" id="{2896D42A-8046-442E-BC68-0B24965684E5}"/>
            </a:ext>
          </a:extLst>
        </xdr:cNvPr>
        <xdr:cNvSpPr/>
      </xdr:nvSpPr>
      <xdr:spPr>
        <a:xfrm rot="16200000">
          <a:off x="6786564" y="12760875"/>
          <a:ext cx="238126" cy="2724147"/>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22</xdr:col>
      <xdr:colOff>257175</xdr:colOff>
      <xdr:row>71</xdr:row>
      <xdr:rowOff>125013</xdr:rowOff>
    </xdr:from>
    <xdr:to>
      <xdr:col>27</xdr:col>
      <xdr:colOff>9525</xdr:colOff>
      <xdr:row>72</xdr:row>
      <xdr:rowOff>214746</xdr:rowOff>
    </xdr:to>
    <xdr:sp macro="" textlink="">
      <xdr:nvSpPr>
        <xdr:cNvPr id="53" name="正方形/長方形 52">
          <a:extLst>
            <a:ext uri="{FF2B5EF4-FFF2-40B4-BE49-F238E27FC236}">
              <a16:creationId xmlns:a16="http://schemas.microsoft.com/office/drawing/2014/main" id="{729FB25C-8B76-40E0-B576-CE9B0B638E37}"/>
            </a:ext>
          </a:extLst>
        </xdr:cNvPr>
        <xdr:cNvSpPr/>
      </xdr:nvSpPr>
      <xdr:spPr>
        <a:xfrm>
          <a:off x="6334125" y="13717188"/>
          <a:ext cx="1133475" cy="32785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2.89352 [us]</a:t>
          </a:r>
          <a:endParaRPr kumimoji="1" lang="ja-JP" altLang="en-US" sz="1100">
            <a:solidFill>
              <a:schemeClr val="tx1"/>
            </a:solidFill>
          </a:endParaRPr>
        </a:p>
      </xdr:txBody>
    </xdr:sp>
    <xdr:clientData/>
  </xdr:twoCellAnchor>
  <xdr:twoCellAnchor>
    <xdr:from>
      <xdr:col>28</xdr:col>
      <xdr:colOff>192279</xdr:colOff>
      <xdr:row>77</xdr:row>
      <xdr:rowOff>43857</xdr:rowOff>
    </xdr:from>
    <xdr:to>
      <xdr:col>30</xdr:col>
      <xdr:colOff>255710</xdr:colOff>
      <xdr:row>78</xdr:row>
      <xdr:rowOff>114300</xdr:rowOff>
    </xdr:to>
    <xdr:sp macro="" textlink="">
      <xdr:nvSpPr>
        <xdr:cNvPr id="54" name="正方形/長方形 53">
          <a:extLst>
            <a:ext uri="{FF2B5EF4-FFF2-40B4-BE49-F238E27FC236}">
              <a16:creationId xmlns:a16="http://schemas.microsoft.com/office/drawing/2014/main" id="{3397C48B-37B2-4A63-8C0A-90CFEC9D2362}"/>
            </a:ext>
          </a:extLst>
        </xdr:cNvPr>
        <xdr:cNvSpPr/>
      </xdr:nvSpPr>
      <xdr:spPr>
        <a:xfrm>
          <a:off x="7926579" y="15064782"/>
          <a:ext cx="615881" cy="30856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r>
            <a:rPr kumimoji="1" lang="ja-JP" altLang="en-US" sz="1100">
              <a:solidFill>
                <a:schemeClr val="tx1"/>
              </a:solidFill>
            </a:rPr>
            <a:t>時間</a:t>
          </a:r>
        </a:p>
      </xdr:txBody>
    </xdr:sp>
    <xdr:clientData/>
  </xdr:twoCellAnchor>
  <xdr:twoCellAnchor>
    <xdr:from>
      <xdr:col>5</xdr:col>
      <xdr:colOff>0</xdr:colOff>
      <xdr:row>102</xdr:row>
      <xdr:rowOff>9525</xdr:rowOff>
    </xdr:from>
    <xdr:to>
      <xdr:col>13</xdr:col>
      <xdr:colOff>53578</xdr:colOff>
      <xdr:row>102</xdr:row>
      <xdr:rowOff>9525</xdr:rowOff>
    </xdr:to>
    <xdr:cxnSp macro="">
      <xdr:nvCxnSpPr>
        <xdr:cNvPr id="55" name="直線矢印コネクタ 54">
          <a:extLst>
            <a:ext uri="{FF2B5EF4-FFF2-40B4-BE49-F238E27FC236}">
              <a16:creationId xmlns:a16="http://schemas.microsoft.com/office/drawing/2014/main" id="{6707C8F3-5A16-4236-A1C3-E2124F146BB8}"/>
            </a:ext>
          </a:extLst>
        </xdr:cNvPr>
        <xdr:cNvCxnSpPr/>
      </xdr:nvCxnSpPr>
      <xdr:spPr>
        <a:xfrm>
          <a:off x="1381125" y="16935450"/>
          <a:ext cx="2263378"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4579</xdr:colOff>
      <xdr:row>97</xdr:row>
      <xdr:rowOff>172853</xdr:rowOff>
    </xdr:from>
    <xdr:to>
      <xdr:col>8</xdr:col>
      <xdr:colOff>263769</xdr:colOff>
      <xdr:row>98</xdr:row>
      <xdr:rowOff>172854</xdr:rowOff>
    </xdr:to>
    <xdr:sp macro="" textlink="">
      <xdr:nvSpPr>
        <xdr:cNvPr id="56" name="右中かっこ 55">
          <a:extLst>
            <a:ext uri="{FF2B5EF4-FFF2-40B4-BE49-F238E27FC236}">
              <a16:creationId xmlns:a16="http://schemas.microsoft.com/office/drawing/2014/main" id="{86366A6A-7BB9-446A-90EC-1A516483EE78}"/>
            </a:ext>
          </a:extLst>
        </xdr:cNvPr>
        <xdr:cNvSpPr/>
      </xdr:nvSpPr>
      <xdr:spPr>
        <a:xfrm rot="16200000">
          <a:off x="1948686" y="15621396"/>
          <a:ext cx="238126" cy="811640"/>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6</xdr:col>
      <xdr:colOff>55572</xdr:colOff>
      <xdr:row>96</xdr:row>
      <xdr:rowOff>119060</xdr:rowOff>
    </xdr:from>
    <xdr:to>
      <xdr:col>8</xdr:col>
      <xdr:colOff>231910</xdr:colOff>
      <xdr:row>97</xdr:row>
      <xdr:rowOff>210259</xdr:rowOff>
    </xdr:to>
    <xdr:sp macro="" textlink="">
      <xdr:nvSpPr>
        <xdr:cNvPr id="57" name="正方形/長方形 56">
          <a:extLst>
            <a:ext uri="{FF2B5EF4-FFF2-40B4-BE49-F238E27FC236}">
              <a16:creationId xmlns:a16="http://schemas.microsoft.com/office/drawing/2014/main" id="{7A04279F-3660-4C20-B6ED-E78CDCCD7780}"/>
            </a:ext>
          </a:extLst>
        </xdr:cNvPr>
        <xdr:cNvSpPr/>
      </xdr:nvSpPr>
      <xdr:spPr>
        <a:xfrm>
          <a:off x="1712922" y="15616235"/>
          <a:ext cx="728788" cy="32932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4 [s]</a:t>
          </a:r>
          <a:endParaRPr kumimoji="1" lang="ja-JP" altLang="en-US" sz="1100">
            <a:solidFill>
              <a:schemeClr val="tx1"/>
            </a:solidFill>
          </a:endParaRPr>
        </a:p>
      </xdr:txBody>
    </xdr:sp>
    <xdr:clientData/>
  </xdr:twoCellAnchor>
  <xdr:twoCellAnchor>
    <xdr:from>
      <xdr:col>9</xdr:col>
      <xdr:colOff>21749</xdr:colOff>
      <xdr:row>97</xdr:row>
      <xdr:rowOff>172852</xdr:rowOff>
    </xdr:from>
    <xdr:to>
      <xdr:col>11</xdr:col>
      <xdr:colOff>261941</xdr:colOff>
      <xdr:row>98</xdr:row>
      <xdr:rowOff>172853</xdr:rowOff>
    </xdr:to>
    <xdr:sp macro="" textlink="">
      <xdr:nvSpPr>
        <xdr:cNvPr id="58" name="右中かっこ 57">
          <a:extLst>
            <a:ext uri="{FF2B5EF4-FFF2-40B4-BE49-F238E27FC236}">
              <a16:creationId xmlns:a16="http://schemas.microsoft.com/office/drawing/2014/main" id="{2DDE6E4E-004C-4456-8C9A-903BABF4A5BA}"/>
            </a:ext>
          </a:extLst>
        </xdr:cNvPr>
        <xdr:cNvSpPr/>
      </xdr:nvSpPr>
      <xdr:spPr>
        <a:xfrm rot="16200000">
          <a:off x="2785032" y="15630894"/>
          <a:ext cx="238126" cy="792642"/>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9</xdr:col>
      <xdr:colOff>177581</xdr:colOff>
      <xdr:row>96</xdr:row>
      <xdr:rowOff>119060</xdr:rowOff>
    </xdr:from>
    <xdr:to>
      <xdr:col>11</xdr:col>
      <xdr:colOff>149085</xdr:colOff>
      <xdr:row>97</xdr:row>
      <xdr:rowOff>202931</xdr:rowOff>
    </xdr:to>
    <xdr:sp macro="" textlink="">
      <xdr:nvSpPr>
        <xdr:cNvPr id="59" name="正方形/長方形 58">
          <a:extLst>
            <a:ext uri="{FF2B5EF4-FFF2-40B4-BE49-F238E27FC236}">
              <a16:creationId xmlns:a16="http://schemas.microsoft.com/office/drawing/2014/main" id="{66B38D2C-F379-4316-972A-0CBF5E753DAE}"/>
            </a:ext>
          </a:extLst>
        </xdr:cNvPr>
        <xdr:cNvSpPr/>
      </xdr:nvSpPr>
      <xdr:spPr>
        <a:xfrm>
          <a:off x="2663606" y="15616235"/>
          <a:ext cx="523954" cy="32199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4 [s]</a:t>
          </a:r>
          <a:endParaRPr kumimoji="1" lang="ja-JP" altLang="en-US" sz="1100">
            <a:solidFill>
              <a:schemeClr val="tx1"/>
            </a:solidFill>
          </a:endParaRPr>
        </a:p>
      </xdr:txBody>
    </xdr:sp>
    <xdr:clientData/>
  </xdr:twoCellAnchor>
  <xdr:twoCellAnchor>
    <xdr:from>
      <xdr:col>11</xdr:col>
      <xdr:colOff>57747</xdr:colOff>
      <xdr:row>102</xdr:row>
      <xdr:rowOff>43857</xdr:rowOff>
    </xdr:from>
    <xdr:to>
      <xdr:col>13</xdr:col>
      <xdr:colOff>118796</xdr:colOff>
      <xdr:row>103</xdr:row>
      <xdr:rowOff>66675</xdr:rowOff>
    </xdr:to>
    <xdr:sp macro="" textlink="">
      <xdr:nvSpPr>
        <xdr:cNvPr id="60" name="正方形/長方形 59">
          <a:extLst>
            <a:ext uri="{FF2B5EF4-FFF2-40B4-BE49-F238E27FC236}">
              <a16:creationId xmlns:a16="http://schemas.microsoft.com/office/drawing/2014/main" id="{AB468F15-8FCF-4285-844D-8A586813B866}"/>
            </a:ext>
          </a:extLst>
        </xdr:cNvPr>
        <xdr:cNvSpPr/>
      </xdr:nvSpPr>
      <xdr:spPr>
        <a:xfrm>
          <a:off x="3096222" y="16969782"/>
          <a:ext cx="613499" cy="26094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r>
            <a:rPr kumimoji="1" lang="ja-JP" altLang="en-US" sz="1100">
              <a:solidFill>
                <a:schemeClr val="tx1"/>
              </a:solidFill>
            </a:rPr>
            <a:t>時間</a:t>
          </a:r>
        </a:p>
      </xdr:txBody>
    </xdr:sp>
    <xdr:clientData/>
  </xdr:twoCellAnchor>
  <xdr:twoCellAnchor>
    <xdr:from>
      <xdr:col>5</xdr:col>
      <xdr:colOff>0</xdr:colOff>
      <xdr:row>110</xdr:row>
      <xdr:rowOff>9525</xdr:rowOff>
    </xdr:from>
    <xdr:to>
      <xdr:col>16</xdr:col>
      <xdr:colOff>35719</xdr:colOff>
      <xdr:row>110</xdr:row>
      <xdr:rowOff>9525</xdr:rowOff>
    </xdr:to>
    <xdr:cxnSp macro="">
      <xdr:nvCxnSpPr>
        <xdr:cNvPr id="61" name="直線矢印コネクタ 60">
          <a:extLst>
            <a:ext uri="{FF2B5EF4-FFF2-40B4-BE49-F238E27FC236}">
              <a16:creationId xmlns:a16="http://schemas.microsoft.com/office/drawing/2014/main" id="{54ED8A93-F040-4714-8FD2-4B983C518946}"/>
            </a:ext>
          </a:extLst>
        </xdr:cNvPr>
        <xdr:cNvCxnSpPr/>
      </xdr:nvCxnSpPr>
      <xdr:spPr>
        <a:xfrm>
          <a:off x="1381125" y="18840450"/>
          <a:ext cx="3074194"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4579</xdr:colOff>
      <xdr:row>105</xdr:row>
      <xdr:rowOff>172853</xdr:rowOff>
    </xdr:from>
    <xdr:to>
      <xdr:col>8</xdr:col>
      <xdr:colOff>263769</xdr:colOff>
      <xdr:row>106</xdr:row>
      <xdr:rowOff>172854</xdr:rowOff>
    </xdr:to>
    <xdr:sp macro="" textlink="">
      <xdr:nvSpPr>
        <xdr:cNvPr id="62" name="右中かっこ 61">
          <a:extLst>
            <a:ext uri="{FF2B5EF4-FFF2-40B4-BE49-F238E27FC236}">
              <a16:creationId xmlns:a16="http://schemas.microsoft.com/office/drawing/2014/main" id="{D7058A1B-B646-49C1-B958-D3EC9B979C4A}"/>
            </a:ext>
          </a:extLst>
        </xdr:cNvPr>
        <xdr:cNvSpPr/>
      </xdr:nvSpPr>
      <xdr:spPr>
        <a:xfrm rot="16200000">
          <a:off x="1948686" y="17526396"/>
          <a:ext cx="238126" cy="811640"/>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6</xdr:col>
      <xdr:colOff>55572</xdr:colOff>
      <xdr:row>104</xdr:row>
      <xdr:rowOff>119060</xdr:rowOff>
    </xdr:from>
    <xdr:to>
      <xdr:col>8</xdr:col>
      <xdr:colOff>231910</xdr:colOff>
      <xdr:row>105</xdr:row>
      <xdr:rowOff>210259</xdr:rowOff>
    </xdr:to>
    <xdr:sp macro="" textlink="">
      <xdr:nvSpPr>
        <xdr:cNvPr id="63" name="正方形/長方形 62">
          <a:extLst>
            <a:ext uri="{FF2B5EF4-FFF2-40B4-BE49-F238E27FC236}">
              <a16:creationId xmlns:a16="http://schemas.microsoft.com/office/drawing/2014/main" id="{C3AC3D53-BBCC-4D66-A91C-D582CE96837A}"/>
            </a:ext>
          </a:extLst>
        </xdr:cNvPr>
        <xdr:cNvSpPr/>
      </xdr:nvSpPr>
      <xdr:spPr>
        <a:xfrm>
          <a:off x="1712922" y="17521235"/>
          <a:ext cx="728788" cy="32932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4 [s]</a:t>
          </a:r>
          <a:endParaRPr kumimoji="1" lang="ja-JP" altLang="en-US" sz="1100">
            <a:solidFill>
              <a:schemeClr val="tx1"/>
            </a:solidFill>
          </a:endParaRPr>
        </a:p>
      </xdr:txBody>
    </xdr:sp>
    <xdr:clientData/>
  </xdr:twoCellAnchor>
  <xdr:twoCellAnchor>
    <xdr:from>
      <xdr:col>9</xdr:col>
      <xdr:colOff>21749</xdr:colOff>
      <xdr:row>105</xdr:row>
      <xdr:rowOff>172852</xdr:rowOff>
    </xdr:from>
    <xdr:to>
      <xdr:col>11</xdr:col>
      <xdr:colOff>261941</xdr:colOff>
      <xdr:row>106</xdr:row>
      <xdr:rowOff>172853</xdr:rowOff>
    </xdr:to>
    <xdr:sp macro="" textlink="">
      <xdr:nvSpPr>
        <xdr:cNvPr id="64" name="右中かっこ 63">
          <a:extLst>
            <a:ext uri="{FF2B5EF4-FFF2-40B4-BE49-F238E27FC236}">
              <a16:creationId xmlns:a16="http://schemas.microsoft.com/office/drawing/2014/main" id="{D6639C3A-D1CC-4F45-9722-D9A3BE4784C9}"/>
            </a:ext>
          </a:extLst>
        </xdr:cNvPr>
        <xdr:cNvSpPr/>
      </xdr:nvSpPr>
      <xdr:spPr>
        <a:xfrm rot="16200000">
          <a:off x="2785032" y="17535894"/>
          <a:ext cx="238126" cy="792642"/>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9</xdr:col>
      <xdr:colOff>177581</xdr:colOff>
      <xdr:row>104</xdr:row>
      <xdr:rowOff>119060</xdr:rowOff>
    </xdr:from>
    <xdr:to>
      <xdr:col>11</xdr:col>
      <xdr:colOff>149085</xdr:colOff>
      <xdr:row>105</xdr:row>
      <xdr:rowOff>202931</xdr:rowOff>
    </xdr:to>
    <xdr:sp macro="" textlink="">
      <xdr:nvSpPr>
        <xdr:cNvPr id="65" name="正方形/長方形 64">
          <a:extLst>
            <a:ext uri="{FF2B5EF4-FFF2-40B4-BE49-F238E27FC236}">
              <a16:creationId xmlns:a16="http://schemas.microsoft.com/office/drawing/2014/main" id="{CA03597D-DDB1-498D-9388-E19AD323FB21}"/>
            </a:ext>
          </a:extLst>
        </xdr:cNvPr>
        <xdr:cNvSpPr/>
      </xdr:nvSpPr>
      <xdr:spPr>
        <a:xfrm>
          <a:off x="2663606" y="17521235"/>
          <a:ext cx="523954" cy="32199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4 [s]</a:t>
          </a:r>
          <a:endParaRPr kumimoji="1" lang="ja-JP" altLang="en-US" sz="1100">
            <a:solidFill>
              <a:schemeClr val="tx1"/>
            </a:solidFill>
          </a:endParaRPr>
        </a:p>
      </xdr:txBody>
    </xdr:sp>
    <xdr:clientData/>
  </xdr:twoCellAnchor>
  <xdr:twoCellAnchor>
    <xdr:from>
      <xdr:col>13</xdr:col>
      <xdr:colOff>248246</xdr:colOff>
      <xdr:row>110</xdr:row>
      <xdr:rowOff>43857</xdr:rowOff>
    </xdr:from>
    <xdr:to>
      <xdr:col>16</xdr:col>
      <xdr:colOff>35452</xdr:colOff>
      <xdr:row>111</xdr:row>
      <xdr:rowOff>66675</xdr:rowOff>
    </xdr:to>
    <xdr:sp macro="" textlink="">
      <xdr:nvSpPr>
        <xdr:cNvPr id="66" name="正方形/長方形 65">
          <a:extLst>
            <a:ext uri="{FF2B5EF4-FFF2-40B4-BE49-F238E27FC236}">
              <a16:creationId xmlns:a16="http://schemas.microsoft.com/office/drawing/2014/main" id="{86DEACCA-6B37-48E3-B885-7BB5F4660E0C}"/>
            </a:ext>
          </a:extLst>
        </xdr:cNvPr>
        <xdr:cNvSpPr/>
      </xdr:nvSpPr>
      <xdr:spPr>
        <a:xfrm>
          <a:off x="3839171" y="18874782"/>
          <a:ext cx="615881" cy="26094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r>
            <a:rPr kumimoji="1" lang="ja-JP" altLang="en-US" sz="1100">
              <a:solidFill>
                <a:schemeClr val="tx1"/>
              </a:solidFill>
            </a:rPr>
            <a:t>時間</a:t>
          </a:r>
        </a:p>
      </xdr:txBody>
    </xdr:sp>
    <xdr:clientData/>
  </xdr:twoCellAnchor>
  <xdr:twoCellAnchor>
    <xdr:from>
      <xdr:col>12</xdr:col>
      <xdr:colOff>25322</xdr:colOff>
      <xdr:row>105</xdr:row>
      <xdr:rowOff>170470</xdr:rowOff>
    </xdr:from>
    <xdr:to>
      <xdr:col>14</xdr:col>
      <xdr:colOff>265513</xdr:colOff>
      <xdr:row>106</xdr:row>
      <xdr:rowOff>170471</xdr:rowOff>
    </xdr:to>
    <xdr:sp macro="" textlink="">
      <xdr:nvSpPr>
        <xdr:cNvPr id="67" name="右中かっこ 66">
          <a:extLst>
            <a:ext uri="{FF2B5EF4-FFF2-40B4-BE49-F238E27FC236}">
              <a16:creationId xmlns:a16="http://schemas.microsoft.com/office/drawing/2014/main" id="{9946E612-5DA9-471A-9DBE-762522C76A85}"/>
            </a:ext>
          </a:extLst>
        </xdr:cNvPr>
        <xdr:cNvSpPr/>
      </xdr:nvSpPr>
      <xdr:spPr>
        <a:xfrm rot="16200000">
          <a:off x="3617280" y="17533512"/>
          <a:ext cx="238126" cy="792641"/>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12</xdr:col>
      <xdr:colOff>181154</xdr:colOff>
      <xdr:row>104</xdr:row>
      <xdr:rowOff>116678</xdr:rowOff>
    </xdr:from>
    <xdr:to>
      <xdr:col>14</xdr:col>
      <xdr:colOff>152657</xdr:colOff>
      <xdr:row>105</xdr:row>
      <xdr:rowOff>200549</xdr:rowOff>
    </xdr:to>
    <xdr:sp macro="" textlink="">
      <xdr:nvSpPr>
        <xdr:cNvPr id="68" name="正方形/長方形 67">
          <a:extLst>
            <a:ext uri="{FF2B5EF4-FFF2-40B4-BE49-F238E27FC236}">
              <a16:creationId xmlns:a16="http://schemas.microsoft.com/office/drawing/2014/main" id="{4288548E-8932-4805-8FF6-DA60805EA9BC}"/>
            </a:ext>
          </a:extLst>
        </xdr:cNvPr>
        <xdr:cNvSpPr/>
      </xdr:nvSpPr>
      <xdr:spPr>
        <a:xfrm>
          <a:off x="3495854" y="17518853"/>
          <a:ext cx="523953" cy="32199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4 [s]</a:t>
          </a:r>
          <a:endParaRPr kumimoji="1" lang="ja-JP" altLang="en-US" sz="1100">
            <a:solidFill>
              <a:schemeClr val="tx1"/>
            </a:solidFill>
          </a:endParaRPr>
        </a:p>
      </xdr:txBody>
    </xdr:sp>
    <xdr:clientData/>
  </xdr:twoCellAnchor>
  <xdr:twoCellAnchor>
    <xdr:from>
      <xdr:col>23</xdr:col>
      <xdr:colOff>28575</xdr:colOff>
      <xdr:row>33</xdr:row>
      <xdr:rowOff>228600</xdr:rowOff>
    </xdr:from>
    <xdr:to>
      <xdr:col>25</xdr:col>
      <xdr:colOff>9525</xdr:colOff>
      <xdr:row>34</xdr:row>
      <xdr:rowOff>209550</xdr:rowOff>
    </xdr:to>
    <xdr:cxnSp macro="">
      <xdr:nvCxnSpPr>
        <xdr:cNvPr id="69" name="直線コネクタ 68">
          <a:extLst>
            <a:ext uri="{FF2B5EF4-FFF2-40B4-BE49-F238E27FC236}">
              <a16:creationId xmlns:a16="http://schemas.microsoft.com/office/drawing/2014/main" id="{39FCBB87-0B44-4DD4-99A5-292C764D8DC0}"/>
            </a:ext>
          </a:extLst>
        </xdr:cNvPr>
        <xdr:cNvCxnSpPr/>
      </xdr:nvCxnSpPr>
      <xdr:spPr>
        <a:xfrm flipH="1">
          <a:off x="6381750" y="8105775"/>
          <a:ext cx="533400" cy="219075"/>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0</xdr:colOff>
      <xdr:row>33</xdr:row>
      <xdr:rowOff>228600</xdr:rowOff>
    </xdr:from>
    <xdr:to>
      <xdr:col>29</xdr:col>
      <xdr:colOff>28575</xdr:colOff>
      <xdr:row>34</xdr:row>
      <xdr:rowOff>200025</xdr:rowOff>
    </xdr:to>
    <xdr:cxnSp macro="">
      <xdr:nvCxnSpPr>
        <xdr:cNvPr id="70" name="直線コネクタ 69">
          <a:extLst>
            <a:ext uri="{FF2B5EF4-FFF2-40B4-BE49-F238E27FC236}">
              <a16:creationId xmlns:a16="http://schemas.microsoft.com/office/drawing/2014/main" id="{C1FC748D-07AA-42F2-BD07-543BD9E81A02}"/>
            </a:ext>
          </a:extLst>
        </xdr:cNvPr>
        <xdr:cNvCxnSpPr/>
      </xdr:nvCxnSpPr>
      <xdr:spPr>
        <a:xfrm>
          <a:off x="7734300" y="8105775"/>
          <a:ext cx="304800" cy="209550"/>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266700</xdr:colOff>
      <xdr:row>65</xdr:row>
      <xdr:rowOff>133350</xdr:rowOff>
    </xdr:from>
    <xdr:to>
      <xdr:col>35</xdr:col>
      <xdr:colOff>0</xdr:colOff>
      <xdr:row>65</xdr:row>
      <xdr:rowOff>133350</xdr:rowOff>
    </xdr:to>
    <xdr:cxnSp macro="">
      <xdr:nvCxnSpPr>
        <xdr:cNvPr id="71" name="直線矢印コネクタ 70">
          <a:extLst>
            <a:ext uri="{FF2B5EF4-FFF2-40B4-BE49-F238E27FC236}">
              <a16:creationId xmlns:a16="http://schemas.microsoft.com/office/drawing/2014/main" id="{7CA30337-3BD3-4F33-AD92-1C538AC9AD3E}"/>
            </a:ext>
          </a:extLst>
        </xdr:cNvPr>
        <xdr:cNvCxnSpPr/>
      </xdr:nvCxnSpPr>
      <xdr:spPr>
        <a:xfrm>
          <a:off x="1371600" y="12296775"/>
          <a:ext cx="829627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32</xdr:col>
      <xdr:colOff>219075</xdr:colOff>
      <xdr:row>65</xdr:row>
      <xdr:rowOff>228600</xdr:rowOff>
    </xdr:from>
    <xdr:to>
      <xdr:col>35</xdr:col>
      <xdr:colOff>0</xdr:colOff>
      <xdr:row>67</xdr:row>
      <xdr:rowOff>123825</xdr:rowOff>
    </xdr:to>
    <xdr:sp macro="" textlink="">
      <xdr:nvSpPr>
        <xdr:cNvPr id="72" name="正方形/長方形 71">
          <a:extLst>
            <a:ext uri="{FF2B5EF4-FFF2-40B4-BE49-F238E27FC236}">
              <a16:creationId xmlns:a16="http://schemas.microsoft.com/office/drawing/2014/main" id="{1CB622E7-13AA-48CA-BFCF-E0F3A140FD46}"/>
            </a:ext>
          </a:extLst>
        </xdr:cNvPr>
        <xdr:cNvSpPr/>
      </xdr:nvSpPr>
      <xdr:spPr>
        <a:xfrm>
          <a:off x="9058275" y="12392025"/>
          <a:ext cx="609600"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r>
            <a:rPr kumimoji="1" lang="ja-JP" altLang="en-US" sz="1100">
              <a:solidFill>
                <a:schemeClr val="tx1"/>
              </a:solidFill>
            </a:rPr>
            <a:t>時間</a:t>
          </a:r>
        </a:p>
      </xdr:txBody>
    </xdr:sp>
    <xdr:clientData/>
  </xdr:twoCellAnchor>
  <xdr:twoCellAnchor>
    <xdr:from>
      <xdr:col>6</xdr:col>
      <xdr:colOff>14288</xdr:colOff>
      <xdr:row>62</xdr:row>
      <xdr:rowOff>114299</xdr:rowOff>
    </xdr:from>
    <xdr:to>
      <xdr:col>17</xdr:col>
      <xdr:colOff>247650</xdr:colOff>
      <xdr:row>63</xdr:row>
      <xdr:rowOff>119060</xdr:rowOff>
    </xdr:to>
    <xdr:sp macro="" textlink="">
      <xdr:nvSpPr>
        <xdr:cNvPr id="73" name="右中かっこ 72">
          <a:extLst>
            <a:ext uri="{FF2B5EF4-FFF2-40B4-BE49-F238E27FC236}">
              <a16:creationId xmlns:a16="http://schemas.microsoft.com/office/drawing/2014/main" id="{869BD907-FA40-4C41-9900-E25490AE031B}"/>
            </a:ext>
          </a:extLst>
        </xdr:cNvPr>
        <xdr:cNvSpPr/>
      </xdr:nvSpPr>
      <xdr:spPr>
        <a:xfrm rot="16200000" flipH="1">
          <a:off x="3186114" y="10048873"/>
          <a:ext cx="242886" cy="3271837"/>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7</xdr:col>
      <xdr:colOff>0</xdr:colOff>
      <xdr:row>63</xdr:row>
      <xdr:rowOff>133350</xdr:rowOff>
    </xdr:from>
    <xdr:to>
      <xdr:col>16</xdr:col>
      <xdr:colOff>257175</xdr:colOff>
      <xdr:row>65</xdr:row>
      <xdr:rowOff>28575</xdr:rowOff>
    </xdr:to>
    <xdr:sp macro="" textlink="">
      <xdr:nvSpPr>
        <xdr:cNvPr id="74" name="正方形/長方形 73">
          <a:extLst>
            <a:ext uri="{FF2B5EF4-FFF2-40B4-BE49-F238E27FC236}">
              <a16:creationId xmlns:a16="http://schemas.microsoft.com/office/drawing/2014/main" id="{F186FB77-33C6-419A-B81E-F0481394725B}"/>
            </a:ext>
          </a:extLst>
        </xdr:cNvPr>
        <xdr:cNvSpPr/>
      </xdr:nvSpPr>
      <xdr:spPr>
        <a:xfrm>
          <a:off x="1933575" y="11820525"/>
          <a:ext cx="2743200"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100">
              <a:solidFill>
                <a:schemeClr val="tx1"/>
              </a:solidFill>
            </a:rPr>
            <a:t>最小単位 </a:t>
          </a:r>
          <a:r>
            <a:rPr kumimoji="1" lang="en-US" altLang="ja-JP" sz="1100">
              <a:solidFill>
                <a:schemeClr val="tx1"/>
              </a:solidFill>
            </a:rPr>
            <a:t>8 </a:t>
          </a:r>
          <a:r>
            <a:rPr kumimoji="1" lang="ja-JP" altLang="en-US" sz="1100">
              <a:solidFill>
                <a:schemeClr val="tx1"/>
              </a:solidFill>
            </a:rPr>
            <a:t>サンプル </a:t>
          </a:r>
          <a:r>
            <a:rPr kumimoji="1" lang="en-US" altLang="ja-JP" sz="1100">
              <a:solidFill>
                <a:schemeClr val="tx1"/>
              </a:solidFill>
            </a:rPr>
            <a:t>(= 1 AWG </a:t>
          </a:r>
          <a:r>
            <a:rPr kumimoji="1" lang="ja-JP" altLang="en-US" sz="1100">
              <a:solidFill>
                <a:schemeClr val="tx1"/>
              </a:solidFill>
            </a:rPr>
            <a:t>ワード</a:t>
          </a:r>
          <a:r>
            <a:rPr kumimoji="1" lang="en-US" altLang="ja-JP" sz="1100">
              <a:solidFill>
                <a:schemeClr val="tx1"/>
              </a:solidFill>
            </a:rPr>
            <a:t>)</a:t>
          </a:r>
          <a:endParaRPr kumimoji="1" lang="ja-JP" altLang="en-US" sz="1100">
            <a:solidFill>
              <a:schemeClr val="tx1"/>
            </a:solidFill>
          </a:endParaRPr>
        </a:p>
      </xdr:txBody>
    </xdr:sp>
    <xdr:clientData/>
  </xdr:twoCellAnchor>
  <xdr:twoCellAnchor>
    <xdr:from>
      <xdr:col>20</xdr:col>
      <xdr:colOff>188256</xdr:colOff>
      <xdr:row>63</xdr:row>
      <xdr:rowOff>104775</xdr:rowOff>
    </xdr:from>
    <xdr:to>
      <xdr:col>25</xdr:col>
      <xdr:colOff>235322</xdr:colOff>
      <xdr:row>65</xdr:row>
      <xdr:rowOff>0</xdr:rowOff>
    </xdr:to>
    <xdr:sp macro="" textlink="">
      <xdr:nvSpPr>
        <xdr:cNvPr id="75" name="正方形/長方形 74">
          <a:extLst>
            <a:ext uri="{FF2B5EF4-FFF2-40B4-BE49-F238E27FC236}">
              <a16:creationId xmlns:a16="http://schemas.microsoft.com/office/drawing/2014/main" id="{283F4A8F-D70F-4EF3-948D-B9C3DB9302A7}"/>
            </a:ext>
          </a:extLst>
        </xdr:cNvPr>
        <xdr:cNvSpPr/>
      </xdr:nvSpPr>
      <xdr:spPr>
        <a:xfrm>
          <a:off x="5712756" y="11791950"/>
          <a:ext cx="1428191"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(I </a:t>
          </a:r>
          <a:r>
            <a:rPr kumimoji="1" lang="ja-JP" altLang="en-US" sz="1100">
              <a:solidFill>
                <a:schemeClr val="tx1"/>
              </a:solidFill>
            </a:rPr>
            <a:t>値</a:t>
          </a:r>
          <a:r>
            <a:rPr kumimoji="1" lang="en-US" altLang="ja-JP" sz="1100">
              <a:solidFill>
                <a:schemeClr val="tx1"/>
              </a:solidFill>
            </a:rPr>
            <a:t>, Q </a:t>
          </a:r>
          <a:r>
            <a:rPr kumimoji="1" lang="ja-JP" altLang="en-US" sz="1100">
              <a:solidFill>
                <a:schemeClr val="tx1"/>
              </a:solidFill>
            </a:rPr>
            <a:t>値</a:t>
          </a:r>
          <a:r>
            <a:rPr kumimoji="1" lang="en-US" altLang="ja-JP" sz="1100">
              <a:solidFill>
                <a:schemeClr val="tx1"/>
              </a:solidFill>
            </a:rPr>
            <a:t>)</a:t>
          </a:r>
          <a:r>
            <a:rPr kumimoji="1" lang="ja-JP" altLang="en-US" sz="1100">
              <a:solidFill>
                <a:schemeClr val="tx1"/>
              </a:solidFill>
            </a:rPr>
            <a:t> </a:t>
          </a:r>
          <a:r>
            <a:rPr kumimoji="1" lang="en-US" altLang="ja-JP" sz="1100">
              <a:solidFill>
                <a:schemeClr val="tx1"/>
              </a:solidFill>
            </a:rPr>
            <a:t>= (0, 0)</a:t>
          </a:r>
          <a:endParaRPr kumimoji="1" lang="ja-JP" altLang="en-US" sz="1100">
            <a:solidFill>
              <a:schemeClr val="tx1"/>
            </a:solidFill>
          </a:endParaRPr>
        </a:p>
      </xdr:txBody>
    </xdr:sp>
    <xdr:clientData/>
  </xdr:twoCellAnchor>
  <xdr:twoCellAnchor>
    <xdr:from>
      <xdr:col>23</xdr:col>
      <xdr:colOff>66675</xdr:colOff>
      <xdr:row>61</xdr:row>
      <xdr:rowOff>180975</xdr:rowOff>
    </xdr:from>
    <xdr:to>
      <xdr:col>24</xdr:col>
      <xdr:colOff>152400</xdr:colOff>
      <xdr:row>63</xdr:row>
      <xdr:rowOff>104775</xdr:rowOff>
    </xdr:to>
    <xdr:cxnSp macro="">
      <xdr:nvCxnSpPr>
        <xdr:cNvPr id="76" name="直線コネクタ 75">
          <a:extLst>
            <a:ext uri="{FF2B5EF4-FFF2-40B4-BE49-F238E27FC236}">
              <a16:creationId xmlns:a16="http://schemas.microsoft.com/office/drawing/2014/main" id="{CB686030-0C3B-4425-8713-93C015B63066}"/>
            </a:ext>
          </a:extLst>
        </xdr:cNvPr>
        <xdr:cNvCxnSpPr/>
      </xdr:nvCxnSpPr>
      <xdr:spPr>
        <a:xfrm flipH="1">
          <a:off x="6419850" y="11391900"/>
          <a:ext cx="361950" cy="400050"/>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271463</xdr:colOff>
      <xdr:row>58</xdr:row>
      <xdr:rowOff>147635</xdr:rowOff>
    </xdr:from>
    <xdr:to>
      <xdr:col>33</xdr:col>
      <xdr:colOff>266700</xdr:colOff>
      <xdr:row>59</xdr:row>
      <xdr:rowOff>147635</xdr:rowOff>
    </xdr:to>
    <xdr:sp macro="" textlink="">
      <xdr:nvSpPr>
        <xdr:cNvPr id="77" name="右中かっこ 76">
          <a:extLst>
            <a:ext uri="{FF2B5EF4-FFF2-40B4-BE49-F238E27FC236}">
              <a16:creationId xmlns:a16="http://schemas.microsoft.com/office/drawing/2014/main" id="{24049D38-AA58-4444-8208-C3C285DC9AA5}"/>
            </a:ext>
          </a:extLst>
        </xdr:cNvPr>
        <xdr:cNvSpPr/>
      </xdr:nvSpPr>
      <xdr:spPr>
        <a:xfrm rot="16200000">
          <a:off x="5398294" y="6898479"/>
          <a:ext cx="238125" cy="7729537"/>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17</xdr:col>
      <xdr:colOff>152400</xdr:colOff>
      <xdr:row>57</xdr:row>
      <xdr:rowOff>66675</xdr:rowOff>
    </xdr:from>
    <xdr:to>
      <xdr:col>22</xdr:col>
      <xdr:colOff>161925</xdr:colOff>
      <xdr:row>58</xdr:row>
      <xdr:rowOff>200025</xdr:rowOff>
    </xdr:to>
    <xdr:sp macro="" textlink="">
      <xdr:nvSpPr>
        <xdr:cNvPr id="78" name="正方形/長方形 77">
          <a:extLst>
            <a:ext uri="{FF2B5EF4-FFF2-40B4-BE49-F238E27FC236}">
              <a16:creationId xmlns:a16="http://schemas.microsoft.com/office/drawing/2014/main" id="{7C3A3D11-A8EF-4CCA-8F40-BAA2560EA11D}"/>
            </a:ext>
          </a:extLst>
        </xdr:cNvPr>
        <xdr:cNvSpPr/>
      </xdr:nvSpPr>
      <xdr:spPr>
        <a:xfrm>
          <a:off x="4848225" y="10325100"/>
          <a:ext cx="1390650"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100">
              <a:solidFill>
                <a:schemeClr val="tx1"/>
              </a:solidFill>
            </a:rPr>
            <a:t>ポストブランク</a:t>
          </a:r>
        </a:p>
      </xdr:txBody>
    </xdr:sp>
    <xdr:clientData/>
  </xdr:twoCellAnchor>
  <xdr:twoCellAnchor>
    <xdr:from>
      <xdr:col>3</xdr:col>
      <xdr:colOff>19050</xdr:colOff>
      <xdr:row>131</xdr:row>
      <xdr:rowOff>19050</xdr:rowOff>
    </xdr:from>
    <xdr:to>
      <xdr:col>29</xdr:col>
      <xdr:colOff>95250</xdr:colOff>
      <xdr:row>131</xdr:row>
      <xdr:rowOff>19050</xdr:rowOff>
    </xdr:to>
    <xdr:cxnSp macro="">
      <xdr:nvCxnSpPr>
        <xdr:cNvPr id="79" name="直線矢印コネクタ 78">
          <a:extLst>
            <a:ext uri="{FF2B5EF4-FFF2-40B4-BE49-F238E27FC236}">
              <a16:creationId xmlns:a16="http://schemas.microsoft.com/office/drawing/2014/main" id="{EC8EDBE1-6594-4693-8CC3-CB3F537096E9}"/>
            </a:ext>
          </a:extLst>
        </xdr:cNvPr>
        <xdr:cNvCxnSpPr/>
      </xdr:nvCxnSpPr>
      <xdr:spPr>
        <a:xfrm>
          <a:off x="847725" y="24326850"/>
          <a:ext cx="7258050"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27</xdr:col>
      <xdr:colOff>38696</xdr:colOff>
      <xdr:row>131</xdr:row>
      <xdr:rowOff>148632</xdr:rowOff>
    </xdr:from>
    <xdr:to>
      <xdr:col>29</xdr:col>
      <xdr:colOff>102127</xdr:colOff>
      <xdr:row>132</xdr:row>
      <xdr:rowOff>171450</xdr:rowOff>
    </xdr:to>
    <xdr:sp macro="" textlink="">
      <xdr:nvSpPr>
        <xdr:cNvPr id="80" name="正方形/長方形 79">
          <a:extLst>
            <a:ext uri="{FF2B5EF4-FFF2-40B4-BE49-F238E27FC236}">
              <a16:creationId xmlns:a16="http://schemas.microsoft.com/office/drawing/2014/main" id="{5BDC0814-3F94-4AFB-9B96-262E11CD2CCC}"/>
            </a:ext>
          </a:extLst>
        </xdr:cNvPr>
        <xdr:cNvSpPr/>
      </xdr:nvSpPr>
      <xdr:spPr>
        <a:xfrm>
          <a:off x="7496771" y="24456432"/>
          <a:ext cx="615881" cy="26094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r>
            <a:rPr kumimoji="1" lang="ja-JP" altLang="en-US" sz="1100">
              <a:solidFill>
                <a:schemeClr val="tx1"/>
              </a:solidFill>
            </a:rPr>
            <a:t>時間</a:t>
          </a:r>
        </a:p>
      </xdr:txBody>
    </xdr:sp>
    <xdr:clientData/>
  </xdr:twoCellAnchor>
  <xdr:twoCellAnchor>
    <xdr:from>
      <xdr:col>4</xdr:col>
      <xdr:colOff>16283</xdr:colOff>
      <xdr:row>127</xdr:row>
      <xdr:rowOff>32558</xdr:rowOff>
    </xdr:from>
    <xdr:to>
      <xdr:col>7</xdr:col>
      <xdr:colOff>239486</xdr:colOff>
      <xdr:row>127</xdr:row>
      <xdr:rowOff>175849</xdr:rowOff>
    </xdr:to>
    <xdr:sp macro="" textlink="">
      <xdr:nvSpPr>
        <xdr:cNvPr id="85" name="左中かっこ 84">
          <a:extLst>
            <a:ext uri="{FF2B5EF4-FFF2-40B4-BE49-F238E27FC236}">
              <a16:creationId xmlns:a16="http://schemas.microsoft.com/office/drawing/2014/main" id="{6CB2AB12-4948-F7BE-31C7-8E48113B0375}"/>
            </a:ext>
          </a:extLst>
        </xdr:cNvPr>
        <xdr:cNvSpPr/>
      </xdr:nvSpPr>
      <xdr:spPr>
        <a:xfrm rot="5400000">
          <a:off x="1582960" y="22583181"/>
          <a:ext cx="143291" cy="1055960"/>
        </a:xfrm>
        <a:prstGeom prst="leftBrace">
          <a:avLst>
            <a:gd name="adj1" fmla="val 38435"/>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8</xdr:col>
      <xdr:colOff>46097</xdr:colOff>
      <xdr:row>127</xdr:row>
      <xdr:rowOff>31041</xdr:rowOff>
    </xdr:from>
    <xdr:to>
      <xdr:col>15</xdr:col>
      <xdr:colOff>250370</xdr:colOff>
      <xdr:row>127</xdr:row>
      <xdr:rowOff>174332</xdr:rowOff>
    </xdr:to>
    <xdr:sp macro="" textlink="">
      <xdr:nvSpPr>
        <xdr:cNvPr id="86" name="左中かっこ 85">
          <a:extLst>
            <a:ext uri="{FF2B5EF4-FFF2-40B4-BE49-F238E27FC236}">
              <a16:creationId xmlns:a16="http://schemas.microsoft.com/office/drawing/2014/main" id="{36685C9E-42F0-45E5-924C-88ADD10B81A5}"/>
            </a:ext>
          </a:extLst>
        </xdr:cNvPr>
        <xdr:cNvSpPr/>
      </xdr:nvSpPr>
      <xdr:spPr>
        <a:xfrm rot="5400000">
          <a:off x="3268824" y="22035957"/>
          <a:ext cx="143291" cy="2147373"/>
        </a:xfrm>
        <a:prstGeom prst="leftBrace">
          <a:avLst>
            <a:gd name="adj1" fmla="val 38435"/>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16</xdr:col>
      <xdr:colOff>32653</xdr:colOff>
      <xdr:row>127</xdr:row>
      <xdr:rowOff>31041</xdr:rowOff>
    </xdr:from>
    <xdr:to>
      <xdr:col>21</xdr:col>
      <xdr:colOff>255814</xdr:colOff>
      <xdr:row>127</xdr:row>
      <xdr:rowOff>174332</xdr:rowOff>
    </xdr:to>
    <xdr:sp macro="" textlink="">
      <xdr:nvSpPr>
        <xdr:cNvPr id="87" name="左中かっこ 86">
          <a:extLst>
            <a:ext uri="{FF2B5EF4-FFF2-40B4-BE49-F238E27FC236}">
              <a16:creationId xmlns:a16="http://schemas.microsoft.com/office/drawing/2014/main" id="{05CF6D73-BEC5-461B-B3A8-8D6097CD6B7F}"/>
            </a:ext>
          </a:extLst>
        </xdr:cNvPr>
        <xdr:cNvSpPr/>
      </xdr:nvSpPr>
      <xdr:spPr>
        <a:xfrm rot="5400000">
          <a:off x="5207923" y="22304099"/>
          <a:ext cx="143291" cy="1611090"/>
        </a:xfrm>
        <a:prstGeom prst="leftBrace">
          <a:avLst>
            <a:gd name="adj1" fmla="val 38435"/>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24</xdr:col>
      <xdr:colOff>16335</xdr:colOff>
      <xdr:row>127</xdr:row>
      <xdr:rowOff>31042</xdr:rowOff>
    </xdr:from>
    <xdr:to>
      <xdr:col>27</xdr:col>
      <xdr:colOff>250372</xdr:colOff>
      <xdr:row>127</xdr:row>
      <xdr:rowOff>174333</xdr:rowOff>
    </xdr:to>
    <xdr:sp macro="" textlink="">
      <xdr:nvSpPr>
        <xdr:cNvPr id="88" name="左中かっこ 87">
          <a:extLst>
            <a:ext uri="{FF2B5EF4-FFF2-40B4-BE49-F238E27FC236}">
              <a16:creationId xmlns:a16="http://schemas.microsoft.com/office/drawing/2014/main" id="{4DA7F32C-BD13-4137-9E5D-5CE59CE96A1C}"/>
            </a:ext>
          </a:extLst>
        </xdr:cNvPr>
        <xdr:cNvSpPr/>
      </xdr:nvSpPr>
      <xdr:spPr>
        <a:xfrm rot="5400000">
          <a:off x="7140143" y="22576248"/>
          <a:ext cx="143291" cy="1066794"/>
        </a:xfrm>
        <a:prstGeom prst="leftBrace">
          <a:avLst>
            <a:gd name="adj1" fmla="val 38435"/>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4</xdr:col>
      <xdr:colOff>157908</xdr:colOff>
      <xdr:row>125</xdr:row>
      <xdr:rowOff>206817</xdr:rowOff>
    </xdr:from>
    <xdr:to>
      <xdr:col>7</xdr:col>
      <xdr:colOff>98533</xdr:colOff>
      <xdr:row>127</xdr:row>
      <xdr:rowOff>104841</xdr:rowOff>
    </xdr:to>
    <xdr:sp macro="" textlink="">
      <xdr:nvSpPr>
        <xdr:cNvPr id="89" name="正方形/長方形 88">
          <a:extLst>
            <a:ext uri="{FF2B5EF4-FFF2-40B4-BE49-F238E27FC236}">
              <a16:creationId xmlns:a16="http://schemas.microsoft.com/office/drawing/2014/main" id="{6C88C8D8-D80E-4D14-AE5D-946131266F63}"/>
            </a:ext>
          </a:extLst>
        </xdr:cNvPr>
        <xdr:cNvSpPr/>
      </xdr:nvSpPr>
      <xdr:spPr>
        <a:xfrm>
          <a:off x="1261494" y="22455903"/>
          <a:ext cx="768315" cy="37099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t</a:t>
          </a:r>
          <a:r>
            <a:rPr kumimoji="1" lang="en-US" altLang="ja-JP" sz="1200" baseline="-25000">
              <a:solidFill>
                <a:schemeClr val="tx1"/>
              </a:solidFill>
            </a:rPr>
            <a:t>0</a:t>
          </a:r>
          <a:r>
            <a:rPr kumimoji="1" lang="en-US" altLang="ja-JP" sz="1200" baseline="0">
              <a:solidFill>
                <a:schemeClr val="tx1"/>
              </a:solidFill>
            </a:rPr>
            <a:t> [sec]</a:t>
          </a:r>
          <a:endParaRPr kumimoji="1" lang="en-US" altLang="ja-JP" sz="1200">
            <a:solidFill>
              <a:schemeClr val="tx1"/>
            </a:solidFill>
          </a:endParaRPr>
        </a:p>
      </xdr:txBody>
    </xdr:sp>
    <xdr:clientData/>
  </xdr:twoCellAnchor>
  <xdr:twoCellAnchor>
    <xdr:from>
      <xdr:col>10</xdr:col>
      <xdr:colOff>185497</xdr:colOff>
      <xdr:row>125</xdr:row>
      <xdr:rowOff>208131</xdr:rowOff>
    </xdr:from>
    <xdr:to>
      <xdr:col>13</xdr:col>
      <xdr:colOff>126123</xdr:colOff>
      <xdr:row>127</xdr:row>
      <xdr:rowOff>106155</xdr:rowOff>
    </xdr:to>
    <xdr:sp macro="" textlink="">
      <xdr:nvSpPr>
        <xdr:cNvPr id="90" name="正方形/長方形 89">
          <a:extLst>
            <a:ext uri="{FF2B5EF4-FFF2-40B4-BE49-F238E27FC236}">
              <a16:creationId xmlns:a16="http://schemas.microsoft.com/office/drawing/2014/main" id="{A5B85F4C-5F64-4422-A19A-FCDA43E0A18A}"/>
            </a:ext>
          </a:extLst>
        </xdr:cNvPr>
        <xdr:cNvSpPr/>
      </xdr:nvSpPr>
      <xdr:spPr>
        <a:xfrm>
          <a:off x="2944463" y="22457217"/>
          <a:ext cx="768315" cy="37099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t</a:t>
          </a:r>
          <a:r>
            <a:rPr kumimoji="1" lang="en-US" altLang="ja-JP" sz="1200" baseline="-25000">
              <a:solidFill>
                <a:schemeClr val="tx1"/>
              </a:solidFill>
            </a:rPr>
            <a:t>1</a:t>
          </a:r>
          <a:r>
            <a:rPr kumimoji="1" lang="en-US" altLang="ja-JP" sz="1200" baseline="0">
              <a:solidFill>
                <a:schemeClr val="tx1"/>
              </a:solidFill>
            </a:rPr>
            <a:t> [sec]</a:t>
          </a:r>
          <a:endParaRPr kumimoji="1" lang="en-US" altLang="ja-JP" sz="1200">
            <a:solidFill>
              <a:schemeClr val="tx1"/>
            </a:solidFill>
          </a:endParaRPr>
        </a:p>
      </xdr:txBody>
    </xdr:sp>
    <xdr:clientData/>
  </xdr:twoCellAnchor>
  <xdr:twoCellAnchor>
    <xdr:from>
      <xdr:col>17</xdr:col>
      <xdr:colOff>173674</xdr:colOff>
      <xdr:row>125</xdr:row>
      <xdr:rowOff>209446</xdr:rowOff>
    </xdr:from>
    <xdr:to>
      <xdr:col>20</xdr:col>
      <xdr:colOff>114299</xdr:colOff>
      <xdr:row>127</xdr:row>
      <xdr:rowOff>107470</xdr:rowOff>
    </xdr:to>
    <xdr:sp macro="" textlink="">
      <xdr:nvSpPr>
        <xdr:cNvPr id="91" name="正方形/長方形 90">
          <a:extLst>
            <a:ext uri="{FF2B5EF4-FFF2-40B4-BE49-F238E27FC236}">
              <a16:creationId xmlns:a16="http://schemas.microsoft.com/office/drawing/2014/main" id="{6B57FCEB-F69E-4C71-8E88-15A83B379B44}"/>
            </a:ext>
          </a:extLst>
        </xdr:cNvPr>
        <xdr:cNvSpPr/>
      </xdr:nvSpPr>
      <xdr:spPr>
        <a:xfrm>
          <a:off x="4863915" y="22458532"/>
          <a:ext cx="768315" cy="37099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t</a:t>
          </a:r>
          <a:r>
            <a:rPr kumimoji="1" lang="en-US" altLang="ja-JP" sz="1200" baseline="-25000">
              <a:solidFill>
                <a:schemeClr val="tx1"/>
              </a:solidFill>
            </a:rPr>
            <a:t>2</a:t>
          </a:r>
          <a:r>
            <a:rPr kumimoji="1" lang="en-US" altLang="ja-JP" sz="1200" baseline="0">
              <a:solidFill>
                <a:schemeClr val="tx1"/>
              </a:solidFill>
            </a:rPr>
            <a:t> [sec]</a:t>
          </a:r>
          <a:endParaRPr kumimoji="1" lang="en-US" altLang="ja-JP" sz="1200">
            <a:solidFill>
              <a:schemeClr val="tx1"/>
            </a:solidFill>
          </a:endParaRPr>
        </a:p>
      </xdr:txBody>
    </xdr:sp>
    <xdr:clientData/>
  </xdr:twoCellAnchor>
  <xdr:twoCellAnchor>
    <xdr:from>
      <xdr:col>24</xdr:col>
      <xdr:colOff>155280</xdr:colOff>
      <xdr:row>125</xdr:row>
      <xdr:rowOff>204191</xdr:rowOff>
    </xdr:from>
    <xdr:to>
      <xdr:col>27</xdr:col>
      <xdr:colOff>95905</xdr:colOff>
      <xdr:row>127</xdr:row>
      <xdr:rowOff>102215</xdr:rowOff>
    </xdr:to>
    <xdr:sp macro="" textlink="">
      <xdr:nvSpPr>
        <xdr:cNvPr id="92" name="正方形/長方形 91">
          <a:extLst>
            <a:ext uri="{FF2B5EF4-FFF2-40B4-BE49-F238E27FC236}">
              <a16:creationId xmlns:a16="http://schemas.microsoft.com/office/drawing/2014/main" id="{C0CB8850-B1FF-4FA0-A085-DF921E880E83}"/>
            </a:ext>
          </a:extLst>
        </xdr:cNvPr>
        <xdr:cNvSpPr/>
      </xdr:nvSpPr>
      <xdr:spPr>
        <a:xfrm>
          <a:off x="6776797" y="22453277"/>
          <a:ext cx="768315" cy="37099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t</a:t>
          </a:r>
          <a:r>
            <a:rPr kumimoji="1" lang="en-US" altLang="ja-JP" sz="1200" baseline="-25000">
              <a:solidFill>
                <a:schemeClr val="tx1"/>
              </a:solidFill>
            </a:rPr>
            <a:t>n</a:t>
          </a:r>
          <a:r>
            <a:rPr kumimoji="1" lang="en-US" altLang="ja-JP" sz="1200" baseline="0">
              <a:solidFill>
                <a:schemeClr val="tx1"/>
              </a:solidFill>
            </a:rPr>
            <a:t> [sec]</a:t>
          </a:r>
          <a:endParaRPr kumimoji="1" lang="en-US" altLang="ja-JP" sz="1200">
            <a:solidFill>
              <a:schemeClr val="tx1"/>
            </a:solidFill>
          </a:endParaRPr>
        </a:p>
      </xdr:txBody>
    </xdr:sp>
    <xdr:clientData/>
  </xdr:twoCellAnchor>
  <xdr:twoCellAnchor>
    <xdr:from>
      <xdr:col>5</xdr:col>
      <xdr:colOff>0</xdr:colOff>
      <xdr:row>86</xdr:row>
      <xdr:rowOff>9525</xdr:rowOff>
    </xdr:from>
    <xdr:to>
      <xdr:col>31</xdr:col>
      <xdr:colOff>0</xdr:colOff>
      <xdr:row>86</xdr:row>
      <xdr:rowOff>9525</xdr:rowOff>
    </xdr:to>
    <xdr:cxnSp macro="">
      <xdr:nvCxnSpPr>
        <xdr:cNvPr id="81" name="直線矢印コネクタ 80">
          <a:extLst>
            <a:ext uri="{FF2B5EF4-FFF2-40B4-BE49-F238E27FC236}">
              <a16:creationId xmlns:a16="http://schemas.microsoft.com/office/drawing/2014/main" id="{9279EDF3-6971-485A-95EA-7E8A5EB9267D}"/>
            </a:ext>
          </a:extLst>
        </xdr:cNvPr>
        <xdr:cNvCxnSpPr/>
      </xdr:nvCxnSpPr>
      <xdr:spPr>
        <a:xfrm>
          <a:off x="1381125" y="15030450"/>
          <a:ext cx="7181850"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2199</xdr:colOff>
      <xdr:row>81</xdr:row>
      <xdr:rowOff>172853</xdr:rowOff>
    </xdr:from>
    <xdr:to>
      <xdr:col>11</xdr:col>
      <xdr:colOff>247653</xdr:colOff>
      <xdr:row>82</xdr:row>
      <xdr:rowOff>172854</xdr:rowOff>
    </xdr:to>
    <xdr:sp macro="" textlink="">
      <xdr:nvSpPr>
        <xdr:cNvPr id="82" name="右中かっこ 81">
          <a:extLst>
            <a:ext uri="{FF2B5EF4-FFF2-40B4-BE49-F238E27FC236}">
              <a16:creationId xmlns:a16="http://schemas.microsoft.com/office/drawing/2014/main" id="{23F52C54-9EE7-4796-9B11-91ED9EF93A61}"/>
            </a:ext>
          </a:extLst>
        </xdr:cNvPr>
        <xdr:cNvSpPr/>
      </xdr:nvSpPr>
      <xdr:spPr>
        <a:xfrm rot="16200000">
          <a:off x="2353776" y="13308926"/>
          <a:ext cx="238126" cy="1626579"/>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7</xdr:col>
      <xdr:colOff>15818</xdr:colOff>
      <xdr:row>80</xdr:row>
      <xdr:rowOff>125013</xdr:rowOff>
    </xdr:from>
    <xdr:to>
      <xdr:col>10</xdr:col>
      <xdr:colOff>238125</xdr:colOff>
      <xdr:row>81</xdr:row>
      <xdr:rowOff>216212</xdr:rowOff>
    </xdr:to>
    <xdr:sp macro="" textlink="">
      <xdr:nvSpPr>
        <xdr:cNvPr id="83" name="正方形/長方形 82">
          <a:extLst>
            <a:ext uri="{FF2B5EF4-FFF2-40B4-BE49-F238E27FC236}">
              <a16:creationId xmlns:a16="http://schemas.microsoft.com/office/drawing/2014/main" id="{ED1C61BA-72BC-4B51-ADB6-976B83524953}"/>
            </a:ext>
          </a:extLst>
        </xdr:cNvPr>
        <xdr:cNvSpPr/>
      </xdr:nvSpPr>
      <xdr:spPr>
        <a:xfrm>
          <a:off x="1949393" y="13717188"/>
          <a:ext cx="1050982" cy="32932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0.245676 [us]</a:t>
          </a:r>
          <a:endParaRPr kumimoji="1" lang="ja-JP" altLang="en-US" sz="1100">
            <a:solidFill>
              <a:schemeClr val="tx1"/>
            </a:solidFill>
          </a:endParaRPr>
        </a:p>
      </xdr:txBody>
    </xdr:sp>
    <xdr:clientData/>
  </xdr:twoCellAnchor>
  <xdr:twoCellAnchor>
    <xdr:from>
      <xdr:col>12</xdr:col>
      <xdr:colOff>31271</xdr:colOff>
      <xdr:row>81</xdr:row>
      <xdr:rowOff>172853</xdr:rowOff>
    </xdr:from>
    <xdr:to>
      <xdr:col>19</xdr:col>
      <xdr:colOff>247649</xdr:colOff>
      <xdr:row>82</xdr:row>
      <xdr:rowOff>172854</xdr:rowOff>
    </xdr:to>
    <xdr:sp macro="" textlink="">
      <xdr:nvSpPr>
        <xdr:cNvPr id="84" name="右中かっこ 83">
          <a:extLst>
            <a:ext uri="{FF2B5EF4-FFF2-40B4-BE49-F238E27FC236}">
              <a16:creationId xmlns:a16="http://schemas.microsoft.com/office/drawing/2014/main" id="{61473841-B2F7-4FE2-9954-AD1E9B1E3320}"/>
            </a:ext>
          </a:extLst>
        </xdr:cNvPr>
        <xdr:cNvSpPr/>
      </xdr:nvSpPr>
      <xdr:spPr>
        <a:xfrm rot="16200000">
          <a:off x="4301885" y="13047239"/>
          <a:ext cx="238126" cy="2149953"/>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13</xdr:col>
      <xdr:colOff>248812</xdr:colOff>
      <xdr:row>80</xdr:row>
      <xdr:rowOff>125013</xdr:rowOff>
    </xdr:from>
    <xdr:to>
      <xdr:col>18</xdr:col>
      <xdr:colOff>28574</xdr:colOff>
      <xdr:row>81</xdr:row>
      <xdr:rowOff>208884</xdr:rowOff>
    </xdr:to>
    <xdr:sp macro="" textlink="">
      <xdr:nvSpPr>
        <xdr:cNvPr id="93" name="正方形/長方形 92">
          <a:extLst>
            <a:ext uri="{FF2B5EF4-FFF2-40B4-BE49-F238E27FC236}">
              <a16:creationId xmlns:a16="http://schemas.microsoft.com/office/drawing/2014/main" id="{43762CB8-15F7-4D85-88BA-5551E77686E3}"/>
            </a:ext>
          </a:extLst>
        </xdr:cNvPr>
        <xdr:cNvSpPr/>
      </xdr:nvSpPr>
      <xdr:spPr>
        <a:xfrm>
          <a:off x="3839737" y="15860313"/>
          <a:ext cx="1160887" cy="32199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0.368514 [us]</a:t>
          </a:r>
          <a:endParaRPr kumimoji="1" lang="ja-JP" altLang="en-US" sz="1100">
            <a:solidFill>
              <a:schemeClr val="tx1"/>
            </a:solidFill>
          </a:endParaRPr>
        </a:p>
      </xdr:txBody>
    </xdr:sp>
    <xdr:clientData/>
  </xdr:twoCellAnchor>
  <xdr:twoCellAnchor>
    <xdr:from>
      <xdr:col>20</xdr:col>
      <xdr:colOff>19053</xdr:colOff>
      <xdr:row>81</xdr:row>
      <xdr:rowOff>173586</xdr:rowOff>
    </xdr:from>
    <xdr:to>
      <xdr:col>29</xdr:col>
      <xdr:colOff>257175</xdr:colOff>
      <xdr:row>82</xdr:row>
      <xdr:rowOff>173587</xdr:rowOff>
    </xdr:to>
    <xdr:sp macro="" textlink="">
      <xdr:nvSpPr>
        <xdr:cNvPr id="94" name="右中かっこ 93">
          <a:extLst>
            <a:ext uri="{FF2B5EF4-FFF2-40B4-BE49-F238E27FC236}">
              <a16:creationId xmlns:a16="http://schemas.microsoft.com/office/drawing/2014/main" id="{D4BF24DF-DB60-434E-824D-4E7C36C8BBC2}"/>
            </a:ext>
          </a:extLst>
        </xdr:cNvPr>
        <xdr:cNvSpPr/>
      </xdr:nvSpPr>
      <xdr:spPr>
        <a:xfrm rot="16200000">
          <a:off x="6786564" y="12760875"/>
          <a:ext cx="238126" cy="2724147"/>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22</xdr:col>
      <xdr:colOff>257175</xdr:colOff>
      <xdr:row>80</xdr:row>
      <xdr:rowOff>125013</xdr:rowOff>
    </xdr:from>
    <xdr:to>
      <xdr:col>27</xdr:col>
      <xdr:colOff>9525</xdr:colOff>
      <xdr:row>81</xdr:row>
      <xdr:rowOff>214746</xdr:rowOff>
    </xdr:to>
    <xdr:sp macro="" textlink="">
      <xdr:nvSpPr>
        <xdr:cNvPr id="95" name="正方形/長方形 94">
          <a:extLst>
            <a:ext uri="{FF2B5EF4-FFF2-40B4-BE49-F238E27FC236}">
              <a16:creationId xmlns:a16="http://schemas.microsoft.com/office/drawing/2014/main" id="{15A338C0-9DCC-4B1B-94B6-FE348C40C844}"/>
            </a:ext>
          </a:extLst>
        </xdr:cNvPr>
        <xdr:cNvSpPr/>
      </xdr:nvSpPr>
      <xdr:spPr>
        <a:xfrm>
          <a:off x="6334125" y="13717188"/>
          <a:ext cx="1133475" cy="32785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0.491352 [us]</a:t>
          </a:r>
          <a:endParaRPr kumimoji="1" lang="ja-JP" altLang="en-US" sz="1100">
            <a:solidFill>
              <a:schemeClr val="tx1"/>
            </a:solidFill>
          </a:endParaRPr>
        </a:p>
      </xdr:txBody>
    </xdr:sp>
    <xdr:clientData/>
  </xdr:twoCellAnchor>
  <xdr:twoCellAnchor>
    <xdr:from>
      <xdr:col>28</xdr:col>
      <xdr:colOff>192279</xdr:colOff>
      <xdr:row>86</xdr:row>
      <xdr:rowOff>43857</xdr:rowOff>
    </xdr:from>
    <xdr:to>
      <xdr:col>30</xdr:col>
      <xdr:colOff>255710</xdr:colOff>
      <xdr:row>87</xdr:row>
      <xdr:rowOff>114300</xdr:rowOff>
    </xdr:to>
    <xdr:sp macro="" textlink="">
      <xdr:nvSpPr>
        <xdr:cNvPr id="96" name="正方形/長方形 95">
          <a:extLst>
            <a:ext uri="{FF2B5EF4-FFF2-40B4-BE49-F238E27FC236}">
              <a16:creationId xmlns:a16="http://schemas.microsoft.com/office/drawing/2014/main" id="{FC49E796-D8E1-4351-A4C3-0CD5396D97E1}"/>
            </a:ext>
          </a:extLst>
        </xdr:cNvPr>
        <xdr:cNvSpPr/>
      </xdr:nvSpPr>
      <xdr:spPr>
        <a:xfrm>
          <a:off x="7926579" y="15064782"/>
          <a:ext cx="615881" cy="30856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r>
            <a:rPr kumimoji="1" lang="ja-JP" altLang="en-US" sz="1100">
              <a:solidFill>
                <a:schemeClr val="tx1"/>
              </a:solidFill>
            </a:rPr>
            <a:t>時間</a:t>
          </a:r>
        </a:p>
      </xdr:txBody>
    </xdr:sp>
    <xdr:clientData/>
  </xdr:twoCellAnchor>
  <xdr:twoCellAnchor>
    <xdr:from>
      <xdr:col>4</xdr:col>
      <xdr:colOff>266700</xdr:colOff>
      <xdr:row>54</xdr:row>
      <xdr:rowOff>75374</xdr:rowOff>
    </xdr:from>
    <xdr:to>
      <xdr:col>35</xdr:col>
      <xdr:colOff>0</xdr:colOff>
      <xdr:row>54</xdr:row>
      <xdr:rowOff>75374</xdr:rowOff>
    </xdr:to>
    <xdr:cxnSp macro="">
      <xdr:nvCxnSpPr>
        <xdr:cNvPr id="97" name="直線矢印コネクタ 96">
          <a:extLst>
            <a:ext uri="{FF2B5EF4-FFF2-40B4-BE49-F238E27FC236}">
              <a16:creationId xmlns:a16="http://schemas.microsoft.com/office/drawing/2014/main" id="{3854911F-44D6-497F-B801-091D5A937B77}"/>
            </a:ext>
          </a:extLst>
        </xdr:cNvPr>
        <xdr:cNvCxnSpPr/>
      </xdr:nvCxnSpPr>
      <xdr:spPr>
        <a:xfrm>
          <a:off x="1360004" y="13062504"/>
          <a:ext cx="8206409"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14288</xdr:colOff>
      <xdr:row>48</xdr:row>
      <xdr:rowOff>114299</xdr:rowOff>
    </xdr:from>
    <xdr:to>
      <xdr:col>17</xdr:col>
      <xdr:colOff>247650</xdr:colOff>
      <xdr:row>49</xdr:row>
      <xdr:rowOff>119060</xdr:rowOff>
    </xdr:to>
    <xdr:sp macro="" textlink="">
      <xdr:nvSpPr>
        <xdr:cNvPr id="98" name="右中かっこ 97">
          <a:extLst>
            <a:ext uri="{FF2B5EF4-FFF2-40B4-BE49-F238E27FC236}">
              <a16:creationId xmlns:a16="http://schemas.microsoft.com/office/drawing/2014/main" id="{59548117-A2CC-485E-8758-5321FF35DFFC}"/>
            </a:ext>
          </a:extLst>
        </xdr:cNvPr>
        <xdr:cNvSpPr/>
      </xdr:nvSpPr>
      <xdr:spPr>
        <a:xfrm rot="16200000" flipH="1">
          <a:off x="3151741" y="10162760"/>
          <a:ext cx="244956" cy="3239948"/>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7</xdr:col>
      <xdr:colOff>115955</xdr:colOff>
      <xdr:row>49</xdr:row>
      <xdr:rowOff>17392</xdr:rowOff>
    </xdr:from>
    <xdr:to>
      <xdr:col>20</xdr:col>
      <xdr:colOff>24847</xdr:colOff>
      <xdr:row>53</xdr:row>
      <xdr:rowOff>231913</xdr:rowOff>
    </xdr:to>
    <xdr:sp macro="" textlink="">
      <xdr:nvSpPr>
        <xdr:cNvPr id="99" name="正方形/長方形 98">
          <a:extLst>
            <a:ext uri="{FF2B5EF4-FFF2-40B4-BE49-F238E27FC236}">
              <a16:creationId xmlns:a16="http://schemas.microsoft.com/office/drawing/2014/main" id="{5D50995A-1BF5-4FC7-B3BE-5E5B961A1580}"/>
            </a:ext>
          </a:extLst>
        </xdr:cNvPr>
        <xdr:cNvSpPr/>
      </xdr:nvSpPr>
      <xdr:spPr>
        <a:xfrm>
          <a:off x="2029238" y="11803544"/>
          <a:ext cx="3462131" cy="117530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100">
              <a:solidFill>
                <a:schemeClr val="tx1"/>
              </a:solidFill>
              <a:latin typeface="Meiryo UI" panose="020B0604030504040204" pitchFamily="50" charset="-128"/>
              <a:ea typeface="Meiryo UI" panose="020B0604030504040204" pitchFamily="50" charset="-128"/>
            </a:rPr>
            <a:t>m  =  </a:t>
          </a:r>
          <a:r>
            <a:rPr kumimoji="1" lang="ja-JP" altLang="en-US" sz="1100">
              <a:solidFill>
                <a:schemeClr val="tx1"/>
              </a:solidFill>
              <a:latin typeface="Meiryo UI" panose="020B0604030504040204" pitchFamily="50" charset="-128"/>
              <a:ea typeface="Meiryo UI" panose="020B0604030504040204" pitchFamily="50" charset="-128"/>
            </a:rPr>
            <a:t>波形パートを構成可能な最小単位となるサンプル数</a:t>
          </a:r>
          <a:endParaRPr kumimoji="1" lang="en-US" altLang="ja-JP" sz="1100">
            <a:solidFill>
              <a:schemeClr val="tx1"/>
            </a:solidFill>
            <a:latin typeface="Meiryo UI" panose="020B0604030504040204" pitchFamily="50" charset="-128"/>
            <a:ea typeface="Meiryo UI" panose="020B0604030504040204" pitchFamily="50" charset="-128"/>
          </a:endParaRPr>
        </a:p>
        <a:p>
          <a:pPr algn="l"/>
          <a:endParaRPr kumimoji="1" lang="en-US" altLang="ja-JP" sz="1600">
            <a:solidFill>
              <a:schemeClr val="tx1"/>
            </a:solidFill>
          </a:endParaRPr>
        </a:p>
        <a:p>
          <a:pPr algn="l"/>
          <a:r>
            <a:rPr kumimoji="1" lang="en-US" altLang="ja-JP" sz="1100" baseline="0">
              <a:solidFill>
                <a:schemeClr val="tx1"/>
              </a:solidFill>
            </a:rPr>
            <a:t>    </a:t>
          </a:r>
          <a:r>
            <a:rPr kumimoji="1" lang="en-US" altLang="ja-JP" sz="1100">
              <a:solidFill>
                <a:schemeClr val="tx1"/>
              </a:solidFill>
            </a:rPr>
            <a:t>   </a:t>
          </a:r>
          <a:r>
            <a:rPr kumimoji="1" lang="en-US" altLang="ja-JP" sz="1100">
              <a:solidFill>
                <a:schemeClr val="tx1"/>
              </a:solidFill>
              <a:latin typeface="Meiryo UI" panose="020B0604030504040204" pitchFamily="50" charset="-128"/>
              <a:ea typeface="Meiryo UI" panose="020B0604030504040204" pitchFamily="50" charset="-128"/>
            </a:rPr>
            <a:t>=</a:t>
          </a:r>
          <a:r>
            <a:rPr kumimoji="1" lang="en-US" altLang="ja-JP" sz="1100">
              <a:solidFill>
                <a:schemeClr val="tx1"/>
              </a:solidFill>
            </a:rPr>
            <a:t> </a:t>
          </a:r>
        </a:p>
      </xdr:txBody>
    </xdr:sp>
    <xdr:clientData/>
  </xdr:twoCellAnchor>
  <xdr:twoCellAnchor>
    <xdr:from>
      <xdr:col>5</xdr:col>
      <xdr:colOff>271463</xdr:colOff>
      <xdr:row>44</xdr:row>
      <xdr:rowOff>147635</xdr:rowOff>
    </xdr:from>
    <xdr:to>
      <xdr:col>33</xdr:col>
      <xdr:colOff>266700</xdr:colOff>
      <xdr:row>45</xdr:row>
      <xdr:rowOff>147635</xdr:rowOff>
    </xdr:to>
    <xdr:sp macro="" textlink="">
      <xdr:nvSpPr>
        <xdr:cNvPr id="100" name="右中かっこ 99">
          <a:extLst>
            <a:ext uri="{FF2B5EF4-FFF2-40B4-BE49-F238E27FC236}">
              <a16:creationId xmlns:a16="http://schemas.microsoft.com/office/drawing/2014/main" id="{1A124E2A-1A3D-4810-B397-553451CE8D41}"/>
            </a:ext>
          </a:extLst>
        </xdr:cNvPr>
        <xdr:cNvSpPr/>
      </xdr:nvSpPr>
      <xdr:spPr>
        <a:xfrm rot="16200000">
          <a:off x="5342179" y="3649419"/>
          <a:ext cx="240195" cy="7648368"/>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17</xdr:col>
      <xdr:colOff>152400</xdr:colOff>
      <xdr:row>43</xdr:row>
      <xdr:rowOff>66675</xdr:rowOff>
    </xdr:from>
    <xdr:to>
      <xdr:col>22</xdr:col>
      <xdr:colOff>161925</xdr:colOff>
      <xdr:row>44</xdr:row>
      <xdr:rowOff>200025</xdr:rowOff>
    </xdr:to>
    <xdr:sp macro="" textlink="">
      <xdr:nvSpPr>
        <xdr:cNvPr id="101" name="正方形/長方形 100">
          <a:extLst>
            <a:ext uri="{FF2B5EF4-FFF2-40B4-BE49-F238E27FC236}">
              <a16:creationId xmlns:a16="http://schemas.microsoft.com/office/drawing/2014/main" id="{87724801-D319-46EB-8CC8-026B82FB3A6F}"/>
            </a:ext>
          </a:extLst>
        </xdr:cNvPr>
        <xdr:cNvSpPr/>
      </xdr:nvSpPr>
      <xdr:spPr>
        <a:xfrm>
          <a:off x="4798943" y="7032349"/>
          <a:ext cx="1376156" cy="37354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波形パート</a:t>
          </a:r>
        </a:p>
      </xdr:txBody>
    </xdr:sp>
    <xdr:clientData/>
  </xdr:twoCellAnchor>
  <xdr:twoCellAnchor>
    <xdr:from>
      <xdr:col>26</xdr:col>
      <xdr:colOff>6</xdr:colOff>
      <xdr:row>51</xdr:row>
      <xdr:rowOff>76201</xdr:rowOff>
    </xdr:from>
    <xdr:to>
      <xdr:col>29</xdr:col>
      <xdr:colOff>6</xdr:colOff>
      <xdr:row>52</xdr:row>
      <xdr:rowOff>14288</xdr:rowOff>
    </xdr:to>
    <xdr:sp macro="" textlink="">
      <xdr:nvSpPr>
        <xdr:cNvPr id="102" name="右中かっこ 101">
          <a:extLst>
            <a:ext uri="{FF2B5EF4-FFF2-40B4-BE49-F238E27FC236}">
              <a16:creationId xmlns:a16="http://schemas.microsoft.com/office/drawing/2014/main" id="{81344E47-4B50-4F02-BDB4-791B16B96792}"/>
            </a:ext>
          </a:extLst>
        </xdr:cNvPr>
        <xdr:cNvSpPr/>
      </xdr:nvSpPr>
      <xdr:spPr>
        <a:xfrm rot="16200000" flipH="1">
          <a:off x="7427332" y="8659157"/>
          <a:ext cx="178283" cy="819979"/>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24</xdr:col>
      <xdr:colOff>228600</xdr:colOff>
      <xdr:row>51</xdr:row>
      <xdr:rowOff>219075</xdr:rowOff>
    </xdr:from>
    <xdr:to>
      <xdr:col>30</xdr:col>
      <xdr:colOff>133350</xdr:colOff>
      <xdr:row>54</xdr:row>
      <xdr:rowOff>114300</xdr:rowOff>
    </xdr:to>
    <xdr:sp macro="" textlink="">
      <xdr:nvSpPr>
        <xdr:cNvPr id="103" name="正方形/長方形 102">
          <a:extLst>
            <a:ext uri="{FF2B5EF4-FFF2-40B4-BE49-F238E27FC236}">
              <a16:creationId xmlns:a16="http://schemas.microsoft.com/office/drawing/2014/main" id="{F24300E3-D2F7-4FB7-B5EF-709DE21D0485}"/>
            </a:ext>
          </a:extLst>
        </xdr:cNvPr>
        <xdr:cNvSpPr/>
      </xdr:nvSpPr>
      <xdr:spPr>
        <a:xfrm>
          <a:off x="6788426" y="9122879"/>
          <a:ext cx="1544707" cy="61581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latin typeface="Meiryo UI" panose="020B0604030504040204" pitchFamily="50" charset="-128"/>
              <a:ea typeface="Meiryo UI" panose="020B0604030504040204" pitchFamily="50" charset="-128"/>
            </a:rPr>
            <a:t>16-bit</a:t>
          </a:r>
          <a:r>
            <a:rPr kumimoji="1" lang="en-US" altLang="ja-JP" sz="1100" baseline="0">
              <a:solidFill>
                <a:schemeClr val="tx1"/>
              </a:solidFill>
              <a:latin typeface="Meiryo UI" panose="020B0604030504040204" pitchFamily="50" charset="-128"/>
              <a:ea typeface="Meiryo UI" panose="020B0604030504040204" pitchFamily="50" charset="-128"/>
            </a:rPr>
            <a:t> </a:t>
          </a:r>
          <a:r>
            <a:rPr kumimoji="1" lang="ja-JP" altLang="en-US" sz="1100" baseline="0">
              <a:solidFill>
                <a:schemeClr val="tx1"/>
              </a:solidFill>
              <a:latin typeface="Meiryo UI" panose="020B0604030504040204" pitchFamily="50" charset="-128"/>
              <a:ea typeface="Meiryo UI" panose="020B0604030504040204" pitchFamily="50" charset="-128"/>
            </a:rPr>
            <a:t>符号付整数</a:t>
          </a:r>
          <a:endParaRPr kumimoji="1" lang="ja-JP" altLang="en-US" sz="1100">
            <a:solidFill>
              <a:schemeClr val="tx1"/>
            </a:solidFill>
            <a:latin typeface="Meiryo UI" panose="020B0604030504040204" pitchFamily="50" charset="-128"/>
            <a:ea typeface="Meiryo UI" panose="020B0604030504040204" pitchFamily="50" charset="-128"/>
          </a:endParaRPr>
        </a:p>
      </xdr:txBody>
    </xdr:sp>
    <xdr:clientData/>
  </xdr:twoCellAnchor>
  <xdr:twoCellAnchor>
    <xdr:from>
      <xdr:col>23</xdr:col>
      <xdr:colOff>28575</xdr:colOff>
      <xdr:row>47</xdr:row>
      <xdr:rowOff>228600</xdr:rowOff>
    </xdr:from>
    <xdr:to>
      <xdr:col>25</xdr:col>
      <xdr:colOff>9525</xdr:colOff>
      <xdr:row>48</xdr:row>
      <xdr:rowOff>209550</xdr:rowOff>
    </xdr:to>
    <xdr:cxnSp macro="">
      <xdr:nvCxnSpPr>
        <xdr:cNvPr id="104" name="直線コネクタ 103">
          <a:extLst>
            <a:ext uri="{FF2B5EF4-FFF2-40B4-BE49-F238E27FC236}">
              <a16:creationId xmlns:a16="http://schemas.microsoft.com/office/drawing/2014/main" id="{D261205F-D7A4-4284-8ED8-83EFD8220AE0}"/>
            </a:ext>
          </a:extLst>
        </xdr:cNvPr>
        <xdr:cNvCxnSpPr/>
      </xdr:nvCxnSpPr>
      <xdr:spPr>
        <a:xfrm flipH="1">
          <a:off x="6315075" y="8171622"/>
          <a:ext cx="527602" cy="221145"/>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0</xdr:colOff>
      <xdr:row>47</xdr:row>
      <xdr:rowOff>228600</xdr:rowOff>
    </xdr:from>
    <xdr:to>
      <xdr:col>29</xdr:col>
      <xdr:colOff>28575</xdr:colOff>
      <xdr:row>48</xdr:row>
      <xdr:rowOff>200025</xdr:rowOff>
    </xdr:to>
    <xdr:cxnSp macro="">
      <xdr:nvCxnSpPr>
        <xdr:cNvPr id="105" name="直線コネクタ 104">
          <a:extLst>
            <a:ext uri="{FF2B5EF4-FFF2-40B4-BE49-F238E27FC236}">
              <a16:creationId xmlns:a16="http://schemas.microsoft.com/office/drawing/2014/main" id="{55585251-02AC-48DB-AB99-A359401AC267}"/>
            </a:ext>
          </a:extLst>
        </xdr:cNvPr>
        <xdr:cNvCxnSpPr/>
      </xdr:nvCxnSpPr>
      <xdr:spPr>
        <a:xfrm>
          <a:off x="7653130" y="8171622"/>
          <a:ext cx="301902" cy="211620"/>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32</xdr:col>
      <xdr:colOff>272084</xdr:colOff>
      <xdr:row>54</xdr:row>
      <xdr:rowOff>140807</xdr:rowOff>
    </xdr:from>
    <xdr:to>
      <xdr:col>35</xdr:col>
      <xdr:colOff>53009</xdr:colOff>
      <xdr:row>56</xdr:row>
      <xdr:rowOff>28162</xdr:rowOff>
    </xdr:to>
    <xdr:sp macro="" textlink="">
      <xdr:nvSpPr>
        <xdr:cNvPr id="106" name="正方形/長方形 105">
          <a:extLst>
            <a:ext uri="{FF2B5EF4-FFF2-40B4-BE49-F238E27FC236}">
              <a16:creationId xmlns:a16="http://schemas.microsoft.com/office/drawing/2014/main" id="{377D2349-9A2B-4128-B210-539310B24CC5}"/>
            </a:ext>
          </a:extLst>
        </xdr:cNvPr>
        <xdr:cNvSpPr/>
      </xdr:nvSpPr>
      <xdr:spPr>
        <a:xfrm>
          <a:off x="9018519" y="13127937"/>
          <a:ext cx="600903" cy="36774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r>
            <a:rPr kumimoji="1" lang="ja-JP" altLang="en-US" sz="1100">
              <a:solidFill>
                <a:schemeClr val="tx1"/>
              </a:solidFill>
            </a:rPr>
            <a:t>時間</a:t>
          </a:r>
        </a:p>
      </xdr:txBody>
    </xdr:sp>
    <xdr:clientData/>
  </xdr:twoCellAnchor>
  <xdr:twoCellAnchor>
    <xdr:from>
      <xdr:col>9</xdr:col>
      <xdr:colOff>30646</xdr:colOff>
      <xdr:row>51</xdr:row>
      <xdr:rowOff>113489</xdr:rowOff>
    </xdr:from>
    <xdr:to>
      <xdr:col>9</xdr:col>
      <xdr:colOff>159204</xdr:colOff>
      <xdr:row>53</xdr:row>
      <xdr:rowOff>161775</xdr:rowOff>
    </xdr:to>
    <xdr:sp macro="" textlink="">
      <xdr:nvSpPr>
        <xdr:cNvPr id="108" name="左中かっこ 107">
          <a:extLst>
            <a:ext uri="{FF2B5EF4-FFF2-40B4-BE49-F238E27FC236}">
              <a16:creationId xmlns:a16="http://schemas.microsoft.com/office/drawing/2014/main" id="{E18BF74A-9634-DBFE-311B-236C57BA0181}"/>
            </a:ext>
          </a:extLst>
        </xdr:cNvPr>
        <xdr:cNvSpPr/>
      </xdr:nvSpPr>
      <xdr:spPr>
        <a:xfrm>
          <a:off x="2516671" y="12276914"/>
          <a:ext cx="128558" cy="524536"/>
        </a:xfrm>
        <a:prstGeom prst="leftBrace">
          <a:avLst>
            <a:gd name="adj1" fmla="val 24333"/>
            <a:gd name="adj2" fmla="val 50378"/>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9</xdr:col>
      <xdr:colOff>128996</xdr:colOff>
      <xdr:row>50</xdr:row>
      <xdr:rowOff>223895</xdr:rowOff>
    </xdr:from>
    <xdr:to>
      <xdr:col>16</xdr:col>
      <xdr:colOff>27654</xdr:colOff>
      <xdr:row>54</xdr:row>
      <xdr:rowOff>45820</xdr:rowOff>
    </xdr:to>
    <xdr:sp macro="" textlink="">
      <xdr:nvSpPr>
        <xdr:cNvPr id="109" name="正方形/長方形 108">
          <a:extLst>
            <a:ext uri="{FF2B5EF4-FFF2-40B4-BE49-F238E27FC236}">
              <a16:creationId xmlns:a16="http://schemas.microsoft.com/office/drawing/2014/main" id="{1AF27B87-8848-4BAE-AFAA-A7FBC787263A}"/>
            </a:ext>
          </a:extLst>
        </xdr:cNvPr>
        <xdr:cNvSpPr/>
      </xdr:nvSpPr>
      <xdr:spPr>
        <a:xfrm>
          <a:off x="2615021" y="12149195"/>
          <a:ext cx="1832233" cy="77442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050" baseline="0">
              <a:solidFill>
                <a:schemeClr val="tx1"/>
              </a:solidFill>
              <a:latin typeface="Meiryo UI" panose="020B0604030504040204" pitchFamily="50" charset="-128"/>
              <a:ea typeface="Meiryo UI" panose="020B0604030504040204" pitchFamily="50" charset="-128"/>
            </a:rPr>
            <a:t>512  (</a:t>
          </a:r>
          <a:r>
            <a:rPr kumimoji="1" lang="ja-JP" altLang="en-US" sz="1050" baseline="0">
              <a:solidFill>
                <a:schemeClr val="tx1"/>
              </a:solidFill>
              <a:latin typeface="Meiryo UI" panose="020B0604030504040204" pitchFamily="50" charset="-128"/>
              <a:ea typeface="Meiryo UI" panose="020B0604030504040204" pitchFamily="50" charset="-128"/>
            </a:rPr>
            <a:t>デザイン </a:t>
          </a:r>
          <a:r>
            <a:rPr kumimoji="1" lang="en-US" altLang="ja-JP" sz="1050" baseline="0">
              <a:solidFill>
                <a:schemeClr val="tx1"/>
              </a:solidFill>
              <a:latin typeface="Meiryo UI" panose="020B0604030504040204" pitchFamily="50" charset="-128"/>
              <a:ea typeface="Meiryo UI" panose="020B0604030504040204" pitchFamily="50" charset="-128"/>
            </a:rPr>
            <a:t>2, 3)</a:t>
          </a:r>
        </a:p>
        <a:p>
          <a:pPr algn="l"/>
          <a:endParaRPr kumimoji="1" lang="en-US" altLang="ja-JP" sz="400" baseline="0">
            <a:solidFill>
              <a:schemeClr val="tx1"/>
            </a:solidFill>
            <a:latin typeface="Meiryo UI" panose="020B0604030504040204" pitchFamily="50" charset="-128"/>
            <a:ea typeface="Meiryo UI" panose="020B0604030504040204" pitchFamily="50" charset="-128"/>
          </a:endParaRPr>
        </a:p>
        <a:p>
          <a:pPr algn="l"/>
          <a:r>
            <a:rPr kumimoji="1" lang="en-US" altLang="ja-JP" sz="1050" baseline="0">
              <a:solidFill>
                <a:schemeClr val="tx1"/>
              </a:solidFill>
              <a:latin typeface="Meiryo UI" panose="020B0604030504040204" pitchFamily="50" charset="-128"/>
              <a:ea typeface="Meiryo UI" panose="020B0604030504040204" pitchFamily="50" charset="-128"/>
            </a:rPr>
            <a:t>2048  (</a:t>
          </a:r>
          <a:r>
            <a:rPr kumimoji="1" lang="ja-JP" altLang="en-US" sz="1050" baseline="0">
              <a:solidFill>
                <a:schemeClr val="tx1"/>
              </a:solidFill>
              <a:latin typeface="Meiryo UI" panose="020B0604030504040204" pitchFamily="50" charset="-128"/>
              <a:ea typeface="Meiryo UI" panose="020B0604030504040204" pitchFamily="50" charset="-128"/>
            </a:rPr>
            <a:t>デザイン </a:t>
          </a:r>
          <a:r>
            <a:rPr kumimoji="1" lang="en-US" altLang="ja-JP" sz="1050" baseline="0">
              <a:solidFill>
                <a:schemeClr val="tx1"/>
              </a:solidFill>
              <a:latin typeface="Meiryo UI" panose="020B0604030504040204" pitchFamily="50" charset="-128"/>
              <a:ea typeface="Meiryo UI" panose="020B0604030504040204" pitchFamily="50" charset="-128"/>
            </a:rPr>
            <a:t>4)</a:t>
          </a:r>
        </a:p>
      </xdr:txBody>
    </xdr:sp>
    <xdr:clientData/>
  </xdr:twoCellAnchor>
  <xdr:twoCellAnchor>
    <xdr:from>
      <xdr:col>5</xdr:col>
      <xdr:colOff>0</xdr:colOff>
      <xdr:row>94</xdr:row>
      <xdr:rowOff>9525</xdr:rowOff>
    </xdr:from>
    <xdr:to>
      <xdr:col>31</xdr:col>
      <xdr:colOff>0</xdr:colOff>
      <xdr:row>94</xdr:row>
      <xdr:rowOff>9525</xdr:rowOff>
    </xdr:to>
    <xdr:cxnSp macro="">
      <xdr:nvCxnSpPr>
        <xdr:cNvPr id="107" name="直線矢印コネクタ 106">
          <a:extLst>
            <a:ext uri="{FF2B5EF4-FFF2-40B4-BE49-F238E27FC236}">
              <a16:creationId xmlns:a16="http://schemas.microsoft.com/office/drawing/2014/main" id="{A88E3D7D-ED2E-4366-A7D7-AB72F07BB2A1}"/>
            </a:ext>
          </a:extLst>
        </xdr:cNvPr>
        <xdr:cNvCxnSpPr/>
      </xdr:nvCxnSpPr>
      <xdr:spPr>
        <a:xfrm>
          <a:off x="1360714" y="21086989"/>
          <a:ext cx="707571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2199</xdr:colOff>
      <xdr:row>89</xdr:row>
      <xdr:rowOff>172853</xdr:rowOff>
    </xdr:from>
    <xdr:to>
      <xdr:col>11</xdr:col>
      <xdr:colOff>247653</xdr:colOff>
      <xdr:row>90</xdr:row>
      <xdr:rowOff>172854</xdr:rowOff>
    </xdr:to>
    <xdr:sp macro="" textlink="">
      <xdr:nvSpPr>
        <xdr:cNvPr id="110" name="右中かっこ 109">
          <a:extLst>
            <a:ext uri="{FF2B5EF4-FFF2-40B4-BE49-F238E27FC236}">
              <a16:creationId xmlns:a16="http://schemas.microsoft.com/office/drawing/2014/main" id="{7C550AD2-DEF9-4F29-984A-0D62DDDD58A4}"/>
            </a:ext>
          </a:extLst>
        </xdr:cNvPr>
        <xdr:cNvSpPr/>
      </xdr:nvSpPr>
      <xdr:spPr>
        <a:xfrm rot="16200000">
          <a:off x="2315675" y="19345055"/>
          <a:ext cx="244930" cy="1606168"/>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7</xdr:col>
      <xdr:colOff>15818</xdr:colOff>
      <xdr:row>88</xdr:row>
      <xdr:rowOff>125013</xdr:rowOff>
    </xdr:from>
    <xdr:to>
      <xdr:col>10</xdr:col>
      <xdr:colOff>238125</xdr:colOff>
      <xdr:row>89</xdr:row>
      <xdr:rowOff>216212</xdr:rowOff>
    </xdr:to>
    <xdr:sp macro="" textlink="">
      <xdr:nvSpPr>
        <xdr:cNvPr id="111" name="正方形/長方形 110">
          <a:extLst>
            <a:ext uri="{FF2B5EF4-FFF2-40B4-BE49-F238E27FC236}">
              <a16:creationId xmlns:a16="http://schemas.microsoft.com/office/drawing/2014/main" id="{1D564E9D-BD46-421A-94A8-3663ED4AC35D}"/>
            </a:ext>
          </a:extLst>
        </xdr:cNvPr>
        <xdr:cNvSpPr/>
      </xdr:nvSpPr>
      <xdr:spPr>
        <a:xfrm>
          <a:off x="1920818" y="19732906"/>
          <a:ext cx="1038736" cy="33612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1.00160 [us]</a:t>
          </a:r>
          <a:endParaRPr kumimoji="1" lang="ja-JP" altLang="en-US" sz="1100">
            <a:solidFill>
              <a:schemeClr val="tx1"/>
            </a:solidFill>
          </a:endParaRPr>
        </a:p>
      </xdr:txBody>
    </xdr:sp>
    <xdr:clientData/>
  </xdr:twoCellAnchor>
  <xdr:twoCellAnchor>
    <xdr:from>
      <xdr:col>12</xdr:col>
      <xdr:colOff>31271</xdr:colOff>
      <xdr:row>89</xdr:row>
      <xdr:rowOff>172853</xdr:rowOff>
    </xdr:from>
    <xdr:to>
      <xdr:col>19</xdr:col>
      <xdr:colOff>247649</xdr:colOff>
      <xdr:row>90</xdr:row>
      <xdr:rowOff>172854</xdr:rowOff>
    </xdr:to>
    <xdr:sp macro="" textlink="">
      <xdr:nvSpPr>
        <xdr:cNvPr id="112" name="右中かっこ 111">
          <a:extLst>
            <a:ext uri="{FF2B5EF4-FFF2-40B4-BE49-F238E27FC236}">
              <a16:creationId xmlns:a16="http://schemas.microsoft.com/office/drawing/2014/main" id="{72D9BD13-C6F1-4E88-B3AF-9B9A705CF576}"/>
            </a:ext>
          </a:extLst>
        </xdr:cNvPr>
        <xdr:cNvSpPr/>
      </xdr:nvSpPr>
      <xdr:spPr>
        <a:xfrm rot="16200000">
          <a:off x="4235209" y="19087450"/>
          <a:ext cx="244930" cy="2121378"/>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13</xdr:col>
      <xdr:colOff>248812</xdr:colOff>
      <xdr:row>88</xdr:row>
      <xdr:rowOff>125013</xdr:rowOff>
    </xdr:from>
    <xdr:to>
      <xdr:col>18</xdr:col>
      <xdr:colOff>28574</xdr:colOff>
      <xdr:row>89</xdr:row>
      <xdr:rowOff>208884</xdr:rowOff>
    </xdr:to>
    <xdr:sp macro="" textlink="">
      <xdr:nvSpPr>
        <xdr:cNvPr id="113" name="正方形/長方形 112">
          <a:extLst>
            <a:ext uri="{FF2B5EF4-FFF2-40B4-BE49-F238E27FC236}">
              <a16:creationId xmlns:a16="http://schemas.microsoft.com/office/drawing/2014/main" id="{FEF7D63D-F2CB-4CB3-8334-A336DEE2B49B}"/>
            </a:ext>
          </a:extLst>
        </xdr:cNvPr>
        <xdr:cNvSpPr/>
      </xdr:nvSpPr>
      <xdr:spPr>
        <a:xfrm>
          <a:off x="3786669" y="19732906"/>
          <a:ext cx="1140476" cy="32879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1.50240 [us]</a:t>
          </a:r>
          <a:endParaRPr kumimoji="1" lang="ja-JP" altLang="en-US" sz="1100">
            <a:solidFill>
              <a:schemeClr val="tx1"/>
            </a:solidFill>
          </a:endParaRPr>
        </a:p>
      </xdr:txBody>
    </xdr:sp>
    <xdr:clientData/>
  </xdr:twoCellAnchor>
  <xdr:twoCellAnchor>
    <xdr:from>
      <xdr:col>20</xdr:col>
      <xdr:colOff>19053</xdr:colOff>
      <xdr:row>89</xdr:row>
      <xdr:rowOff>173586</xdr:rowOff>
    </xdr:from>
    <xdr:to>
      <xdr:col>29</xdr:col>
      <xdr:colOff>257175</xdr:colOff>
      <xdr:row>90</xdr:row>
      <xdr:rowOff>173587</xdr:rowOff>
    </xdr:to>
    <xdr:sp macro="" textlink="">
      <xdr:nvSpPr>
        <xdr:cNvPr id="114" name="右中かっこ 113">
          <a:extLst>
            <a:ext uri="{FF2B5EF4-FFF2-40B4-BE49-F238E27FC236}">
              <a16:creationId xmlns:a16="http://schemas.microsoft.com/office/drawing/2014/main" id="{42FB0798-D248-456E-87F9-FE27F7A373B4}"/>
            </a:ext>
          </a:extLst>
        </xdr:cNvPr>
        <xdr:cNvSpPr/>
      </xdr:nvSpPr>
      <xdr:spPr>
        <a:xfrm rot="16200000">
          <a:off x="6683149" y="18805168"/>
          <a:ext cx="244930" cy="2687408"/>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22</xdr:col>
      <xdr:colOff>257175</xdr:colOff>
      <xdr:row>88</xdr:row>
      <xdr:rowOff>125013</xdr:rowOff>
    </xdr:from>
    <xdr:to>
      <xdr:col>27</xdr:col>
      <xdr:colOff>9525</xdr:colOff>
      <xdr:row>89</xdr:row>
      <xdr:rowOff>214746</xdr:rowOff>
    </xdr:to>
    <xdr:sp macro="" textlink="">
      <xdr:nvSpPr>
        <xdr:cNvPr id="115" name="正方形/長方形 114">
          <a:extLst>
            <a:ext uri="{FF2B5EF4-FFF2-40B4-BE49-F238E27FC236}">
              <a16:creationId xmlns:a16="http://schemas.microsoft.com/office/drawing/2014/main" id="{3C2228DE-AEB7-4566-9C3F-CC9293DCC2B1}"/>
            </a:ext>
          </a:extLst>
        </xdr:cNvPr>
        <xdr:cNvSpPr/>
      </xdr:nvSpPr>
      <xdr:spPr>
        <a:xfrm>
          <a:off x="6244318" y="19732906"/>
          <a:ext cx="1113064" cy="33466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2.00320 [us]</a:t>
          </a:r>
          <a:endParaRPr kumimoji="1" lang="ja-JP" altLang="en-US" sz="1100">
            <a:solidFill>
              <a:schemeClr val="tx1"/>
            </a:solidFill>
          </a:endParaRPr>
        </a:p>
      </xdr:txBody>
    </xdr:sp>
    <xdr:clientData/>
  </xdr:twoCellAnchor>
  <xdr:twoCellAnchor>
    <xdr:from>
      <xdr:col>28</xdr:col>
      <xdr:colOff>192279</xdr:colOff>
      <xdr:row>94</xdr:row>
      <xdr:rowOff>43857</xdr:rowOff>
    </xdr:from>
    <xdr:to>
      <xdr:col>30</xdr:col>
      <xdr:colOff>255710</xdr:colOff>
      <xdr:row>95</xdr:row>
      <xdr:rowOff>114300</xdr:rowOff>
    </xdr:to>
    <xdr:sp macro="" textlink="">
      <xdr:nvSpPr>
        <xdr:cNvPr id="116" name="正方形/長方形 115">
          <a:extLst>
            <a:ext uri="{FF2B5EF4-FFF2-40B4-BE49-F238E27FC236}">
              <a16:creationId xmlns:a16="http://schemas.microsoft.com/office/drawing/2014/main" id="{A30DD9D7-926A-434A-BAD4-5509A8C64248}"/>
            </a:ext>
          </a:extLst>
        </xdr:cNvPr>
        <xdr:cNvSpPr/>
      </xdr:nvSpPr>
      <xdr:spPr>
        <a:xfrm>
          <a:off x="7812279" y="21121321"/>
          <a:ext cx="607717" cy="31537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r>
            <a:rPr kumimoji="1" lang="ja-JP" altLang="en-US" sz="1100">
              <a:solidFill>
                <a:schemeClr val="tx1"/>
              </a:solidFill>
            </a:rPr>
            <a:t>時間</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2</xdr:col>
      <xdr:colOff>6569</xdr:colOff>
      <xdr:row>8</xdr:row>
      <xdr:rowOff>235169</xdr:rowOff>
    </xdr:from>
    <xdr:to>
      <xdr:col>32</xdr:col>
      <xdr:colOff>0</xdr:colOff>
      <xdr:row>8</xdr:row>
      <xdr:rowOff>235169</xdr:rowOff>
    </xdr:to>
    <xdr:cxnSp macro="">
      <xdr:nvCxnSpPr>
        <xdr:cNvPr id="2" name="直線コネクタ 1">
          <a:extLst>
            <a:ext uri="{FF2B5EF4-FFF2-40B4-BE49-F238E27FC236}">
              <a16:creationId xmlns:a16="http://schemas.microsoft.com/office/drawing/2014/main" id="{6CE95A58-18FD-41EA-8D69-78FE22406CC5}"/>
            </a:ext>
          </a:extLst>
        </xdr:cNvPr>
        <xdr:cNvCxnSpPr/>
      </xdr:nvCxnSpPr>
      <xdr:spPr>
        <a:xfrm>
          <a:off x="559019" y="2140169"/>
          <a:ext cx="6622831" cy="0"/>
        </a:xfrm>
        <a:prstGeom prst="line">
          <a:avLst/>
        </a:prstGeom>
        <a:ln w="12700">
          <a:solidFill>
            <a:schemeClr val="tx1"/>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30</xdr:col>
      <xdr:colOff>106746</xdr:colOff>
      <xdr:row>9</xdr:row>
      <xdr:rowOff>1196</xdr:rowOff>
    </xdr:from>
    <xdr:to>
      <xdr:col>33</xdr:col>
      <xdr:colOff>119884</xdr:colOff>
      <xdr:row>10</xdr:row>
      <xdr:rowOff>13323</xdr:rowOff>
    </xdr:to>
    <xdr:sp macro="" textlink="">
      <xdr:nvSpPr>
        <xdr:cNvPr id="3" name="正方形/長方形 2">
          <a:extLst>
            <a:ext uri="{FF2B5EF4-FFF2-40B4-BE49-F238E27FC236}">
              <a16:creationId xmlns:a16="http://schemas.microsoft.com/office/drawing/2014/main" id="{34F3072A-0DAD-4E5F-99A3-1474F6858B80}"/>
            </a:ext>
          </a:extLst>
        </xdr:cNvPr>
        <xdr:cNvSpPr/>
      </xdr:nvSpPr>
      <xdr:spPr>
        <a:xfrm>
          <a:off x="8419473" y="2339151"/>
          <a:ext cx="844411" cy="27189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時間</a:t>
          </a:r>
        </a:p>
      </xdr:txBody>
    </xdr:sp>
    <xdr:clientData/>
  </xdr:twoCellAnchor>
  <xdr:twoCellAnchor>
    <xdr:from>
      <xdr:col>3</xdr:col>
      <xdr:colOff>27475</xdr:colOff>
      <xdr:row>4</xdr:row>
      <xdr:rowOff>173282</xdr:rowOff>
    </xdr:from>
    <xdr:to>
      <xdr:col>29</xdr:col>
      <xdr:colOff>243989</xdr:colOff>
      <xdr:row>5</xdr:row>
      <xdr:rowOff>182807</xdr:rowOff>
    </xdr:to>
    <xdr:sp macro="" textlink="">
      <xdr:nvSpPr>
        <xdr:cNvPr id="4" name="右中かっこ 3">
          <a:extLst>
            <a:ext uri="{FF2B5EF4-FFF2-40B4-BE49-F238E27FC236}">
              <a16:creationId xmlns:a16="http://schemas.microsoft.com/office/drawing/2014/main" id="{3A4EC6A0-9A1B-4273-90AE-DE0C5CB63F91}"/>
            </a:ext>
          </a:extLst>
        </xdr:cNvPr>
        <xdr:cNvSpPr/>
      </xdr:nvSpPr>
      <xdr:spPr>
        <a:xfrm rot="16200000">
          <a:off x="4464844" y="-2461664"/>
          <a:ext cx="251313" cy="7455514"/>
        </a:xfrm>
        <a:prstGeom prst="rightBrace">
          <a:avLst>
            <a:gd name="adj1" fmla="val 54487"/>
            <a:gd name="adj2" fmla="val 50000"/>
          </a:avLst>
        </a:prstGeom>
        <a:ln w="12700">
          <a:solidFill>
            <a:schemeClr val="tx1"/>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14</xdr:col>
      <xdr:colOff>76201</xdr:colOff>
      <xdr:row>3</xdr:row>
      <xdr:rowOff>140676</xdr:rowOff>
    </xdr:from>
    <xdr:to>
      <xdr:col>18</xdr:col>
      <xdr:colOff>200026</xdr:colOff>
      <xdr:row>4</xdr:row>
      <xdr:rowOff>182439</xdr:rowOff>
    </xdr:to>
    <xdr:sp macro="" textlink="">
      <xdr:nvSpPr>
        <xdr:cNvPr id="5" name="正方形/長方形 4">
          <a:extLst>
            <a:ext uri="{FF2B5EF4-FFF2-40B4-BE49-F238E27FC236}">
              <a16:creationId xmlns:a16="http://schemas.microsoft.com/office/drawing/2014/main" id="{0889C368-E62F-46B2-9CA8-D616F762E8C2}"/>
            </a:ext>
          </a:extLst>
        </xdr:cNvPr>
        <xdr:cNvSpPr/>
      </xdr:nvSpPr>
      <xdr:spPr>
        <a:xfrm>
          <a:off x="3974124" y="866041"/>
          <a:ext cx="1237517" cy="283552"/>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キャプチャ区間</a:t>
          </a:r>
        </a:p>
      </xdr:txBody>
    </xdr:sp>
    <xdr:clientData/>
  </xdr:twoCellAnchor>
  <xdr:twoCellAnchor>
    <xdr:from>
      <xdr:col>6</xdr:col>
      <xdr:colOff>33336</xdr:colOff>
      <xdr:row>12</xdr:row>
      <xdr:rowOff>120528</xdr:rowOff>
    </xdr:from>
    <xdr:to>
      <xdr:col>16</xdr:col>
      <xdr:colOff>0</xdr:colOff>
      <xdr:row>13</xdr:row>
      <xdr:rowOff>130053</xdr:rowOff>
    </xdr:to>
    <xdr:sp macro="" textlink="">
      <xdr:nvSpPr>
        <xdr:cNvPr id="13" name="右中かっこ 12">
          <a:extLst>
            <a:ext uri="{FF2B5EF4-FFF2-40B4-BE49-F238E27FC236}">
              <a16:creationId xmlns:a16="http://schemas.microsoft.com/office/drawing/2014/main" id="{8B9B21B8-E8A8-40C2-8952-E36D38012691}"/>
            </a:ext>
          </a:extLst>
        </xdr:cNvPr>
        <xdr:cNvSpPr/>
      </xdr:nvSpPr>
      <xdr:spPr>
        <a:xfrm rot="16200000">
          <a:off x="2953665" y="1772199"/>
          <a:ext cx="251313" cy="2750895"/>
        </a:xfrm>
        <a:prstGeom prst="rightBrace">
          <a:avLst>
            <a:gd name="adj1" fmla="val 54487"/>
            <a:gd name="adj2" fmla="val 50000"/>
          </a:avLst>
        </a:prstGeom>
        <a:ln w="12700">
          <a:solidFill>
            <a:schemeClr val="tx1"/>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8</xdr:col>
      <xdr:colOff>23446</xdr:colOff>
      <xdr:row>11</xdr:row>
      <xdr:rowOff>65941</xdr:rowOff>
    </xdr:from>
    <xdr:to>
      <xdr:col>14</xdr:col>
      <xdr:colOff>73269</xdr:colOff>
      <xdr:row>12</xdr:row>
      <xdr:rowOff>107704</xdr:rowOff>
    </xdr:to>
    <xdr:sp macro="" textlink="">
      <xdr:nvSpPr>
        <xdr:cNvPr id="14" name="正方形/長方形 13">
          <a:extLst>
            <a:ext uri="{FF2B5EF4-FFF2-40B4-BE49-F238E27FC236}">
              <a16:creationId xmlns:a16="http://schemas.microsoft.com/office/drawing/2014/main" id="{44443D04-37F5-4CF9-AD97-C65A736DC3D2}"/>
            </a:ext>
          </a:extLst>
        </xdr:cNvPr>
        <xdr:cNvSpPr/>
      </xdr:nvSpPr>
      <xdr:spPr>
        <a:xfrm>
          <a:off x="2250831" y="2725614"/>
          <a:ext cx="1720361" cy="283552"/>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キャプチャステップ</a:t>
          </a:r>
          <a:endParaRPr kumimoji="1" lang="en-US" altLang="ja-JP" sz="1100">
            <a:solidFill>
              <a:schemeClr val="tx1"/>
            </a:solidFill>
          </a:endParaRPr>
        </a:p>
      </xdr:txBody>
    </xdr:sp>
    <xdr:clientData/>
  </xdr:twoCellAnchor>
  <xdr:twoCellAnchor>
    <xdr:from>
      <xdr:col>5</xdr:col>
      <xdr:colOff>0</xdr:colOff>
      <xdr:row>17</xdr:row>
      <xdr:rowOff>8035</xdr:rowOff>
    </xdr:from>
    <xdr:to>
      <xdr:col>17</xdr:col>
      <xdr:colOff>271096</xdr:colOff>
      <xdr:row>17</xdr:row>
      <xdr:rowOff>8035</xdr:rowOff>
    </xdr:to>
    <xdr:cxnSp macro="">
      <xdr:nvCxnSpPr>
        <xdr:cNvPr id="15" name="直線コネクタ 14">
          <a:extLst>
            <a:ext uri="{FF2B5EF4-FFF2-40B4-BE49-F238E27FC236}">
              <a16:creationId xmlns:a16="http://schemas.microsoft.com/office/drawing/2014/main" id="{0E5FD84B-1F75-42C9-B932-FA3D7E1544BE}"/>
            </a:ext>
          </a:extLst>
        </xdr:cNvPr>
        <xdr:cNvCxnSpPr/>
      </xdr:nvCxnSpPr>
      <xdr:spPr>
        <a:xfrm>
          <a:off x="1392115" y="4118439"/>
          <a:ext cx="3612173" cy="0"/>
        </a:xfrm>
        <a:prstGeom prst="line">
          <a:avLst/>
        </a:prstGeom>
        <a:ln w="12700">
          <a:solidFill>
            <a:schemeClr val="tx1"/>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131658</xdr:colOff>
      <xdr:row>17</xdr:row>
      <xdr:rowOff>20512</xdr:rowOff>
    </xdr:from>
    <xdr:to>
      <xdr:col>19</xdr:col>
      <xdr:colOff>144797</xdr:colOff>
      <xdr:row>18</xdr:row>
      <xdr:rowOff>103909</xdr:rowOff>
    </xdr:to>
    <xdr:sp macro="" textlink="">
      <xdr:nvSpPr>
        <xdr:cNvPr id="16" name="正方形/長方形 15">
          <a:extLst>
            <a:ext uri="{FF2B5EF4-FFF2-40B4-BE49-F238E27FC236}">
              <a16:creationId xmlns:a16="http://schemas.microsoft.com/office/drawing/2014/main" id="{AFA697BC-33B2-4293-8D26-209D16B88E57}"/>
            </a:ext>
          </a:extLst>
        </xdr:cNvPr>
        <xdr:cNvSpPr/>
      </xdr:nvSpPr>
      <xdr:spPr>
        <a:xfrm>
          <a:off x="4565113" y="4436648"/>
          <a:ext cx="844411" cy="34317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時間</a:t>
          </a:r>
        </a:p>
      </xdr:txBody>
    </xdr:sp>
    <xdr:clientData/>
  </xdr:twoCellAnchor>
  <xdr:twoCellAnchor>
    <xdr:from>
      <xdr:col>43</xdr:col>
      <xdr:colOff>31871</xdr:colOff>
      <xdr:row>20</xdr:row>
      <xdr:rowOff>133716</xdr:rowOff>
    </xdr:from>
    <xdr:to>
      <xdr:col>70</xdr:col>
      <xdr:colOff>263769</xdr:colOff>
      <xdr:row>21</xdr:row>
      <xdr:rowOff>143240</xdr:rowOff>
    </xdr:to>
    <xdr:sp macro="" textlink="">
      <xdr:nvSpPr>
        <xdr:cNvPr id="26" name="右中かっこ 25">
          <a:extLst>
            <a:ext uri="{FF2B5EF4-FFF2-40B4-BE49-F238E27FC236}">
              <a16:creationId xmlns:a16="http://schemas.microsoft.com/office/drawing/2014/main" id="{AF76273D-C10E-4DEA-942E-3EE75F5FD2A7}"/>
            </a:ext>
          </a:extLst>
        </xdr:cNvPr>
        <xdr:cNvSpPr/>
      </xdr:nvSpPr>
      <xdr:spPr>
        <a:xfrm rot="16200000">
          <a:off x="3807381" y="2375765"/>
          <a:ext cx="244847" cy="6114986"/>
        </a:xfrm>
        <a:prstGeom prst="rightBrace">
          <a:avLst>
            <a:gd name="adj1" fmla="val 54487"/>
            <a:gd name="adj2" fmla="val 50000"/>
          </a:avLst>
        </a:prstGeom>
        <a:ln w="12700">
          <a:solidFill>
            <a:schemeClr val="tx1"/>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53</xdr:col>
      <xdr:colOff>133175</xdr:colOff>
      <xdr:row>19</xdr:row>
      <xdr:rowOff>34636</xdr:rowOff>
    </xdr:from>
    <xdr:to>
      <xdr:col>60</xdr:col>
      <xdr:colOff>184722</xdr:colOff>
      <xdr:row>20</xdr:row>
      <xdr:rowOff>143737</xdr:rowOff>
    </xdr:to>
    <xdr:sp macro="" textlink="">
      <xdr:nvSpPr>
        <xdr:cNvPr id="27" name="正方形/長方形 26">
          <a:extLst>
            <a:ext uri="{FF2B5EF4-FFF2-40B4-BE49-F238E27FC236}">
              <a16:creationId xmlns:a16="http://schemas.microsoft.com/office/drawing/2014/main" id="{CD342DB3-2200-4A32-94A3-3A169054CE41}"/>
            </a:ext>
          </a:extLst>
        </xdr:cNvPr>
        <xdr:cNvSpPr/>
      </xdr:nvSpPr>
      <xdr:spPr>
        <a:xfrm>
          <a:off x="14818993" y="4970318"/>
          <a:ext cx="1991184" cy="368874"/>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キャプチャターゲット</a:t>
          </a:r>
          <a:endParaRPr kumimoji="1" lang="en-US" altLang="ja-JP" sz="1100">
            <a:solidFill>
              <a:schemeClr val="tx1"/>
            </a:solidFill>
          </a:endParaRPr>
        </a:p>
      </xdr:txBody>
    </xdr:sp>
    <xdr:clientData/>
  </xdr:twoCellAnchor>
  <xdr:twoCellAnchor>
    <xdr:from>
      <xdr:col>43</xdr:col>
      <xdr:colOff>24544</xdr:colOff>
      <xdr:row>24</xdr:row>
      <xdr:rowOff>124557</xdr:rowOff>
    </xdr:from>
    <xdr:to>
      <xdr:col>50</xdr:col>
      <xdr:colOff>249115</xdr:colOff>
      <xdr:row>25</xdr:row>
      <xdr:rowOff>97082</xdr:rowOff>
    </xdr:to>
    <xdr:sp macro="" textlink="">
      <xdr:nvSpPr>
        <xdr:cNvPr id="28" name="右中かっこ 27">
          <a:extLst>
            <a:ext uri="{FF2B5EF4-FFF2-40B4-BE49-F238E27FC236}">
              <a16:creationId xmlns:a16="http://schemas.microsoft.com/office/drawing/2014/main" id="{C40110CD-0ABA-4815-9DB3-0FE50C3AADD8}"/>
            </a:ext>
          </a:extLst>
        </xdr:cNvPr>
        <xdr:cNvSpPr/>
      </xdr:nvSpPr>
      <xdr:spPr>
        <a:xfrm rot="16200000" flipH="1">
          <a:off x="1573714" y="5534240"/>
          <a:ext cx="207848" cy="1625306"/>
        </a:xfrm>
        <a:prstGeom prst="rightBrace">
          <a:avLst>
            <a:gd name="adj1" fmla="val 54487"/>
            <a:gd name="adj2" fmla="val 50000"/>
          </a:avLst>
        </a:prstGeom>
        <a:ln w="12700">
          <a:solidFill>
            <a:schemeClr val="tx1"/>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44</xdr:col>
      <xdr:colOff>176232</xdr:colOff>
      <xdr:row>25</xdr:row>
      <xdr:rowOff>95766</xdr:rowOff>
    </xdr:from>
    <xdr:to>
      <xdr:col>49</xdr:col>
      <xdr:colOff>95250</xdr:colOff>
      <xdr:row>28</xdr:row>
      <xdr:rowOff>11206</xdr:rowOff>
    </xdr:to>
    <xdr:sp macro="" textlink="">
      <xdr:nvSpPr>
        <xdr:cNvPr id="29" name="正方形/長方形 28">
          <a:extLst>
            <a:ext uri="{FF2B5EF4-FFF2-40B4-BE49-F238E27FC236}">
              <a16:creationId xmlns:a16="http://schemas.microsoft.com/office/drawing/2014/main" id="{996D7E96-D1FB-4F26-81A0-5B9778623F2A}"/>
            </a:ext>
          </a:extLst>
        </xdr:cNvPr>
        <xdr:cNvSpPr/>
      </xdr:nvSpPr>
      <xdr:spPr>
        <a:xfrm>
          <a:off x="12330132" y="6010791"/>
          <a:ext cx="1300143" cy="686965"/>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総和区間 </a:t>
          </a:r>
          <a:r>
            <a:rPr kumimoji="1" lang="en-US" altLang="ja-JP" sz="1100">
              <a:solidFill>
                <a:schemeClr val="tx1"/>
              </a:solidFill>
            </a:rPr>
            <a:t>0</a:t>
          </a:r>
        </a:p>
        <a:p>
          <a:pPr algn="ctr"/>
          <a:endParaRPr kumimoji="1" lang="en-US" altLang="ja-JP" sz="300">
            <a:solidFill>
              <a:schemeClr val="tx1"/>
            </a:solidFill>
          </a:endParaRPr>
        </a:p>
        <a:p>
          <a:pPr algn="ctr"/>
          <a:r>
            <a:rPr kumimoji="1" lang="en-US" altLang="ja-JP" sz="1100">
              <a:solidFill>
                <a:schemeClr val="tx1"/>
              </a:solidFill>
            </a:rPr>
            <a:t>(</a:t>
          </a:r>
          <a:r>
            <a:rPr kumimoji="1" lang="ja-JP" altLang="en-US" sz="1100">
              <a:solidFill>
                <a:schemeClr val="tx1"/>
              </a:solidFill>
            </a:rPr>
            <a:t>サンプル数 </a:t>
          </a:r>
          <a:r>
            <a:rPr kumimoji="1" lang="en-US" altLang="ja-JP" sz="1100">
              <a:solidFill>
                <a:schemeClr val="tx1"/>
              </a:solidFill>
            </a:rPr>
            <a:t>= m)</a:t>
          </a:r>
        </a:p>
      </xdr:txBody>
    </xdr:sp>
    <xdr:clientData/>
  </xdr:twoCellAnchor>
  <xdr:twoCellAnchor>
    <xdr:from>
      <xdr:col>51</xdr:col>
      <xdr:colOff>45058</xdr:colOff>
      <xdr:row>24</xdr:row>
      <xdr:rowOff>123091</xdr:rowOff>
    </xdr:from>
    <xdr:to>
      <xdr:col>58</xdr:col>
      <xdr:colOff>269630</xdr:colOff>
      <xdr:row>25</xdr:row>
      <xdr:rowOff>95616</xdr:rowOff>
    </xdr:to>
    <xdr:sp macro="" textlink="">
      <xdr:nvSpPr>
        <xdr:cNvPr id="30" name="右中かっこ 29">
          <a:extLst>
            <a:ext uri="{FF2B5EF4-FFF2-40B4-BE49-F238E27FC236}">
              <a16:creationId xmlns:a16="http://schemas.microsoft.com/office/drawing/2014/main" id="{2176D823-AF4E-472C-B055-6C1F24C19097}"/>
            </a:ext>
          </a:extLst>
        </xdr:cNvPr>
        <xdr:cNvSpPr/>
      </xdr:nvSpPr>
      <xdr:spPr>
        <a:xfrm rot="16200000" flipH="1">
          <a:off x="3275112" y="5532773"/>
          <a:ext cx="207848" cy="1625307"/>
        </a:xfrm>
        <a:prstGeom prst="rightBrace">
          <a:avLst>
            <a:gd name="adj1" fmla="val 54487"/>
            <a:gd name="adj2" fmla="val 50000"/>
          </a:avLst>
        </a:prstGeom>
        <a:ln w="12700">
          <a:solidFill>
            <a:schemeClr val="tx1"/>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53</xdr:col>
      <xdr:colOff>128951</xdr:colOff>
      <xdr:row>25</xdr:row>
      <xdr:rowOff>105506</xdr:rowOff>
    </xdr:from>
    <xdr:to>
      <xdr:col>56</xdr:col>
      <xdr:colOff>247649</xdr:colOff>
      <xdr:row>26</xdr:row>
      <xdr:rowOff>147269</xdr:rowOff>
    </xdr:to>
    <xdr:sp macro="" textlink="">
      <xdr:nvSpPr>
        <xdr:cNvPr id="31" name="正方形/長方形 30">
          <a:extLst>
            <a:ext uri="{FF2B5EF4-FFF2-40B4-BE49-F238E27FC236}">
              <a16:creationId xmlns:a16="http://schemas.microsoft.com/office/drawing/2014/main" id="{2897FC13-C47C-438A-B762-03313B36C12E}"/>
            </a:ext>
          </a:extLst>
        </xdr:cNvPr>
        <xdr:cNvSpPr/>
      </xdr:nvSpPr>
      <xdr:spPr>
        <a:xfrm>
          <a:off x="2930422" y="6459241"/>
          <a:ext cx="959139" cy="277087"/>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総和区間 </a:t>
          </a:r>
          <a:r>
            <a:rPr kumimoji="1" lang="en-US" altLang="ja-JP" sz="1100">
              <a:solidFill>
                <a:schemeClr val="tx1"/>
              </a:solidFill>
            </a:rPr>
            <a:t>1</a:t>
          </a:r>
        </a:p>
      </xdr:txBody>
    </xdr:sp>
    <xdr:clientData/>
  </xdr:twoCellAnchor>
  <xdr:twoCellAnchor>
    <xdr:from>
      <xdr:col>61</xdr:col>
      <xdr:colOff>36266</xdr:colOff>
      <xdr:row>24</xdr:row>
      <xdr:rowOff>136279</xdr:rowOff>
    </xdr:from>
    <xdr:to>
      <xdr:col>68</xdr:col>
      <xdr:colOff>260837</xdr:colOff>
      <xdr:row>25</xdr:row>
      <xdr:rowOff>108804</xdr:rowOff>
    </xdr:to>
    <xdr:sp macro="" textlink="">
      <xdr:nvSpPr>
        <xdr:cNvPr id="32" name="右中かっこ 31">
          <a:extLst>
            <a:ext uri="{FF2B5EF4-FFF2-40B4-BE49-F238E27FC236}">
              <a16:creationId xmlns:a16="http://schemas.microsoft.com/office/drawing/2014/main" id="{02B9D0FF-91A5-4FD3-B8A5-ECDF193FDAE4}"/>
            </a:ext>
          </a:extLst>
        </xdr:cNvPr>
        <xdr:cNvSpPr/>
      </xdr:nvSpPr>
      <xdr:spPr>
        <a:xfrm rot="16200000" flipH="1">
          <a:off x="5507495" y="5545962"/>
          <a:ext cx="207848" cy="1625306"/>
        </a:xfrm>
        <a:prstGeom prst="rightBrace">
          <a:avLst>
            <a:gd name="adj1" fmla="val 54487"/>
            <a:gd name="adj2" fmla="val 50000"/>
          </a:avLst>
        </a:prstGeom>
        <a:ln w="12700">
          <a:solidFill>
            <a:schemeClr val="tx1"/>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63</xdr:col>
      <xdr:colOff>43961</xdr:colOff>
      <xdr:row>25</xdr:row>
      <xdr:rowOff>118694</xdr:rowOff>
    </xdr:from>
    <xdr:to>
      <xdr:col>68</xdr:col>
      <xdr:colOff>21980</xdr:colOff>
      <xdr:row>26</xdr:row>
      <xdr:rowOff>160457</xdr:rowOff>
    </xdr:to>
    <xdr:sp macro="" textlink="">
      <xdr:nvSpPr>
        <xdr:cNvPr id="33" name="正方形/長方形 32">
          <a:extLst>
            <a:ext uri="{FF2B5EF4-FFF2-40B4-BE49-F238E27FC236}">
              <a16:creationId xmlns:a16="http://schemas.microsoft.com/office/drawing/2014/main" id="{2BC19724-CE61-48AA-9D7D-6C702FE619FA}"/>
            </a:ext>
          </a:extLst>
        </xdr:cNvPr>
        <xdr:cNvSpPr/>
      </xdr:nvSpPr>
      <xdr:spPr>
        <a:xfrm>
          <a:off x="5086608" y="6472429"/>
          <a:ext cx="1098607" cy="277087"/>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総和区間 </a:t>
          </a:r>
          <a:r>
            <a:rPr kumimoji="1" lang="en-US" altLang="ja-JP" sz="1100">
              <a:solidFill>
                <a:schemeClr val="tx1"/>
              </a:solidFill>
            </a:rPr>
            <a:t>(n-1)</a:t>
          </a:r>
        </a:p>
      </xdr:txBody>
    </xdr:sp>
    <xdr:clientData/>
  </xdr:twoCellAnchor>
  <xdr:twoCellAnchor>
    <xdr:from>
      <xdr:col>43</xdr:col>
      <xdr:colOff>23079</xdr:colOff>
      <xdr:row>30</xdr:row>
      <xdr:rowOff>139577</xdr:rowOff>
    </xdr:from>
    <xdr:to>
      <xdr:col>70</xdr:col>
      <xdr:colOff>254977</xdr:colOff>
      <xdr:row>31</xdr:row>
      <xdr:rowOff>149102</xdr:rowOff>
    </xdr:to>
    <xdr:sp macro="" textlink="">
      <xdr:nvSpPr>
        <xdr:cNvPr id="34" name="右中かっこ 33">
          <a:extLst>
            <a:ext uri="{FF2B5EF4-FFF2-40B4-BE49-F238E27FC236}">
              <a16:creationId xmlns:a16="http://schemas.microsoft.com/office/drawing/2014/main" id="{B1025E24-2A11-447A-83F3-6AC1B8EAA5B5}"/>
            </a:ext>
          </a:extLst>
        </xdr:cNvPr>
        <xdr:cNvSpPr/>
      </xdr:nvSpPr>
      <xdr:spPr>
        <a:xfrm rot="16200000">
          <a:off x="3798589" y="4264214"/>
          <a:ext cx="244848" cy="6114986"/>
        </a:xfrm>
        <a:prstGeom prst="rightBrace">
          <a:avLst>
            <a:gd name="adj1" fmla="val 54487"/>
            <a:gd name="adj2" fmla="val 50000"/>
          </a:avLst>
        </a:prstGeom>
        <a:ln w="12700">
          <a:solidFill>
            <a:schemeClr val="tx1"/>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53</xdr:col>
      <xdr:colOff>135589</xdr:colOff>
      <xdr:row>29</xdr:row>
      <xdr:rowOff>119041</xdr:rowOff>
    </xdr:from>
    <xdr:to>
      <xdr:col>60</xdr:col>
      <xdr:colOff>187136</xdr:colOff>
      <xdr:row>30</xdr:row>
      <xdr:rowOff>160804</xdr:rowOff>
    </xdr:to>
    <xdr:sp macro="" textlink="">
      <xdr:nvSpPr>
        <xdr:cNvPr id="35" name="正方形/長方形 34">
          <a:extLst>
            <a:ext uri="{FF2B5EF4-FFF2-40B4-BE49-F238E27FC236}">
              <a16:creationId xmlns:a16="http://schemas.microsoft.com/office/drawing/2014/main" id="{582D77EE-AB6D-440F-933F-777AEDA2E4DB}"/>
            </a:ext>
          </a:extLst>
        </xdr:cNvPr>
        <xdr:cNvSpPr/>
      </xdr:nvSpPr>
      <xdr:spPr>
        <a:xfrm>
          <a:off x="14983383" y="7077894"/>
          <a:ext cx="2012577" cy="299498"/>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キャプチャターゲット</a:t>
          </a:r>
          <a:endParaRPr kumimoji="1" lang="en-US" altLang="ja-JP" sz="1100">
            <a:solidFill>
              <a:schemeClr val="tx1"/>
            </a:solidFill>
          </a:endParaRPr>
        </a:p>
      </xdr:txBody>
    </xdr:sp>
    <xdr:clientData/>
  </xdr:twoCellAnchor>
  <xdr:twoCellAnchor>
    <xdr:from>
      <xdr:col>43</xdr:col>
      <xdr:colOff>23078</xdr:colOff>
      <xdr:row>34</xdr:row>
      <xdr:rowOff>86456</xdr:rowOff>
    </xdr:from>
    <xdr:to>
      <xdr:col>50</xdr:col>
      <xdr:colOff>247649</xdr:colOff>
      <xdr:row>35</xdr:row>
      <xdr:rowOff>58981</xdr:rowOff>
    </xdr:to>
    <xdr:sp macro="" textlink="">
      <xdr:nvSpPr>
        <xdr:cNvPr id="36" name="右中かっこ 35">
          <a:extLst>
            <a:ext uri="{FF2B5EF4-FFF2-40B4-BE49-F238E27FC236}">
              <a16:creationId xmlns:a16="http://schemas.microsoft.com/office/drawing/2014/main" id="{9ABEF817-1E2B-4B49-9AF6-E3BDEC675AAC}"/>
            </a:ext>
          </a:extLst>
        </xdr:cNvPr>
        <xdr:cNvSpPr/>
      </xdr:nvSpPr>
      <xdr:spPr>
        <a:xfrm rot="16200000" flipH="1">
          <a:off x="1572247" y="7378728"/>
          <a:ext cx="207849" cy="1625306"/>
        </a:xfrm>
        <a:prstGeom prst="rightBrace">
          <a:avLst>
            <a:gd name="adj1" fmla="val 54487"/>
            <a:gd name="adj2" fmla="val 50000"/>
          </a:avLst>
        </a:prstGeom>
        <a:ln w="12700">
          <a:solidFill>
            <a:schemeClr val="tx1"/>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45</xdr:col>
      <xdr:colOff>106971</xdr:colOff>
      <xdr:row>35</xdr:row>
      <xdr:rowOff>68871</xdr:rowOff>
    </xdr:from>
    <xdr:to>
      <xdr:col>48</xdr:col>
      <xdr:colOff>225668</xdr:colOff>
      <xdr:row>36</xdr:row>
      <xdr:rowOff>110634</xdr:rowOff>
    </xdr:to>
    <xdr:sp macro="" textlink="">
      <xdr:nvSpPr>
        <xdr:cNvPr id="37" name="正方形/長方形 36">
          <a:extLst>
            <a:ext uri="{FF2B5EF4-FFF2-40B4-BE49-F238E27FC236}">
              <a16:creationId xmlns:a16="http://schemas.microsoft.com/office/drawing/2014/main" id="{C49B7294-8BB1-4F98-A10D-FAD9A0DB2B98}"/>
            </a:ext>
          </a:extLst>
        </xdr:cNvPr>
        <xdr:cNvSpPr/>
      </xdr:nvSpPr>
      <xdr:spPr>
        <a:xfrm>
          <a:off x="1227559" y="8305195"/>
          <a:ext cx="959138" cy="277086"/>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総和区間 </a:t>
          </a:r>
          <a:r>
            <a:rPr kumimoji="1" lang="en-US" altLang="ja-JP" sz="1100">
              <a:solidFill>
                <a:schemeClr val="tx1"/>
              </a:solidFill>
            </a:rPr>
            <a:t>0</a:t>
          </a:r>
        </a:p>
      </xdr:txBody>
    </xdr:sp>
    <xdr:clientData/>
  </xdr:twoCellAnchor>
  <xdr:twoCellAnchor>
    <xdr:from>
      <xdr:col>51</xdr:col>
      <xdr:colOff>43592</xdr:colOff>
      <xdr:row>34</xdr:row>
      <xdr:rowOff>84990</xdr:rowOff>
    </xdr:from>
    <xdr:to>
      <xdr:col>58</xdr:col>
      <xdr:colOff>268164</xdr:colOff>
      <xdr:row>35</xdr:row>
      <xdr:rowOff>57515</xdr:rowOff>
    </xdr:to>
    <xdr:sp macro="" textlink="">
      <xdr:nvSpPr>
        <xdr:cNvPr id="38" name="右中かっこ 37">
          <a:extLst>
            <a:ext uri="{FF2B5EF4-FFF2-40B4-BE49-F238E27FC236}">
              <a16:creationId xmlns:a16="http://schemas.microsoft.com/office/drawing/2014/main" id="{6F64618C-CE48-46D8-B7DC-B956421807C3}"/>
            </a:ext>
          </a:extLst>
        </xdr:cNvPr>
        <xdr:cNvSpPr/>
      </xdr:nvSpPr>
      <xdr:spPr>
        <a:xfrm rot="16200000" flipH="1">
          <a:off x="3273645" y="7377261"/>
          <a:ext cx="207849" cy="1625307"/>
        </a:xfrm>
        <a:prstGeom prst="rightBrace">
          <a:avLst>
            <a:gd name="adj1" fmla="val 54487"/>
            <a:gd name="adj2" fmla="val 50000"/>
          </a:avLst>
        </a:prstGeom>
        <a:ln w="12700">
          <a:solidFill>
            <a:schemeClr val="tx1"/>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53</xdr:col>
      <xdr:colOff>127485</xdr:colOff>
      <xdr:row>35</xdr:row>
      <xdr:rowOff>67405</xdr:rowOff>
    </xdr:from>
    <xdr:to>
      <xdr:col>56</xdr:col>
      <xdr:colOff>246183</xdr:colOff>
      <xdr:row>36</xdr:row>
      <xdr:rowOff>109168</xdr:rowOff>
    </xdr:to>
    <xdr:sp macro="" textlink="">
      <xdr:nvSpPr>
        <xdr:cNvPr id="39" name="正方形/長方形 38">
          <a:extLst>
            <a:ext uri="{FF2B5EF4-FFF2-40B4-BE49-F238E27FC236}">
              <a16:creationId xmlns:a16="http://schemas.microsoft.com/office/drawing/2014/main" id="{2F06A317-B47A-48F2-A8A3-F2CC008EC542}"/>
            </a:ext>
          </a:extLst>
        </xdr:cNvPr>
        <xdr:cNvSpPr/>
      </xdr:nvSpPr>
      <xdr:spPr>
        <a:xfrm>
          <a:off x="2928956" y="8303729"/>
          <a:ext cx="959139" cy="277086"/>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総和区間 </a:t>
          </a:r>
          <a:r>
            <a:rPr kumimoji="1" lang="en-US" altLang="ja-JP" sz="1100">
              <a:solidFill>
                <a:schemeClr val="tx1"/>
              </a:solidFill>
            </a:rPr>
            <a:t>1</a:t>
          </a:r>
        </a:p>
      </xdr:txBody>
    </xdr:sp>
    <xdr:clientData/>
  </xdr:twoCellAnchor>
  <xdr:twoCellAnchor>
    <xdr:from>
      <xdr:col>61</xdr:col>
      <xdr:colOff>34800</xdr:colOff>
      <xdr:row>34</xdr:row>
      <xdr:rowOff>98178</xdr:rowOff>
    </xdr:from>
    <xdr:to>
      <xdr:col>68</xdr:col>
      <xdr:colOff>259371</xdr:colOff>
      <xdr:row>35</xdr:row>
      <xdr:rowOff>70703</xdr:rowOff>
    </xdr:to>
    <xdr:sp macro="" textlink="">
      <xdr:nvSpPr>
        <xdr:cNvPr id="40" name="右中かっこ 39">
          <a:extLst>
            <a:ext uri="{FF2B5EF4-FFF2-40B4-BE49-F238E27FC236}">
              <a16:creationId xmlns:a16="http://schemas.microsoft.com/office/drawing/2014/main" id="{B2DD342F-0DAF-41F9-BD41-CCBFFDB9BD06}"/>
            </a:ext>
          </a:extLst>
        </xdr:cNvPr>
        <xdr:cNvSpPr/>
      </xdr:nvSpPr>
      <xdr:spPr>
        <a:xfrm rot="16200000" flipH="1">
          <a:off x="5506028" y="7390450"/>
          <a:ext cx="207849" cy="1625306"/>
        </a:xfrm>
        <a:prstGeom prst="rightBrace">
          <a:avLst>
            <a:gd name="adj1" fmla="val 54487"/>
            <a:gd name="adj2" fmla="val 50000"/>
          </a:avLst>
        </a:prstGeom>
        <a:ln w="12700">
          <a:solidFill>
            <a:schemeClr val="tx1"/>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63</xdr:col>
      <xdr:colOff>42495</xdr:colOff>
      <xdr:row>35</xdr:row>
      <xdr:rowOff>80593</xdr:rowOff>
    </xdr:from>
    <xdr:to>
      <xdr:col>68</xdr:col>
      <xdr:colOff>20514</xdr:colOff>
      <xdr:row>36</xdr:row>
      <xdr:rowOff>122356</xdr:rowOff>
    </xdr:to>
    <xdr:sp macro="" textlink="">
      <xdr:nvSpPr>
        <xdr:cNvPr id="41" name="正方形/長方形 40">
          <a:extLst>
            <a:ext uri="{FF2B5EF4-FFF2-40B4-BE49-F238E27FC236}">
              <a16:creationId xmlns:a16="http://schemas.microsoft.com/office/drawing/2014/main" id="{25CA04A1-3943-4379-996B-3687867EEFA6}"/>
            </a:ext>
          </a:extLst>
        </xdr:cNvPr>
        <xdr:cNvSpPr/>
      </xdr:nvSpPr>
      <xdr:spPr>
        <a:xfrm>
          <a:off x="5085142" y="8316917"/>
          <a:ext cx="1098607" cy="277086"/>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総和区間 </a:t>
          </a:r>
          <a:r>
            <a:rPr kumimoji="1" lang="en-US" altLang="ja-JP" sz="1100">
              <a:solidFill>
                <a:schemeClr val="tx1"/>
              </a:solidFill>
            </a:rPr>
            <a:t>(n-1)</a:t>
          </a:r>
        </a:p>
      </xdr:txBody>
    </xdr:sp>
    <xdr:clientData/>
  </xdr:twoCellAnchor>
  <xdr:twoCellAnchor>
    <xdr:from>
      <xdr:col>55</xdr:col>
      <xdr:colOff>224118</xdr:colOff>
      <xdr:row>27</xdr:row>
      <xdr:rowOff>78440</xdr:rowOff>
    </xdr:from>
    <xdr:to>
      <xdr:col>59</xdr:col>
      <xdr:colOff>123265</xdr:colOff>
      <xdr:row>29</xdr:row>
      <xdr:rowOff>44822</xdr:rowOff>
    </xdr:to>
    <xdr:sp macro="" textlink="">
      <xdr:nvSpPr>
        <xdr:cNvPr id="42" name="矢印: 下 41">
          <a:extLst>
            <a:ext uri="{FF2B5EF4-FFF2-40B4-BE49-F238E27FC236}">
              <a16:creationId xmlns:a16="http://schemas.microsoft.com/office/drawing/2014/main" id="{031F360A-33A1-ABEB-6AC5-D76CE906301F}"/>
            </a:ext>
          </a:extLst>
        </xdr:cNvPr>
        <xdr:cNvSpPr/>
      </xdr:nvSpPr>
      <xdr:spPr>
        <a:xfrm>
          <a:off x="15632206" y="6521822"/>
          <a:ext cx="1019735" cy="481853"/>
        </a:xfrm>
        <a:prstGeom prst="downArrow">
          <a:avLst/>
        </a:prstGeom>
        <a:solidFill>
          <a:srgbClr val="FFFF00"/>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ja-JP" altLang="en-US" sz="1200" b="1">
            <a:solidFill>
              <a:schemeClr val="tx1"/>
            </a:solidFill>
          </a:endParaRPr>
        </a:p>
      </xdr:txBody>
    </xdr:sp>
    <xdr:clientData/>
  </xdr:twoCellAnchor>
  <xdr:twoCellAnchor>
    <xdr:from>
      <xdr:col>25</xdr:col>
      <xdr:colOff>67236</xdr:colOff>
      <xdr:row>22</xdr:row>
      <xdr:rowOff>0</xdr:rowOff>
    </xdr:from>
    <xdr:to>
      <xdr:col>28</xdr:col>
      <xdr:colOff>56029</xdr:colOff>
      <xdr:row>23</xdr:row>
      <xdr:rowOff>78441</xdr:rowOff>
    </xdr:to>
    <xdr:sp macro="" textlink="">
      <xdr:nvSpPr>
        <xdr:cNvPr id="43" name="正方形/長方形 42">
          <a:extLst>
            <a:ext uri="{FF2B5EF4-FFF2-40B4-BE49-F238E27FC236}">
              <a16:creationId xmlns:a16="http://schemas.microsoft.com/office/drawing/2014/main" id="{8502C75F-342E-6339-12E4-52E4E2279BA0}"/>
            </a:ext>
          </a:extLst>
        </xdr:cNvPr>
        <xdr:cNvSpPr/>
      </xdr:nvSpPr>
      <xdr:spPr>
        <a:xfrm>
          <a:off x="7070912" y="5154706"/>
          <a:ext cx="829235" cy="336176"/>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56</xdr:col>
      <xdr:colOff>78443</xdr:colOff>
      <xdr:row>27</xdr:row>
      <xdr:rowOff>156883</xdr:rowOff>
    </xdr:from>
    <xdr:to>
      <xdr:col>59</xdr:col>
      <xdr:colOff>2</xdr:colOff>
      <xdr:row>28</xdr:row>
      <xdr:rowOff>201706</xdr:rowOff>
    </xdr:to>
    <xdr:sp macro="" textlink="">
      <xdr:nvSpPr>
        <xdr:cNvPr id="45" name="正方形/長方形 44">
          <a:extLst>
            <a:ext uri="{FF2B5EF4-FFF2-40B4-BE49-F238E27FC236}">
              <a16:creationId xmlns:a16="http://schemas.microsoft.com/office/drawing/2014/main" id="{09C31252-81EE-C275-A130-F9DDBBD3C85A}"/>
            </a:ext>
          </a:extLst>
        </xdr:cNvPr>
        <xdr:cNvSpPr/>
      </xdr:nvSpPr>
      <xdr:spPr>
        <a:xfrm>
          <a:off x="15766678" y="6600265"/>
          <a:ext cx="762000" cy="30255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200" b="1">
              <a:solidFill>
                <a:schemeClr val="tx1"/>
              </a:solidFill>
            </a:rPr>
            <a:t>総和</a:t>
          </a:r>
        </a:p>
      </xdr:txBody>
    </xdr:sp>
    <xdr:clientData/>
  </xdr:twoCellAnchor>
  <xdr:twoCellAnchor>
    <xdr:from>
      <xdr:col>4</xdr:col>
      <xdr:colOff>20665</xdr:colOff>
      <xdr:row>40</xdr:row>
      <xdr:rowOff>100098</xdr:rowOff>
    </xdr:from>
    <xdr:to>
      <xdr:col>13</xdr:col>
      <xdr:colOff>268941</xdr:colOff>
      <xdr:row>41</xdr:row>
      <xdr:rowOff>179293</xdr:rowOff>
    </xdr:to>
    <xdr:sp macro="" textlink="">
      <xdr:nvSpPr>
        <xdr:cNvPr id="54" name="右中かっこ 53">
          <a:extLst>
            <a:ext uri="{FF2B5EF4-FFF2-40B4-BE49-F238E27FC236}">
              <a16:creationId xmlns:a16="http://schemas.microsoft.com/office/drawing/2014/main" id="{7D20C18C-0B3B-488E-833A-299699177CDE}"/>
            </a:ext>
          </a:extLst>
        </xdr:cNvPr>
        <xdr:cNvSpPr/>
      </xdr:nvSpPr>
      <xdr:spPr>
        <a:xfrm rot="16200000">
          <a:off x="2357588" y="12028263"/>
          <a:ext cx="336930" cy="2769600"/>
        </a:xfrm>
        <a:prstGeom prst="rightBrace">
          <a:avLst>
            <a:gd name="adj1" fmla="val 54487"/>
            <a:gd name="adj2" fmla="val 50000"/>
          </a:avLst>
        </a:prstGeom>
        <a:ln w="12700">
          <a:solidFill>
            <a:schemeClr val="tx1"/>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5</xdr:col>
      <xdr:colOff>133176</xdr:colOff>
      <xdr:row>39</xdr:row>
      <xdr:rowOff>117230</xdr:rowOff>
    </xdr:from>
    <xdr:to>
      <xdr:col>12</xdr:col>
      <xdr:colOff>184723</xdr:colOff>
      <xdr:row>40</xdr:row>
      <xdr:rowOff>110121</xdr:rowOff>
    </xdr:to>
    <xdr:sp macro="" textlink="">
      <xdr:nvSpPr>
        <xdr:cNvPr id="55" name="正方形/長方形 54">
          <a:extLst>
            <a:ext uri="{FF2B5EF4-FFF2-40B4-BE49-F238E27FC236}">
              <a16:creationId xmlns:a16="http://schemas.microsoft.com/office/drawing/2014/main" id="{9C9CF463-D6F2-41FB-92B7-C72C81A84848}"/>
            </a:ext>
          </a:extLst>
        </xdr:cNvPr>
        <xdr:cNvSpPr/>
      </xdr:nvSpPr>
      <xdr:spPr>
        <a:xfrm>
          <a:off x="1525291" y="10147788"/>
          <a:ext cx="2000509" cy="249333"/>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キャプチャターゲット</a:t>
          </a:r>
          <a:endParaRPr kumimoji="1" lang="en-US" altLang="ja-JP" sz="1100">
            <a:solidFill>
              <a:schemeClr val="tx1"/>
            </a:solidFill>
          </a:endParaRPr>
        </a:p>
      </xdr:txBody>
    </xdr:sp>
    <xdr:clientData/>
  </xdr:twoCellAnchor>
  <xdr:twoCellAnchor>
    <xdr:from>
      <xdr:col>6</xdr:col>
      <xdr:colOff>174813</xdr:colOff>
      <xdr:row>44</xdr:row>
      <xdr:rowOff>186015</xdr:rowOff>
    </xdr:from>
    <xdr:to>
      <xdr:col>11</xdr:col>
      <xdr:colOff>134472</xdr:colOff>
      <xdr:row>46</xdr:row>
      <xdr:rowOff>246529</xdr:rowOff>
    </xdr:to>
    <xdr:sp macro="" textlink="">
      <xdr:nvSpPr>
        <xdr:cNvPr id="56" name="矢印: 下 55">
          <a:extLst>
            <a:ext uri="{FF2B5EF4-FFF2-40B4-BE49-F238E27FC236}">
              <a16:creationId xmlns:a16="http://schemas.microsoft.com/office/drawing/2014/main" id="{E210F145-8462-444D-BB16-50F06456D06A}"/>
            </a:ext>
          </a:extLst>
        </xdr:cNvPr>
        <xdr:cNvSpPr/>
      </xdr:nvSpPr>
      <xdr:spPr>
        <a:xfrm>
          <a:off x="1855695" y="14361456"/>
          <a:ext cx="1360395" cy="575985"/>
        </a:xfrm>
        <a:prstGeom prst="downArrow">
          <a:avLst/>
        </a:prstGeom>
        <a:solidFill>
          <a:srgbClr val="FFFF00"/>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ja-JP" altLang="en-US" sz="1200" b="1">
            <a:solidFill>
              <a:schemeClr val="tx1"/>
            </a:solidFill>
          </a:endParaRPr>
        </a:p>
      </xdr:txBody>
    </xdr:sp>
    <xdr:clientData/>
  </xdr:twoCellAnchor>
  <xdr:twoCellAnchor>
    <xdr:from>
      <xdr:col>7</xdr:col>
      <xdr:colOff>197228</xdr:colOff>
      <xdr:row>45</xdr:row>
      <xdr:rowOff>6723</xdr:rowOff>
    </xdr:from>
    <xdr:to>
      <xdr:col>10</xdr:col>
      <xdr:colOff>118786</xdr:colOff>
      <xdr:row>46</xdr:row>
      <xdr:rowOff>51547</xdr:rowOff>
    </xdr:to>
    <xdr:sp macro="" textlink="">
      <xdr:nvSpPr>
        <xdr:cNvPr id="57" name="正方形/長方形 56">
          <a:extLst>
            <a:ext uri="{FF2B5EF4-FFF2-40B4-BE49-F238E27FC236}">
              <a16:creationId xmlns:a16="http://schemas.microsoft.com/office/drawing/2014/main" id="{71D0E60C-F5D9-4E44-B158-0F3F1BE949FA}"/>
            </a:ext>
          </a:extLst>
        </xdr:cNvPr>
        <xdr:cNvSpPr/>
      </xdr:nvSpPr>
      <xdr:spPr>
        <a:xfrm>
          <a:off x="2158257" y="14439899"/>
          <a:ext cx="762000" cy="3025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200" b="1">
              <a:solidFill>
                <a:schemeClr val="tx1"/>
              </a:solidFill>
            </a:rPr>
            <a:t>二値化</a:t>
          </a:r>
        </a:p>
      </xdr:txBody>
    </xdr:sp>
    <xdr:clientData/>
  </xdr:twoCellAnchor>
  <xdr:twoCellAnchor>
    <xdr:from>
      <xdr:col>4</xdr:col>
      <xdr:colOff>38594</xdr:colOff>
      <xdr:row>48</xdr:row>
      <xdr:rowOff>39587</xdr:rowOff>
    </xdr:from>
    <xdr:to>
      <xdr:col>14</xdr:col>
      <xdr:colOff>6723</xdr:colOff>
      <xdr:row>49</xdr:row>
      <xdr:rowOff>118780</xdr:rowOff>
    </xdr:to>
    <xdr:sp macro="" textlink="">
      <xdr:nvSpPr>
        <xdr:cNvPr id="61" name="右中かっこ 60">
          <a:extLst>
            <a:ext uri="{FF2B5EF4-FFF2-40B4-BE49-F238E27FC236}">
              <a16:creationId xmlns:a16="http://schemas.microsoft.com/office/drawing/2014/main" id="{A0410311-4BB1-4738-B31C-3644A1B9007C}"/>
            </a:ext>
          </a:extLst>
        </xdr:cNvPr>
        <xdr:cNvSpPr/>
      </xdr:nvSpPr>
      <xdr:spPr>
        <a:xfrm rot="16200000">
          <a:off x="2375517" y="14029634"/>
          <a:ext cx="336929" cy="2769600"/>
        </a:xfrm>
        <a:prstGeom prst="rightBrace">
          <a:avLst>
            <a:gd name="adj1" fmla="val 54487"/>
            <a:gd name="adj2" fmla="val 50000"/>
          </a:avLst>
        </a:prstGeom>
        <a:ln w="12700">
          <a:solidFill>
            <a:schemeClr val="tx1"/>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5</xdr:col>
      <xdr:colOff>151105</xdr:colOff>
      <xdr:row>47</xdr:row>
      <xdr:rowOff>7845</xdr:rowOff>
    </xdr:from>
    <xdr:to>
      <xdr:col>12</xdr:col>
      <xdr:colOff>202652</xdr:colOff>
      <xdr:row>48</xdr:row>
      <xdr:rowOff>49610</xdr:rowOff>
    </xdr:to>
    <xdr:sp macro="" textlink="">
      <xdr:nvSpPr>
        <xdr:cNvPr id="62" name="正方形/長方形 61">
          <a:extLst>
            <a:ext uri="{FF2B5EF4-FFF2-40B4-BE49-F238E27FC236}">
              <a16:creationId xmlns:a16="http://schemas.microsoft.com/office/drawing/2014/main" id="{BABEE243-B8D3-4011-A673-821FB26AADC1}"/>
            </a:ext>
          </a:extLst>
        </xdr:cNvPr>
        <xdr:cNvSpPr/>
      </xdr:nvSpPr>
      <xdr:spPr>
        <a:xfrm>
          <a:off x="1551840" y="14956492"/>
          <a:ext cx="2012577" cy="299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キャプチャターゲット</a:t>
          </a:r>
          <a:endParaRPr kumimoji="1" lang="en-US" altLang="ja-JP" sz="1100">
            <a:solidFill>
              <a:schemeClr val="tx1"/>
            </a:solidFill>
          </a:endParaRPr>
        </a:p>
      </xdr:txBody>
    </xdr:sp>
    <xdr:clientData/>
  </xdr:twoCellAnchor>
  <xdr:twoCellAnchor>
    <xdr:from>
      <xdr:col>42</xdr:col>
      <xdr:colOff>56030</xdr:colOff>
      <xdr:row>21</xdr:row>
      <xdr:rowOff>123264</xdr:rowOff>
    </xdr:from>
    <xdr:to>
      <xdr:col>42</xdr:col>
      <xdr:colOff>268941</xdr:colOff>
      <xdr:row>22</xdr:row>
      <xdr:rowOff>224117</xdr:rowOff>
    </xdr:to>
    <xdr:cxnSp macro="">
      <xdr:nvCxnSpPr>
        <xdr:cNvPr id="65" name="直線コネクタ 64">
          <a:extLst>
            <a:ext uri="{FF2B5EF4-FFF2-40B4-BE49-F238E27FC236}">
              <a16:creationId xmlns:a16="http://schemas.microsoft.com/office/drawing/2014/main" id="{8A8690E0-F4C8-1B7E-D7F5-D2D2AB02BEE8}"/>
            </a:ext>
          </a:extLst>
        </xdr:cNvPr>
        <xdr:cNvCxnSpPr/>
      </xdr:nvCxnSpPr>
      <xdr:spPr>
        <a:xfrm flipH="1" flipV="1">
          <a:off x="11822206" y="5020235"/>
          <a:ext cx="212911" cy="369794"/>
        </a:xfrm>
        <a:prstGeom prst="line">
          <a:avLst/>
        </a:prstGeom>
        <a:ln>
          <a:solidFill>
            <a:schemeClr val="tx1"/>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39</xdr:col>
      <xdr:colOff>195929</xdr:colOff>
      <xdr:row>20</xdr:row>
      <xdr:rowOff>97490</xdr:rowOff>
    </xdr:from>
    <xdr:to>
      <xdr:col>43</xdr:col>
      <xdr:colOff>22412</xdr:colOff>
      <xdr:row>21</xdr:row>
      <xdr:rowOff>139253</xdr:rowOff>
    </xdr:to>
    <xdr:sp macro="" textlink="">
      <xdr:nvSpPr>
        <xdr:cNvPr id="66" name="正方形/長方形 65">
          <a:extLst>
            <a:ext uri="{FF2B5EF4-FFF2-40B4-BE49-F238E27FC236}">
              <a16:creationId xmlns:a16="http://schemas.microsoft.com/office/drawing/2014/main" id="{4BD01E4A-7634-48D7-8750-1AAB57CEF490}"/>
            </a:ext>
          </a:extLst>
        </xdr:cNvPr>
        <xdr:cNvSpPr/>
      </xdr:nvSpPr>
      <xdr:spPr>
        <a:xfrm>
          <a:off x="11121664" y="4736725"/>
          <a:ext cx="947072" cy="29949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サンプル</a:t>
          </a:r>
          <a:endParaRPr kumimoji="1" lang="en-US" altLang="ja-JP" sz="1100">
            <a:solidFill>
              <a:schemeClr val="tx1"/>
            </a:solidFill>
          </a:endParaRPr>
        </a:p>
      </xdr:txBody>
    </xdr:sp>
    <xdr:clientData/>
  </xdr:twoCellAnchor>
  <xdr:twoCellAnchor>
    <xdr:from>
      <xdr:col>4</xdr:col>
      <xdr:colOff>20665</xdr:colOff>
      <xdr:row>56</xdr:row>
      <xdr:rowOff>100098</xdr:rowOff>
    </xdr:from>
    <xdr:to>
      <xdr:col>13</xdr:col>
      <xdr:colOff>268941</xdr:colOff>
      <xdr:row>57</xdr:row>
      <xdr:rowOff>179293</xdr:rowOff>
    </xdr:to>
    <xdr:sp macro="" textlink="">
      <xdr:nvSpPr>
        <xdr:cNvPr id="6" name="右中かっこ 5">
          <a:extLst>
            <a:ext uri="{FF2B5EF4-FFF2-40B4-BE49-F238E27FC236}">
              <a16:creationId xmlns:a16="http://schemas.microsoft.com/office/drawing/2014/main" id="{DDFF0260-5FE1-44C5-BCF5-DA52F1F33E81}"/>
            </a:ext>
          </a:extLst>
        </xdr:cNvPr>
        <xdr:cNvSpPr/>
      </xdr:nvSpPr>
      <xdr:spPr>
        <a:xfrm rot="16200000">
          <a:off x="2289151" y="9316040"/>
          <a:ext cx="337731" cy="2697562"/>
        </a:xfrm>
        <a:prstGeom prst="rightBrace">
          <a:avLst>
            <a:gd name="adj1" fmla="val 54487"/>
            <a:gd name="adj2" fmla="val 50000"/>
          </a:avLst>
        </a:prstGeom>
        <a:ln w="12700">
          <a:solidFill>
            <a:schemeClr val="tx1"/>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5</xdr:col>
      <xdr:colOff>133176</xdr:colOff>
      <xdr:row>55</xdr:row>
      <xdr:rowOff>43962</xdr:rowOff>
    </xdr:from>
    <xdr:to>
      <xdr:col>12</xdr:col>
      <xdr:colOff>184723</xdr:colOff>
      <xdr:row>56</xdr:row>
      <xdr:rowOff>110122</xdr:rowOff>
    </xdr:to>
    <xdr:sp macro="" textlink="">
      <xdr:nvSpPr>
        <xdr:cNvPr id="7" name="正方形/長方形 6">
          <a:extLst>
            <a:ext uri="{FF2B5EF4-FFF2-40B4-BE49-F238E27FC236}">
              <a16:creationId xmlns:a16="http://schemas.microsoft.com/office/drawing/2014/main" id="{C505DFBB-4406-45E7-A0E3-958D0A35EB3C}"/>
            </a:ext>
          </a:extLst>
        </xdr:cNvPr>
        <xdr:cNvSpPr/>
      </xdr:nvSpPr>
      <xdr:spPr>
        <a:xfrm>
          <a:off x="1525291" y="14177597"/>
          <a:ext cx="2000509" cy="322602"/>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キャプチャターゲット</a:t>
          </a:r>
          <a:endParaRPr kumimoji="1" lang="en-US" altLang="ja-JP" sz="1100">
            <a:solidFill>
              <a:schemeClr val="tx1"/>
            </a:solidFill>
          </a:endParaRPr>
        </a:p>
      </xdr:txBody>
    </xdr:sp>
    <xdr:clientData/>
  </xdr:twoCellAnchor>
  <xdr:twoCellAnchor>
    <xdr:from>
      <xdr:col>6</xdr:col>
      <xdr:colOff>217050</xdr:colOff>
      <xdr:row>60</xdr:row>
      <xdr:rowOff>186015</xdr:rowOff>
    </xdr:from>
    <xdr:to>
      <xdr:col>11</xdr:col>
      <xdr:colOff>78444</xdr:colOff>
      <xdr:row>62</xdr:row>
      <xdr:rowOff>190500</xdr:rowOff>
    </xdr:to>
    <xdr:sp macro="" textlink="">
      <xdr:nvSpPr>
        <xdr:cNvPr id="8" name="矢印: 下 7">
          <a:extLst>
            <a:ext uri="{FF2B5EF4-FFF2-40B4-BE49-F238E27FC236}">
              <a16:creationId xmlns:a16="http://schemas.microsoft.com/office/drawing/2014/main" id="{025FCB5C-7BDF-4563-8066-2F230BB58026}"/>
            </a:ext>
          </a:extLst>
        </xdr:cNvPr>
        <xdr:cNvSpPr/>
      </xdr:nvSpPr>
      <xdr:spPr>
        <a:xfrm>
          <a:off x="1874400" y="15654615"/>
          <a:ext cx="1242519" cy="518835"/>
        </a:xfrm>
        <a:prstGeom prst="downArrow">
          <a:avLst/>
        </a:prstGeom>
        <a:solidFill>
          <a:srgbClr val="FFFF00"/>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ja-JP" altLang="en-US" sz="1200" b="1">
            <a:solidFill>
              <a:schemeClr val="tx1"/>
            </a:solidFill>
          </a:endParaRPr>
        </a:p>
      </xdr:txBody>
    </xdr:sp>
    <xdr:clientData/>
  </xdr:twoCellAnchor>
  <xdr:twoCellAnchor>
    <xdr:from>
      <xdr:col>8</xdr:col>
      <xdr:colOff>62759</xdr:colOff>
      <xdr:row>61</xdr:row>
      <xdr:rowOff>6723</xdr:rowOff>
    </xdr:from>
    <xdr:to>
      <xdr:col>9</xdr:col>
      <xdr:colOff>212915</xdr:colOff>
      <xdr:row>62</xdr:row>
      <xdr:rowOff>51547</xdr:rowOff>
    </xdr:to>
    <xdr:sp macro="" textlink="">
      <xdr:nvSpPr>
        <xdr:cNvPr id="9" name="正方形/長方形 8">
          <a:extLst>
            <a:ext uri="{FF2B5EF4-FFF2-40B4-BE49-F238E27FC236}">
              <a16:creationId xmlns:a16="http://schemas.microsoft.com/office/drawing/2014/main" id="{6668CB10-7122-441E-BB99-F6023592211B}"/>
            </a:ext>
          </a:extLst>
        </xdr:cNvPr>
        <xdr:cNvSpPr/>
      </xdr:nvSpPr>
      <xdr:spPr>
        <a:xfrm>
          <a:off x="2303935" y="15773399"/>
          <a:ext cx="430304" cy="3025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b="1">
              <a:solidFill>
                <a:schemeClr val="tx1"/>
              </a:solidFill>
            </a:rPr>
            <a:t>ALL</a:t>
          </a:r>
          <a:endParaRPr kumimoji="1" lang="ja-JP" altLang="en-US" sz="1200" b="1">
            <a:solidFill>
              <a:schemeClr val="tx1"/>
            </a:solidFill>
          </a:endParaRPr>
        </a:p>
      </xdr:txBody>
    </xdr:sp>
    <xdr:clientData/>
  </xdr:twoCellAnchor>
  <xdr:twoCellAnchor>
    <xdr:from>
      <xdr:col>4</xdr:col>
      <xdr:colOff>38594</xdr:colOff>
      <xdr:row>64</xdr:row>
      <xdr:rowOff>98203</xdr:rowOff>
    </xdr:from>
    <xdr:to>
      <xdr:col>14</xdr:col>
      <xdr:colOff>6723</xdr:colOff>
      <xdr:row>65</xdr:row>
      <xdr:rowOff>177396</xdr:rowOff>
    </xdr:to>
    <xdr:sp macro="" textlink="">
      <xdr:nvSpPr>
        <xdr:cNvPr id="10" name="右中かっこ 9">
          <a:extLst>
            <a:ext uri="{FF2B5EF4-FFF2-40B4-BE49-F238E27FC236}">
              <a16:creationId xmlns:a16="http://schemas.microsoft.com/office/drawing/2014/main" id="{84B93EC7-5259-4207-BA27-B3191FDA9BF2}"/>
            </a:ext>
          </a:extLst>
        </xdr:cNvPr>
        <xdr:cNvSpPr/>
      </xdr:nvSpPr>
      <xdr:spPr>
        <a:xfrm rot="16200000">
          <a:off x="2360648" y="15331456"/>
          <a:ext cx="335636" cy="2752360"/>
        </a:xfrm>
        <a:prstGeom prst="rightBrace">
          <a:avLst>
            <a:gd name="adj1" fmla="val 54487"/>
            <a:gd name="adj2" fmla="val 50000"/>
          </a:avLst>
        </a:prstGeom>
        <a:ln w="12700">
          <a:solidFill>
            <a:schemeClr val="tx1"/>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5</xdr:col>
      <xdr:colOff>129124</xdr:colOff>
      <xdr:row>63</xdr:row>
      <xdr:rowOff>29826</xdr:rowOff>
    </xdr:from>
    <xdr:to>
      <xdr:col>12</xdr:col>
      <xdr:colOff>180671</xdr:colOff>
      <xdr:row>64</xdr:row>
      <xdr:rowOff>71591</xdr:rowOff>
    </xdr:to>
    <xdr:sp macro="" textlink="">
      <xdr:nvSpPr>
        <xdr:cNvPr id="11" name="正方形/長方形 10">
          <a:extLst>
            <a:ext uri="{FF2B5EF4-FFF2-40B4-BE49-F238E27FC236}">
              <a16:creationId xmlns:a16="http://schemas.microsoft.com/office/drawing/2014/main" id="{A91DC73E-ADAA-473A-8CD6-294900F60C0F}"/>
            </a:ext>
          </a:extLst>
        </xdr:cNvPr>
        <xdr:cNvSpPr/>
      </xdr:nvSpPr>
      <xdr:spPr>
        <a:xfrm>
          <a:off x="1521239" y="16214999"/>
          <a:ext cx="2000509" cy="298207"/>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キャプチャターゲット</a:t>
          </a:r>
          <a:endParaRPr kumimoji="1" lang="en-US" altLang="ja-JP" sz="1100">
            <a:solidFill>
              <a:schemeClr val="tx1"/>
            </a:solidFill>
          </a:endParaRPr>
        </a:p>
      </xdr:txBody>
    </xdr:sp>
    <xdr:clientData/>
  </xdr:twoCellAnchor>
  <xdr:twoCellAnchor>
    <xdr:from>
      <xdr:col>16</xdr:col>
      <xdr:colOff>20665</xdr:colOff>
      <xdr:row>56</xdr:row>
      <xdr:rowOff>100098</xdr:rowOff>
    </xdr:from>
    <xdr:to>
      <xdr:col>25</xdr:col>
      <xdr:colOff>268941</xdr:colOff>
      <xdr:row>57</xdr:row>
      <xdr:rowOff>179293</xdr:rowOff>
    </xdr:to>
    <xdr:sp macro="" textlink="">
      <xdr:nvSpPr>
        <xdr:cNvPr id="12" name="右中かっこ 11">
          <a:extLst>
            <a:ext uri="{FF2B5EF4-FFF2-40B4-BE49-F238E27FC236}">
              <a16:creationId xmlns:a16="http://schemas.microsoft.com/office/drawing/2014/main" id="{13C9998D-E6B5-4D55-8957-B793529E2F8D}"/>
            </a:ext>
          </a:extLst>
        </xdr:cNvPr>
        <xdr:cNvSpPr/>
      </xdr:nvSpPr>
      <xdr:spPr>
        <a:xfrm rot="16200000">
          <a:off x="2324531" y="13341032"/>
          <a:ext cx="336370" cy="2734301"/>
        </a:xfrm>
        <a:prstGeom prst="rightBrace">
          <a:avLst>
            <a:gd name="adj1" fmla="val 54487"/>
            <a:gd name="adj2" fmla="val 50000"/>
          </a:avLst>
        </a:prstGeom>
        <a:ln w="12700">
          <a:solidFill>
            <a:schemeClr val="tx1"/>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17</xdr:col>
      <xdr:colOff>133176</xdr:colOff>
      <xdr:row>55</xdr:row>
      <xdr:rowOff>43962</xdr:rowOff>
    </xdr:from>
    <xdr:to>
      <xdr:col>24</xdr:col>
      <xdr:colOff>184723</xdr:colOff>
      <xdr:row>56</xdr:row>
      <xdr:rowOff>110122</xdr:rowOff>
    </xdr:to>
    <xdr:sp macro="" textlink="">
      <xdr:nvSpPr>
        <xdr:cNvPr id="17" name="正方形/長方形 16">
          <a:extLst>
            <a:ext uri="{FF2B5EF4-FFF2-40B4-BE49-F238E27FC236}">
              <a16:creationId xmlns:a16="http://schemas.microsoft.com/office/drawing/2014/main" id="{A2B4BC45-8306-4C4B-8B22-ECAFA4FEBB19}"/>
            </a:ext>
          </a:extLst>
        </xdr:cNvPr>
        <xdr:cNvSpPr/>
      </xdr:nvSpPr>
      <xdr:spPr>
        <a:xfrm>
          <a:off x="1514301" y="14226687"/>
          <a:ext cx="1985122" cy="323335"/>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キャプチャターゲット</a:t>
          </a:r>
          <a:endParaRPr kumimoji="1" lang="en-US" altLang="ja-JP" sz="1100">
            <a:solidFill>
              <a:schemeClr val="tx1"/>
            </a:solidFill>
          </a:endParaRPr>
        </a:p>
      </xdr:txBody>
    </xdr:sp>
    <xdr:clientData/>
  </xdr:twoCellAnchor>
  <xdr:twoCellAnchor>
    <xdr:from>
      <xdr:col>18</xdr:col>
      <xdr:colOff>217050</xdr:colOff>
      <xdr:row>60</xdr:row>
      <xdr:rowOff>186015</xdr:rowOff>
    </xdr:from>
    <xdr:to>
      <xdr:col>23</xdr:col>
      <xdr:colOff>78444</xdr:colOff>
      <xdr:row>62</xdr:row>
      <xdr:rowOff>190500</xdr:rowOff>
    </xdr:to>
    <xdr:sp macro="" textlink="">
      <xdr:nvSpPr>
        <xdr:cNvPr id="18" name="矢印: 下 17">
          <a:extLst>
            <a:ext uri="{FF2B5EF4-FFF2-40B4-BE49-F238E27FC236}">
              <a16:creationId xmlns:a16="http://schemas.microsoft.com/office/drawing/2014/main" id="{072C515E-D9BD-438B-B4D8-7EEB1A546D56}"/>
            </a:ext>
          </a:extLst>
        </xdr:cNvPr>
        <xdr:cNvSpPr/>
      </xdr:nvSpPr>
      <xdr:spPr>
        <a:xfrm>
          <a:off x="1874400" y="15654615"/>
          <a:ext cx="1242519" cy="518835"/>
        </a:xfrm>
        <a:prstGeom prst="downArrow">
          <a:avLst/>
        </a:prstGeom>
        <a:solidFill>
          <a:srgbClr val="FFFF00"/>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ja-JP" altLang="en-US" sz="1200" b="1">
            <a:solidFill>
              <a:schemeClr val="tx1"/>
            </a:solidFill>
          </a:endParaRPr>
        </a:p>
      </xdr:txBody>
    </xdr:sp>
    <xdr:clientData/>
  </xdr:twoCellAnchor>
  <xdr:twoCellAnchor>
    <xdr:from>
      <xdr:col>20</xdr:col>
      <xdr:colOff>62759</xdr:colOff>
      <xdr:row>61</xdr:row>
      <xdr:rowOff>6723</xdr:rowOff>
    </xdr:from>
    <xdr:to>
      <xdr:col>21</xdr:col>
      <xdr:colOff>212915</xdr:colOff>
      <xdr:row>62</xdr:row>
      <xdr:rowOff>51547</xdr:rowOff>
    </xdr:to>
    <xdr:sp macro="" textlink="">
      <xdr:nvSpPr>
        <xdr:cNvPr id="19" name="正方形/長方形 18">
          <a:extLst>
            <a:ext uri="{FF2B5EF4-FFF2-40B4-BE49-F238E27FC236}">
              <a16:creationId xmlns:a16="http://schemas.microsoft.com/office/drawing/2014/main" id="{64A0286C-447E-4565-9385-D98A594BBBB4}"/>
            </a:ext>
          </a:extLst>
        </xdr:cNvPr>
        <xdr:cNvSpPr/>
      </xdr:nvSpPr>
      <xdr:spPr>
        <a:xfrm>
          <a:off x="2272559" y="15732498"/>
          <a:ext cx="426381" cy="30199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b="1">
              <a:solidFill>
                <a:schemeClr val="tx1"/>
              </a:solidFill>
            </a:rPr>
            <a:t>ALL</a:t>
          </a:r>
          <a:endParaRPr kumimoji="1" lang="ja-JP" altLang="en-US" sz="1200" b="1">
            <a:solidFill>
              <a:schemeClr val="tx1"/>
            </a:solidFill>
          </a:endParaRPr>
        </a:p>
      </xdr:txBody>
    </xdr:sp>
    <xdr:clientData/>
  </xdr:twoCellAnchor>
  <xdr:twoCellAnchor>
    <xdr:from>
      <xdr:col>16</xdr:col>
      <xdr:colOff>38594</xdr:colOff>
      <xdr:row>64</xdr:row>
      <xdr:rowOff>98203</xdr:rowOff>
    </xdr:from>
    <xdr:to>
      <xdr:col>26</xdr:col>
      <xdr:colOff>6723</xdr:colOff>
      <xdr:row>65</xdr:row>
      <xdr:rowOff>177396</xdr:rowOff>
    </xdr:to>
    <xdr:sp macro="" textlink="">
      <xdr:nvSpPr>
        <xdr:cNvPr id="20" name="右中かっこ 19">
          <a:extLst>
            <a:ext uri="{FF2B5EF4-FFF2-40B4-BE49-F238E27FC236}">
              <a16:creationId xmlns:a16="http://schemas.microsoft.com/office/drawing/2014/main" id="{67879900-528C-41EC-A78B-BBE4D8EEBA77}"/>
            </a:ext>
          </a:extLst>
        </xdr:cNvPr>
        <xdr:cNvSpPr/>
      </xdr:nvSpPr>
      <xdr:spPr>
        <a:xfrm rot="16200000">
          <a:off x="2340500" y="15398497"/>
          <a:ext cx="336368" cy="2730379"/>
        </a:xfrm>
        <a:prstGeom prst="rightBrace">
          <a:avLst>
            <a:gd name="adj1" fmla="val 54487"/>
            <a:gd name="adj2" fmla="val 50000"/>
          </a:avLst>
        </a:prstGeom>
        <a:ln w="12700">
          <a:solidFill>
            <a:schemeClr val="tx1"/>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17</xdr:col>
      <xdr:colOff>129124</xdr:colOff>
      <xdr:row>63</xdr:row>
      <xdr:rowOff>29826</xdr:rowOff>
    </xdr:from>
    <xdr:to>
      <xdr:col>24</xdr:col>
      <xdr:colOff>180671</xdr:colOff>
      <xdr:row>64</xdr:row>
      <xdr:rowOff>71591</xdr:rowOff>
    </xdr:to>
    <xdr:sp macro="" textlink="">
      <xdr:nvSpPr>
        <xdr:cNvPr id="21" name="正方形/長方形 20">
          <a:extLst>
            <a:ext uri="{FF2B5EF4-FFF2-40B4-BE49-F238E27FC236}">
              <a16:creationId xmlns:a16="http://schemas.microsoft.com/office/drawing/2014/main" id="{15F58C27-2EEE-47E6-B6E7-9490FA726A22}"/>
            </a:ext>
          </a:extLst>
        </xdr:cNvPr>
        <xdr:cNvSpPr/>
      </xdr:nvSpPr>
      <xdr:spPr>
        <a:xfrm>
          <a:off x="1510249" y="16269951"/>
          <a:ext cx="1985122" cy="29894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キャプチャターゲット</a:t>
          </a:r>
          <a:endParaRPr kumimoji="1" lang="en-US" altLang="ja-JP" sz="1100">
            <a:solidFill>
              <a:schemeClr val="tx1"/>
            </a:solidFill>
          </a:endParaRPr>
        </a:p>
      </xdr:txBody>
    </xdr:sp>
    <xdr:clientData/>
  </xdr:twoCellAnchor>
  <xdr:twoCellAnchor>
    <xdr:from>
      <xdr:col>4</xdr:col>
      <xdr:colOff>20665</xdr:colOff>
      <xdr:row>71</xdr:row>
      <xdr:rowOff>100098</xdr:rowOff>
    </xdr:from>
    <xdr:to>
      <xdr:col>13</xdr:col>
      <xdr:colOff>268941</xdr:colOff>
      <xdr:row>72</xdr:row>
      <xdr:rowOff>179293</xdr:rowOff>
    </xdr:to>
    <xdr:sp macro="" textlink="">
      <xdr:nvSpPr>
        <xdr:cNvPr id="23" name="右中かっこ 22">
          <a:extLst>
            <a:ext uri="{FF2B5EF4-FFF2-40B4-BE49-F238E27FC236}">
              <a16:creationId xmlns:a16="http://schemas.microsoft.com/office/drawing/2014/main" id="{B32854C1-B706-4E17-B28A-EB1DF192FB23}"/>
            </a:ext>
          </a:extLst>
        </xdr:cNvPr>
        <xdr:cNvSpPr/>
      </xdr:nvSpPr>
      <xdr:spPr>
        <a:xfrm rot="16200000">
          <a:off x="2324531" y="13341032"/>
          <a:ext cx="336370" cy="2734301"/>
        </a:xfrm>
        <a:prstGeom prst="rightBrace">
          <a:avLst>
            <a:gd name="adj1" fmla="val 54487"/>
            <a:gd name="adj2" fmla="val 50000"/>
          </a:avLst>
        </a:prstGeom>
        <a:ln w="12700">
          <a:solidFill>
            <a:schemeClr val="tx1"/>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5</xdr:col>
      <xdr:colOff>133176</xdr:colOff>
      <xdr:row>70</xdr:row>
      <xdr:rowOff>43962</xdr:rowOff>
    </xdr:from>
    <xdr:to>
      <xdr:col>12</xdr:col>
      <xdr:colOff>184723</xdr:colOff>
      <xdr:row>71</xdr:row>
      <xdr:rowOff>110122</xdr:rowOff>
    </xdr:to>
    <xdr:sp macro="" textlink="">
      <xdr:nvSpPr>
        <xdr:cNvPr id="24" name="正方形/長方形 23">
          <a:extLst>
            <a:ext uri="{FF2B5EF4-FFF2-40B4-BE49-F238E27FC236}">
              <a16:creationId xmlns:a16="http://schemas.microsoft.com/office/drawing/2014/main" id="{907B1517-FC6E-4645-AF6B-354DBF092218}"/>
            </a:ext>
          </a:extLst>
        </xdr:cNvPr>
        <xdr:cNvSpPr/>
      </xdr:nvSpPr>
      <xdr:spPr>
        <a:xfrm>
          <a:off x="1514301" y="14226687"/>
          <a:ext cx="1985122" cy="323335"/>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キャプチャターゲット</a:t>
          </a:r>
          <a:endParaRPr kumimoji="1" lang="en-US" altLang="ja-JP" sz="1100">
            <a:solidFill>
              <a:schemeClr val="tx1"/>
            </a:solidFill>
          </a:endParaRPr>
        </a:p>
      </xdr:txBody>
    </xdr:sp>
    <xdr:clientData/>
  </xdr:twoCellAnchor>
  <xdr:twoCellAnchor>
    <xdr:from>
      <xdr:col>6</xdr:col>
      <xdr:colOff>217050</xdr:colOff>
      <xdr:row>75</xdr:row>
      <xdr:rowOff>186015</xdr:rowOff>
    </xdr:from>
    <xdr:to>
      <xdr:col>11</xdr:col>
      <xdr:colOff>78444</xdr:colOff>
      <xdr:row>77</xdr:row>
      <xdr:rowOff>190500</xdr:rowOff>
    </xdr:to>
    <xdr:sp macro="" textlink="">
      <xdr:nvSpPr>
        <xdr:cNvPr id="25" name="矢印: 下 24">
          <a:extLst>
            <a:ext uri="{FF2B5EF4-FFF2-40B4-BE49-F238E27FC236}">
              <a16:creationId xmlns:a16="http://schemas.microsoft.com/office/drawing/2014/main" id="{E6F27AC4-95DE-4D43-B40B-618FF4857C33}"/>
            </a:ext>
          </a:extLst>
        </xdr:cNvPr>
        <xdr:cNvSpPr/>
      </xdr:nvSpPr>
      <xdr:spPr>
        <a:xfrm>
          <a:off x="1874400" y="15654615"/>
          <a:ext cx="1242519" cy="518835"/>
        </a:xfrm>
        <a:prstGeom prst="downArrow">
          <a:avLst/>
        </a:prstGeom>
        <a:solidFill>
          <a:srgbClr val="FFFF00"/>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ja-JP" altLang="en-US" sz="1200" b="1">
            <a:solidFill>
              <a:schemeClr val="tx1"/>
            </a:solidFill>
          </a:endParaRPr>
        </a:p>
      </xdr:txBody>
    </xdr:sp>
    <xdr:clientData/>
  </xdr:twoCellAnchor>
  <xdr:twoCellAnchor>
    <xdr:from>
      <xdr:col>7</xdr:col>
      <xdr:colOff>272309</xdr:colOff>
      <xdr:row>76</xdr:row>
      <xdr:rowOff>6723</xdr:rowOff>
    </xdr:from>
    <xdr:to>
      <xdr:col>10</xdr:col>
      <xdr:colOff>0</xdr:colOff>
      <xdr:row>77</xdr:row>
      <xdr:rowOff>51547</xdr:rowOff>
    </xdr:to>
    <xdr:sp macro="" textlink="">
      <xdr:nvSpPr>
        <xdr:cNvPr id="44" name="正方形/長方形 43">
          <a:extLst>
            <a:ext uri="{FF2B5EF4-FFF2-40B4-BE49-F238E27FC236}">
              <a16:creationId xmlns:a16="http://schemas.microsoft.com/office/drawing/2014/main" id="{EE4CFBED-CD41-4996-AA8F-1CE804E2B6A1}"/>
            </a:ext>
          </a:extLst>
        </xdr:cNvPr>
        <xdr:cNvSpPr/>
      </xdr:nvSpPr>
      <xdr:spPr>
        <a:xfrm>
          <a:off x="2205884" y="19590123"/>
          <a:ext cx="556366" cy="30199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b="1">
              <a:solidFill>
                <a:schemeClr val="tx1"/>
              </a:solidFill>
            </a:rPr>
            <a:t>ANY</a:t>
          </a:r>
          <a:endParaRPr kumimoji="1" lang="ja-JP" altLang="en-US" sz="1200" b="1">
            <a:solidFill>
              <a:schemeClr val="tx1"/>
            </a:solidFill>
          </a:endParaRPr>
        </a:p>
      </xdr:txBody>
    </xdr:sp>
    <xdr:clientData/>
  </xdr:twoCellAnchor>
  <xdr:twoCellAnchor>
    <xdr:from>
      <xdr:col>4</xdr:col>
      <xdr:colOff>38594</xdr:colOff>
      <xdr:row>79</xdr:row>
      <xdr:rowOff>98203</xdr:rowOff>
    </xdr:from>
    <xdr:to>
      <xdr:col>14</xdr:col>
      <xdr:colOff>6723</xdr:colOff>
      <xdr:row>80</xdr:row>
      <xdr:rowOff>177396</xdr:rowOff>
    </xdr:to>
    <xdr:sp macro="" textlink="">
      <xdr:nvSpPr>
        <xdr:cNvPr id="46" name="右中かっこ 45">
          <a:extLst>
            <a:ext uri="{FF2B5EF4-FFF2-40B4-BE49-F238E27FC236}">
              <a16:creationId xmlns:a16="http://schemas.microsoft.com/office/drawing/2014/main" id="{52CA5559-E487-4788-972F-6407F499A820}"/>
            </a:ext>
          </a:extLst>
        </xdr:cNvPr>
        <xdr:cNvSpPr/>
      </xdr:nvSpPr>
      <xdr:spPr>
        <a:xfrm rot="16200000">
          <a:off x="2340500" y="15398497"/>
          <a:ext cx="336368" cy="2730379"/>
        </a:xfrm>
        <a:prstGeom prst="rightBrace">
          <a:avLst>
            <a:gd name="adj1" fmla="val 54487"/>
            <a:gd name="adj2" fmla="val 50000"/>
          </a:avLst>
        </a:prstGeom>
        <a:ln w="12700">
          <a:solidFill>
            <a:schemeClr val="tx1"/>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5</xdr:col>
      <xdr:colOff>129124</xdr:colOff>
      <xdr:row>78</xdr:row>
      <xdr:rowOff>29826</xdr:rowOff>
    </xdr:from>
    <xdr:to>
      <xdr:col>12</xdr:col>
      <xdr:colOff>180671</xdr:colOff>
      <xdr:row>79</xdr:row>
      <xdr:rowOff>71591</xdr:rowOff>
    </xdr:to>
    <xdr:sp macro="" textlink="">
      <xdr:nvSpPr>
        <xdr:cNvPr id="47" name="正方形/長方形 46">
          <a:extLst>
            <a:ext uri="{FF2B5EF4-FFF2-40B4-BE49-F238E27FC236}">
              <a16:creationId xmlns:a16="http://schemas.microsoft.com/office/drawing/2014/main" id="{44AD5B9A-572E-47AC-9BA7-FB4FDECBE3E0}"/>
            </a:ext>
          </a:extLst>
        </xdr:cNvPr>
        <xdr:cNvSpPr/>
      </xdr:nvSpPr>
      <xdr:spPr>
        <a:xfrm>
          <a:off x="1510249" y="16269951"/>
          <a:ext cx="1985122" cy="29894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キャプチャターゲット</a:t>
          </a:r>
          <a:endParaRPr kumimoji="1" lang="en-US" altLang="ja-JP" sz="1100">
            <a:solidFill>
              <a:schemeClr val="tx1"/>
            </a:solidFill>
          </a:endParaRPr>
        </a:p>
      </xdr:txBody>
    </xdr:sp>
    <xdr:clientData/>
  </xdr:twoCellAnchor>
  <xdr:twoCellAnchor>
    <xdr:from>
      <xdr:col>16</xdr:col>
      <xdr:colOff>20665</xdr:colOff>
      <xdr:row>71</xdr:row>
      <xdr:rowOff>100098</xdr:rowOff>
    </xdr:from>
    <xdr:to>
      <xdr:col>25</xdr:col>
      <xdr:colOff>268941</xdr:colOff>
      <xdr:row>72</xdr:row>
      <xdr:rowOff>179293</xdr:rowOff>
    </xdr:to>
    <xdr:sp macro="" textlink="">
      <xdr:nvSpPr>
        <xdr:cNvPr id="48" name="右中かっこ 47">
          <a:extLst>
            <a:ext uri="{FF2B5EF4-FFF2-40B4-BE49-F238E27FC236}">
              <a16:creationId xmlns:a16="http://schemas.microsoft.com/office/drawing/2014/main" id="{BF01B7CE-AB44-4B9E-A6F0-616D34A06041}"/>
            </a:ext>
          </a:extLst>
        </xdr:cNvPr>
        <xdr:cNvSpPr/>
      </xdr:nvSpPr>
      <xdr:spPr>
        <a:xfrm rot="16200000">
          <a:off x="5639231" y="13341032"/>
          <a:ext cx="336370" cy="2734301"/>
        </a:xfrm>
        <a:prstGeom prst="rightBrace">
          <a:avLst>
            <a:gd name="adj1" fmla="val 54487"/>
            <a:gd name="adj2" fmla="val 50000"/>
          </a:avLst>
        </a:prstGeom>
        <a:ln w="12700">
          <a:solidFill>
            <a:schemeClr val="tx1"/>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17</xdr:col>
      <xdr:colOff>133176</xdr:colOff>
      <xdr:row>70</xdr:row>
      <xdr:rowOff>43962</xdr:rowOff>
    </xdr:from>
    <xdr:to>
      <xdr:col>24</xdr:col>
      <xdr:colOff>184723</xdr:colOff>
      <xdr:row>71</xdr:row>
      <xdr:rowOff>110122</xdr:rowOff>
    </xdr:to>
    <xdr:sp macro="" textlink="">
      <xdr:nvSpPr>
        <xdr:cNvPr id="49" name="正方形/長方形 48">
          <a:extLst>
            <a:ext uri="{FF2B5EF4-FFF2-40B4-BE49-F238E27FC236}">
              <a16:creationId xmlns:a16="http://schemas.microsoft.com/office/drawing/2014/main" id="{33D53A61-1130-4F7E-94BA-412AE4BAE166}"/>
            </a:ext>
          </a:extLst>
        </xdr:cNvPr>
        <xdr:cNvSpPr/>
      </xdr:nvSpPr>
      <xdr:spPr>
        <a:xfrm>
          <a:off x="4829001" y="14226687"/>
          <a:ext cx="1985122" cy="323335"/>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キャプチャターゲット</a:t>
          </a:r>
          <a:endParaRPr kumimoji="1" lang="en-US" altLang="ja-JP" sz="1100">
            <a:solidFill>
              <a:schemeClr val="tx1"/>
            </a:solidFill>
          </a:endParaRPr>
        </a:p>
      </xdr:txBody>
    </xdr:sp>
    <xdr:clientData/>
  </xdr:twoCellAnchor>
  <xdr:twoCellAnchor>
    <xdr:from>
      <xdr:col>18</xdr:col>
      <xdr:colOff>217050</xdr:colOff>
      <xdr:row>75</xdr:row>
      <xdr:rowOff>186015</xdr:rowOff>
    </xdr:from>
    <xdr:to>
      <xdr:col>23</xdr:col>
      <xdr:colOff>78444</xdr:colOff>
      <xdr:row>77</xdr:row>
      <xdr:rowOff>190500</xdr:rowOff>
    </xdr:to>
    <xdr:sp macro="" textlink="">
      <xdr:nvSpPr>
        <xdr:cNvPr id="50" name="矢印: 下 49">
          <a:extLst>
            <a:ext uri="{FF2B5EF4-FFF2-40B4-BE49-F238E27FC236}">
              <a16:creationId xmlns:a16="http://schemas.microsoft.com/office/drawing/2014/main" id="{445098CD-621A-4612-A37B-2EE5C9C90E4D}"/>
            </a:ext>
          </a:extLst>
        </xdr:cNvPr>
        <xdr:cNvSpPr/>
      </xdr:nvSpPr>
      <xdr:spPr>
        <a:xfrm>
          <a:off x="5189100" y="15654615"/>
          <a:ext cx="1242519" cy="518835"/>
        </a:xfrm>
        <a:prstGeom prst="downArrow">
          <a:avLst/>
        </a:prstGeom>
        <a:solidFill>
          <a:srgbClr val="FFFF00"/>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ja-JP" altLang="en-US" sz="1200" b="1">
            <a:solidFill>
              <a:schemeClr val="tx1"/>
            </a:solidFill>
          </a:endParaRPr>
        </a:p>
      </xdr:txBody>
    </xdr:sp>
    <xdr:clientData/>
  </xdr:twoCellAnchor>
  <xdr:twoCellAnchor>
    <xdr:from>
      <xdr:col>20</xdr:col>
      <xdr:colOff>34184</xdr:colOff>
      <xdr:row>76</xdr:row>
      <xdr:rowOff>6723</xdr:rowOff>
    </xdr:from>
    <xdr:to>
      <xdr:col>21</xdr:col>
      <xdr:colOff>247650</xdr:colOff>
      <xdr:row>77</xdr:row>
      <xdr:rowOff>51547</xdr:rowOff>
    </xdr:to>
    <xdr:sp macro="" textlink="">
      <xdr:nvSpPr>
        <xdr:cNvPr id="51" name="正方形/長方形 50">
          <a:extLst>
            <a:ext uri="{FF2B5EF4-FFF2-40B4-BE49-F238E27FC236}">
              <a16:creationId xmlns:a16="http://schemas.microsoft.com/office/drawing/2014/main" id="{C060EAC6-1815-4A51-9435-E750FB5FF065}"/>
            </a:ext>
          </a:extLst>
        </xdr:cNvPr>
        <xdr:cNvSpPr/>
      </xdr:nvSpPr>
      <xdr:spPr>
        <a:xfrm>
          <a:off x="5558684" y="19590123"/>
          <a:ext cx="489691" cy="30199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b="1">
              <a:solidFill>
                <a:schemeClr val="tx1"/>
              </a:solidFill>
            </a:rPr>
            <a:t>ANY</a:t>
          </a:r>
          <a:endParaRPr kumimoji="1" lang="ja-JP" altLang="en-US" sz="1200" b="1">
            <a:solidFill>
              <a:schemeClr val="tx1"/>
            </a:solidFill>
          </a:endParaRPr>
        </a:p>
      </xdr:txBody>
    </xdr:sp>
    <xdr:clientData/>
  </xdr:twoCellAnchor>
  <xdr:twoCellAnchor>
    <xdr:from>
      <xdr:col>16</xdr:col>
      <xdr:colOff>38594</xdr:colOff>
      <xdr:row>79</xdr:row>
      <xdr:rowOff>98203</xdr:rowOff>
    </xdr:from>
    <xdr:to>
      <xdr:col>26</xdr:col>
      <xdr:colOff>6723</xdr:colOff>
      <xdr:row>80</xdr:row>
      <xdr:rowOff>177396</xdr:rowOff>
    </xdr:to>
    <xdr:sp macro="" textlink="">
      <xdr:nvSpPr>
        <xdr:cNvPr id="52" name="右中かっこ 51">
          <a:extLst>
            <a:ext uri="{FF2B5EF4-FFF2-40B4-BE49-F238E27FC236}">
              <a16:creationId xmlns:a16="http://schemas.microsoft.com/office/drawing/2014/main" id="{1B714A10-1EAB-43E3-A2C3-3B29047BB2C3}"/>
            </a:ext>
          </a:extLst>
        </xdr:cNvPr>
        <xdr:cNvSpPr/>
      </xdr:nvSpPr>
      <xdr:spPr>
        <a:xfrm rot="16200000">
          <a:off x="5655200" y="15398497"/>
          <a:ext cx="336368" cy="2730379"/>
        </a:xfrm>
        <a:prstGeom prst="rightBrace">
          <a:avLst>
            <a:gd name="adj1" fmla="val 54487"/>
            <a:gd name="adj2" fmla="val 50000"/>
          </a:avLst>
        </a:prstGeom>
        <a:ln w="12700">
          <a:solidFill>
            <a:schemeClr val="tx1"/>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17</xdr:col>
      <xdr:colOff>129124</xdr:colOff>
      <xdr:row>78</xdr:row>
      <xdr:rowOff>29826</xdr:rowOff>
    </xdr:from>
    <xdr:to>
      <xdr:col>24</xdr:col>
      <xdr:colOff>180671</xdr:colOff>
      <xdr:row>79</xdr:row>
      <xdr:rowOff>71591</xdr:rowOff>
    </xdr:to>
    <xdr:sp macro="" textlink="">
      <xdr:nvSpPr>
        <xdr:cNvPr id="53" name="正方形/長方形 52">
          <a:extLst>
            <a:ext uri="{FF2B5EF4-FFF2-40B4-BE49-F238E27FC236}">
              <a16:creationId xmlns:a16="http://schemas.microsoft.com/office/drawing/2014/main" id="{0F56004C-B55D-467F-99C6-06D1F245E78A}"/>
            </a:ext>
          </a:extLst>
        </xdr:cNvPr>
        <xdr:cNvSpPr/>
      </xdr:nvSpPr>
      <xdr:spPr>
        <a:xfrm>
          <a:off x="4824949" y="16269951"/>
          <a:ext cx="1985122" cy="29894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キャプチャターゲット</a:t>
          </a:r>
          <a:endParaRPr kumimoji="1" lang="en-US" altLang="ja-JP" sz="1100">
            <a:solidFill>
              <a:schemeClr val="tx1"/>
            </a:solidFill>
          </a:endParaRPr>
        </a:p>
      </xdr:txBody>
    </xdr:sp>
    <xdr:clientData/>
  </xdr:twoCellAnchor>
  <xdr:twoCellAnchor>
    <xdr:from>
      <xdr:col>10</xdr:col>
      <xdr:colOff>49480</xdr:colOff>
      <xdr:row>93</xdr:row>
      <xdr:rowOff>108857</xdr:rowOff>
    </xdr:from>
    <xdr:to>
      <xdr:col>23</xdr:col>
      <xdr:colOff>231324</xdr:colOff>
      <xdr:row>94</xdr:row>
      <xdr:rowOff>91398</xdr:rowOff>
    </xdr:to>
    <xdr:sp macro="" textlink="">
      <xdr:nvSpPr>
        <xdr:cNvPr id="22" name="右中かっこ 21">
          <a:extLst>
            <a:ext uri="{FF2B5EF4-FFF2-40B4-BE49-F238E27FC236}">
              <a16:creationId xmlns:a16="http://schemas.microsoft.com/office/drawing/2014/main" id="{7581027A-6B73-4AFD-9B00-C2811FA83C7D}"/>
            </a:ext>
          </a:extLst>
        </xdr:cNvPr>
        <xdr:cNvSpPr/>
      </xdr:nvSpPr>
      <xdr:spPr>
        <a:xfrm rot="16200000" flipH="1">
          <a:off x="4510221" y="22467795"/>
          <a:ext cx="241077" cy="3719701"/>
        </a:xfrm>
        <a:prstGeom prst="rightBrace">
          <a:avLst>
            <a:gd name="adj1" fmla="val 54487"/>
            <a:gd name="adj2" fmla="val 50000"/>
          </a:avLst>
        </a:prstGeom>
        <a:ln w="12700">
          <a:solidFill>
            <a:schemeClr val="tx1"/>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13</xdr:col>
      <xdr:colOff>153617</xdr:colOff>
      <xdr:row>94</xdr:row>
      <xdr:rowOff>172702</xdr:rowOff>
    </xdr:from>
    <xdr:to>
      <xdr:col>20</xdr:col>
      <xdr:colOff>205164</xdr:colOff>
      <xdr:row>95</xdr:row>
      <xdr:rowOff>214468</xdr:rowOff>
    </xdr:to>
    <xdr:sp macro="" textlink="">
      <xdr:nvSpPr>
        <xdr:cNvPr id="58" name="正方形/長方形 57">
          <a:extLst>
            <a:ext uri="{FF2B5EF4-FFF2-40B4-BE49-F238E27FC236}">
              <a16:creationId xmlns:a16="http://schemas.microsoft.com/office/drawing/2014/main" id="{BE53786B-9B41-432F-96B9-114222645CCD}"/>
            </a:ext>
          </a:extLst>
        </xdr:cNvPr>
        <xdr:cNvSpPr/>
      </xdr:nvSpPr>
      <xdr:spPr>
        <a:xfrm>
          <a:off x="3691474" y="24529488"/>
          <a:ext cx="1956547" cy="30030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キャプチャステップ </a:t>
          </a:r>
          <a:r>
            <a:rPr kumimoji="1" lang="en-US" altLang="ja-JP" sz="1100">
              <a:solidFill>
                <a:schemeClr val="tx1"/>
              </a:solidFill>
            </a:rPr>
            <a:t>0</a:t>
          </a:r>
        </a:p>
      </xdr:txBody>
    </xdr:sp>
    <xdr:clientData/>
  </xdr:twoCellAnchor>
  <xdr:twoCellAnchor>
    <xdr:from>
      <xdr:col>24</xdr:col>
      <xdr:colOff>115518</xdr:colOff>
      <xdr:row>94</xdr:row>
      <xdr:rowOff>161816</xdr:rowOff>
    </xdr:from>
    <xdr:to>
      <xdr:col>30</xdr:col>
      <xdr:colOff>204108</xdr:colOff>
      <xdr:row>95</xdr:row>
      <xdr:rowOff>244929</xdr:rowOff>
    </xdr:to>
    <xdr:sp macro="" textlink="">
      <xdr:nvSpPr>
        <xdr:cNvPr id="59" name="正方形/長方形 58">
          <a:extLst>
            <a:ext uri="{FF2B5EF4-FFF2-40B4-BE49-F238E27FC236}">
              <a16:creationId xmlns:a16="http://schemas.microsoft.com/office/drawing/2014/main" id="{85C4061D-9183-494C-A7E0-D3881AAED7DA}"/>
            </a:ext>
          </a:extLst>
        </xdr:cNvPr>
        <xdr:cNvSpPr/>
      </xdr:nvSpPr>
      <xdr:spPr>
        <a:xfrm>
          <a:off x="6646947" y="24518602"/>
          <a:ext cx="1721447" cy="341648"/>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キャプチャステップ </a:t>
          </a:r>
          <a:r>
            <a:rPr kumimoji="1" lang="en-US" altLang="ja-JP" sz="1100">
              <a:solidFill>
                <a:schemeClr val="tx1"/>
              </a:solidFill>
            </a:rPr>
            <a:t>1</a:t>
          </a:r>
        </a:p>
      </xdr:txBody>
    </xdr:sp>
    <xdr:clientData/>
  </xdr:twoCellAnchor>
  <xdr:twoCellAnchor>
    <xdr:from>
      <xdr:col>24</xdr:col>
      <xdr:colOff>38598</xdr:colOff>
      <xdr:row>93</xdr:row>
      <xdr:rowOff>108859</xdr:rowOff>
    </xdr:from>
    <xdr:to>
      <xdr:col>31</xdr:col>
      <xdr:colOff>5</xdr:colOff>
      <xdr:row>94</xdr:row>
      <xdr:rowOff>122467</xdr:rowOff>
    </xdr:to>
    <xdr:sp macro="" textlink="">
      <xdr:nvSpPr>
        <xdr:cNvPr id="60" name="右中かっこ 59">
          <a:extLst>
            <a:ext uri="{FF2B5EF4-FFF2-40B4-BE49-F238E27FC236}">
              <a16:creationId xmlns:a16="http://schemas.microsoft.com/office/drawing/2014/main" id="{8138CF5A-17B2-41D9-AF6D-AE8C24F14FD3}"/>
            </a:ext>
          </a:extLst>
        </xdr:cNvPr>
        <xdr:cNvSpPr/>
      </xdr:nvSpPr>
      <xdr:spPr>
        <a:xfrm rot="16200000" flipH="1">
          <a:off x="7367159" y="23409977"/>
          <a:ext cx="272144" cy="1866407"/>
        </a:xfrm>
        <a:prstGeom prst="rightBrace">
          <a:avLst>
            <a:gd name="adj1" fmla="val 54487"/>
            <a:gd name="adj2" fmla="val 50000"/>
          </a:avLst>
        </a:prstGeom>
        <a:ln w="12700">
          <a:solidFill>
            <a:schemeClr val="tx1"/>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4</xdr:col>
      <xdr:colOff>38597</xdr:colOff>
      <xdr:row>89</xdr:row>
      <xdr:rowOff>66906</xdr:rowOff>
    </xdr:from>
    <xdr:to>
      <xdr:col>30</xdr:col>
      <xdr:colOff>258539</xdr:colOff>
      <xdr:row>90</xdr:row>
      <xdr:rowOff>136073</xdr:rowOff>
    </xdr:to>
    <xdr:sp macro="" textlink="">
      <xdr:nvSpPr>
        <xdr:cNvPr id="64" name="右中かっこ 63">
          <a:extLst>
            <a:ext uri="{FF2B5EF4-FFF2-40B4-BE49-F238E27FC236}">
              <a16:creationId xmlns:a16="http://schemas.microsoft.com/office/drawing/2014/main" id="{BFC6E039-F3CF-4862-810C-95C60A85CB16}"/>
            </a:ext>
          </a:extLst>
        </xdr:cNvPr>
        <xdr:cNvSpPr/>
      </xdr:nvSpPr>
      <xdr:spPr>
        <a:xfrm rot="16200000">
          <a:off x="4611145" y="19647036"/>
          <a:ext cx="327703" cy="7295657"/>
        </a:xfrm>
        <a:prstGeom prst="rightBrace">
          <a:avLst>
            <a:gd name="adj1" fmla="val 54487"/>
            <a:gd name="adj2" fmla="val 50000"/>
          </a:avLst>
        </a:prstGeom>
        <a:ln w="12700">
          <a:solidFill>
            <a:schemeClr val="tx1"/>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13</xdr:col>
      <xdr:colOff>265196</xdr:colOff>
      <xdr:row>88</xdr:row>
      <xdr:rowOff>25744</xdr:rowOff>
    </xdr:from>
    <xdr:to>
      <xdr:col>21</xdr:col>
      <xdr:colOff>44600</xdr:colOff>
      <xdr:row>89</xdr:row>
      <xdr:rowOff>67509</xdr:rowOff>
    </xdr:to>
    <xdr:sp macro="" textlink="">
      <xdr:nvSpPr>
        <xdr:cNvPr id="67" name="正方形/長方形 66">
          <a:extLst>
            <a:ext uri="{FF2B5EF4-FFF2-40B4-BE49-F238E27FC236}">
              <a16:creationId xmlns:a16="http://schemas.microsoft.com/office/drawing/2014/main" id="{82E666EB-826A-43A9-9A9D-15342FC0983A}"/>
            </a:ext>
          </a:extLst>
        </xdr:cNvPr>
        <xdr:cNvSpPr/>
      </xdr:nvSpPr>
      <xdr:spPr>
        <a:xfrm>
          <a:off x="3803053" y="22831315"/>
          <a:ext cx="1956547" cy="30030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キャプチャ区間</a:t>
          </a:r>
          <a:endParaRPr kumimoji="1" lang="en-US" altLang="ja-JP" sz="1100">
            <a:solidFill>
              <a:schemeClr val="tx1"/>
            </a:solidFill>
          </a:endParaRPr>
        </a:p>
      </xdr:txBody>
    </xdr:sp>
    <xdr:clientData/>
  </xdr:twoCellAnchor>
  <xdr:twoCellAnchor>
    <xdr:from>
      <xdr:col>74</xdr:col>
      <xdr:colOff>15062</xdr:colOff>
      <xdr:row>96</xdr:row>
      <xdr:rowOff>192596</xdr:rowOff>
    </xdr:from>
    <xdr:to>
      <xdr:col>115</xdr:col>
      <xdr:colOff>0</xdr:colOff>
      <xdr:row>97</xdr:row>
      <xdr:rowOff>235323</xdr:rowOff>
    </xdr:to>
    <xdr:sp macro="" textlink="">
      <xdr:nvSpPr>
        <xdr:cNvPr id="63" name="右中かっこ 62">
          <a:extLst>
            <a:ext uri="{FF2B5EF4-FFF2-40B4-BE49-F238E27FC236}">
              <a16:creationId xmlns:a16="http://schemas.microsoft.com/office/drawing/2014/main" id="{7D52A716-1D0C-4CD4-92EE-22B73CE209B3}"/>
            </a:ext>
          </a:extLst>
        </xdr:cNvPr>
        <xdr:cNvSpPr/>
      </xdr:nvSpPr>
      <xdr:spPr>
        <a:xfrm rot="16200000">
          <a:off x="26331197" y="19394755"/>
          <a:ext cx="300462" cy="11470968"/>
        </a:xfrm>
        <a:prstGeom prst="rightBrace">
          <a:avLst>
            <a:gd name="adj1" fmla="val 54487"/>
            <a:gd name="adj2" fmla="val 50000"/>
          </a:avLst>
        </a:prstGeom>
        <a:ln w="12700">
          <a:solidFill>
            <a:schemeClr val="tx1"/>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90</xdr:col>
      <xdr:colOff>260360</xdr:colOff>
      <xdr:row>95</xdr:row>
      <xdr:rowOff>99681</xdr:rowOff>
    </xdr:from>
    <xdr:to>
      <xdr:col>98</xdr:col>
      <xdr:colOff>31759</xdr:colOff>
      <xdr:row>96</xdr:row>
      <xdr:rowOff>208782</xdr:rowOff>
    </xdr:to>
    <xdr:sp macro="" textlink="">
      <xdr:nvSpPr>
        <xdr:cNvPr id="68" name="正方形/長方形 67">
          <a:extLst>
            <a:ext uri="{FF2B5EF4-FFF2-40B4-BE49-F238E27FC236}">
              <a16:creationId xmlns:a16="http://schemas.microsoft.com/office/drawing/2014/main" id="{829D781B-AE9D-4F04-BDB1-F1C7F188618F}"/>
            </a:ext>
          </a:extLst>
        </xdr:cNvPr>
        <xdr:cNvSpPr/>
      </xdr:nvSpPr>
      <xdr:spPr>
        <a:xfrm>
          <a:off x="25473595" y="24629357"/>
          <a:ext cx="2012576" cy="366837"/>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キャプチャターゲット</a:t>
          </a:r>
          <a:endParaRPr kumimoji="1" lang="en-US" altLang="ja-JP" sz="1100">
            <a:solidFill>
              <a:schemeClr val="tx1"/>
            </a:solidFill>
          </a:endParaRPr>
        </a:p>
      </xdr:txBody>
    </xdr:sp>
    <xdr:clientData/>
  </xdr:twoCellAnchor>
  <xdr:twoCellAnchor>
    <xdr:from>
      <xdr:col>92</xdr:col>
      <xdr:colOff>10913</xdr:colOff>
      <xdr:row>100</xdr:row>
      <xdr:rowOff>254025</xdr:rowOff>
    </xdr:from>
    <xdr:to>
      <xdr:col>97</xdr:col>
      <xdr:colOff>12129</xdr:colOff>
      <xdr:row>103</xdr:row>
      <xdr:rowOff>13607</xdr:rowOff>
    </xdr:to>
    <xdr:sp macro="" textlink="">
      <xdr:nvSpPr>
        <xdr:cNvPr id="69" name="矢印: 下 68">
          <a:extLst>
            <a:ext uri="{FF2B5EF4-FFF2-40B4-BE49-F238E27FC236}">
              <a16:creationId xmlns:a16="http://schemas.microsoft.com/office/drawing/2014/main" id="{282003D1-7839-4791-939F-0E2FD3D469CE}"/>
            </a:ext>
          </a:extLst>
        </xdr:cNvPr>
        <xdr:cNvSpPr/>
      </xdr:nvSpPr>
      <xdr:spPr>
        <a:xfrm>
          <a:off x="25784442" y="26105996"/>
          <a:ext cx="1401952" cy="543993"/>
        </a:xfrm>
        <a:prstGeom prst="downArrow">
          <a:avLst/>
        </a:prstGeom>
        <a:solidFill>
          <a:srgbClr val="FFFF00"/>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ja-JP" altLang="en-US" sz="1200" b="1">
            <a:solidFill>
              <a:schemeClr val="tx1"/>
            </a:solidFill>
          </a:endParaRPr>
        </a:p>
      </xdr:txBody>
    </xdr:sp>
    <xdr:clientData/>
  </xdr:twoCellAnchor>
  <xdr:twoCellAnchor>
    <xdr:from>
      <xdr:col>93</xdr:col>
      <xdr:colOff>41477</xdr:colOff>
      <xdr:row>101</xdr:row>
      <xdr:rowOff>73932</xdr:rowOff>
    </xdr:from>
    <xdr:to>
      <xdr:col>95</xdr:col>
      <xdr:colOff>243183</xdr:colOff>
      <xdr:row>102</xdr:row>
      <xdr:rowOff>118754</xdr:rowOff>
    </xdr:to>
    <xdr:sp macro="" textlink="">
      <xdr:nvSpPr>
        <xdr:cNvPr id="70" name="正方形/長方形 69">
          <a:extLst>
            <a:ext uri="{FF2B5EF4-FFF2-40B4-BE49-F238E27FC236}">
              <a16:creationId xmlns:a16="http://schemas.microsoft.com/office/drawing/2014/main" id="{FA4C8308-2B6C-4A3D-B417-8775C50A6003}"/>
            </a:ext>
          </a:extLst>
        </xdr:cNvPr>
        <xdr:cNvSpPr/>
      </xdr:nvSpPr>
      <xdr:spPr>
        <a:xfrm>
          <a:off x="26095153" y="26194844"/>
          <a:ext cx="762001" cy="302557"/>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200" b="1">
              <a:solidFill>
                <a:schemeClr val="tx1"/>
              </a:solidFill>
            </a:rPr>
            <a:t>間引き</a:t>
          </a:r>
        </a:p>
      </xdr:txBody>
    </xdr:sp>
    <xdr:clientData/>
  </xdr:twoCellAnchor>
  <xdr:twoCellAnchor>
    <xdr:from>
      <xdr:col>74</xdr:col>
      <xdr:colOff>37579</xdr:colOff>
      <xdr:row>104</xdr:row>
      <xdr:rowOff>174411</xdr:rowOff>
    </xdr:from>
    <xdr:to>
      <xdr:col>114</xdr:col>
      <xdr:colOff>257738</xdr:colOff>
      <xdr:row>105</xdr:row>
      <xdr:rowOff>201706</xdr:rowOff>
    </xdr:to>
    <xdr:sp macro="" textlink="">
      <xdr:nvSpPr>
        <xdr:cNvPr id="72" name="右中かっこ 71">
          <a:extLst>
            <a:ext uri="{FF2B5EF4-FFF2-40B4-BE49-F238E27FC236}">
              <a16:creationId xmlns:a16="http://schemas.microsoft.com/office/drawing/2014/main" id="{23AB8A86-25F5-4165-B56F-C908CFB8059D}"/>
            </a:ext>
          </a:extLst>
        </xdr:cNvPr>
        <xdr:cNvSpPr/>
      </xdr:nvSpPr>
      <xdr:spPr>
        <a:xfrm rot="16200000">
          <a:off x="26338967" y="21498023"/>
          <a:ext cx="285030" cy="11426042"/>
        </a:xfrm>
        <a:prstGeom prst="rightBrace">
          <a:avLst>
            <a:gd name="adj1" fmla="val 54487"/>
            <a:gd name="adj2" fmla="val 50000"/>
          </a:avLst>
        </a:prstGeom>
        <a:ln w="12700">
          <a:solidFill>
            <a:schemeClr val="tx1"/>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90</xdr:col>
      <xdr:colOff>260466</xdr:colOff>
      <xdr:row>103</xdr:row>
      <xdr:rowOff>115114</xdr:rowOff>
    </xdr:from>
    <xdr:to>
      <xdr:col>98</xdr:col>
      <xdr:colOff>31865</xdr:colOff>
      <xdr:row>104</xdr:row>
      <xdr:rowOff>224215</xdr:rowOff>
    </xdr:to>
    <xdr:sp macro="" textlink="">
      <xdr:nvSpPr>
        <xdr:cNvPr id="73" name="正方形/長方形 72">
          <a:extLst>
            <a:ext uri="{FF2B5EF4-FFF2-40B4-BE49-F238E27FC236}">
              <a16:creationId xmlns:a16="http://schemas.microsoft.com/office/drawing/2014/main" id="{4F02E612-9223-4189-988A-D69ECED560AB}"/>
            </a:ext>
          </a:extLst>
        </xdr:cNvPr>
        <xdr:cNvSpPr/>
      </xdr:nvSpPr>
      <xdr:spPr>
        <a:xfrm>
          <a:off x="25473701" y="26751496"/>
          <a:ext cx="2012576" cy="366837"/>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キャプチャターゲット</a:t>
          </a:r>
          <a:endParaRPr kumimoji="1" lang="en-US" altLang="ja-JP" sz="1100">
            <a:solidFill>
              <a:schemeClr val="tx1"/>
            </a:solidFill>
          </a:endParaRPr>
        </a:p>
      </xdr:txBody>
    </xdr:sp>
    <xdr:clientData/>
  </xdr:twoCellAnchor>
  <xdr:twoCellAnchor>
    <xdr:from>
      <xdr:col>77</xdr:col>
      <xdr:colOff>0</xdr:colOff>
      <xdr:row>99</xdr:row>
      <xdr:rowOff>259769</xdr:rowOff>
    </xdr:from>
    <xdr:to>
      <xdr:col>77</xdr:col>
      <xdr:colOff>140583</xdr:colOff>
      <xdr:row>101</xdr:row>
      <xdr:rowOff>134470</xdr:rowOff>
    </xdr:to>
    <xdr:cxnSp macro="">
      <xdr:nvCxnSpPr>
        <xdr:cNvPr id="76" name="直線コネクタ 75">
          <a:extLst>
            <a:ext uri="{FF2B5EF4-FFF2-40B4-BE49-F238E27FC236}">
              <a16:creationId xmlns:a16="http://schemas.microsoft.com/office/drawing/2014/main" id="{6BD60103-7C9B-460D-93DA-2080EE38F313}"/>
            </a:ext>
          </a:extLst>
        </xdr:cNvPr>
        <xdr:cNvCxnSpPr/>
      </xdr:nvCxnSpPr>
      <xdr:spPr>
        <a:xfrm flipV="1">
          <a:off x="21571324" y="25842798"/>
          <a:ext cx="140583" cy="401378"/>
        </a:xfrm>
        <a:prstGeom prst="line">
          <a:avLst/>
        </a:prstGeom>
        <a:ln>
          <a:solidFill>
            <a:schemeClr val="tx1"/>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75</xdr:col>
      <xdr:colOff>55346</xdr:colOff>
      <xdr:row>101</xdr:row>
      <xdr:rowOff>138237</xdr:rowOff>
    </xdr:from>
    <xdr:to>
      <xdr:col>78</xdr:col>
      <xdr:colOff>161976</xdr:colOff>
      <xdr:row>102</xdr:row>
      <xdr:rowOff>179999</xdr:rowOff>
    </xdr:to>
    <xdr:sp macro="" textlink="">
      <xdr:nvSpPr>
        <xdr:cNvPr id="77" name="正方形/長方形 76">
          <a:extLst>
            <a:ext uri="{FF2B5EF4-FFF2-40B4-BE49-F238E27FC236}">
              <a16:creationId xmlns:a16="http://schemas.microsoft.com/office/drawing/2014/main" id="{0A513723-2515-4BCD-8CFD-B0878A5E2C00}"/>
            </a:ext>
          </a:extLst>
        </xdr:cNvPr>
        <xdr:cNvSpPr/>
      </xdr:nvSpPr>
      <xdr:spPr>
        <a:xfrm>
          <a:off x="21066375" y="26247943"/>
          <a:ext cx="947072" cy="299497"/>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サンプル</a:t>
          </a:r>
          <a:endParaRPr kumimoji="1" lang="en-US" altLang="ja-JP" sz="1100">
            <a:solidFill>
              <a:schemeClr val="tx1"/>
            </a:solidFill>
          </a:endParaRPr>
        </a:p>
      </xdr:txBody>
    </xdr:sp>
    <xdr:clientData/>
  </xdr:twoCellAnchor>
  <xdr:twoCellAnchor>
    <xdr:from>
      <xdr:col>89</xdr:col>
      <xdr:colOff>129694</xdr:colOff>
      <xdr:row>116</xdr:row>
      <xdr:rowOff>204722</xdr:rowOff>
    </xdr:from>
    <xdr:to>
      <xdr:col>94</xdr:col>
      <xdr:colOff>130910</xdr:colOff>
      <xdr:row>118</xdr:row>
      <xdr:rowOff>222039</xdr:rowOff>
    </xdr:to>
    <xdr:sp macro="" textlink="">
      <xdr:nvSpPr>
        <xdr:cNvPr id="89" name="矢印: 下 88">
          <a:extLst>
            <a:ext uri="{FF2B5EF4-FFF2-40B4-BE49-F238E27FC236}">
              <a16:creationId xmlns:a16="http://schemas.microsoft.com/office/drawing/2014/main" id="{D71BDE55-3985-4F51-A899-FED1E710F90A}"/>
            </a:ext>
          </a:extLst>
        </xdr:cNvPr>
        <xdr:cNvSpPr/>
      </xdr:nvSpPr>
      <xdr:spPr>
        <a:xfrm>
          <a:off x="25062782" y="30214075"/>
          <a:ext cx="1401952" cy="532788"/>
        </a:xfrm>
        <a:prstGeom prst="downArrow">
          <a:avLst/>
        </a:prstGeom>
        <a:solidFill>
          <a:srgbClr val="FFFF00"/>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ja-JP" altLang="en-US" sz="1200" b="1">
            <a:solidFill>
              <a:schemeClr val="tx1"/>
            </a:solidFill>
          </a:endParaRPr>
        </a:p>
      </xdr:txBody>
    </xdr:sp>
    <xdr:clientData/>
  </xdr:twoCellAnchor>
  <xdr:twoCellAnchor>
    <xdr:from>
      <xdr:col>75</xdr:col>
      <xdr:colOff>268941</xdr:colOff>
      <xdr:row>112</xdr:row>
      <xdr:rowOff>169931</xdr:rowOff>
    </xdr:from>
    <xdr:to>
      <xdr:col>104</xdr:col>
      <xdr:colOff>235323</xdr:colOff>
      <xdr:row>113</xdr:row>
      <xdr:rowOff>197226</xdr:rowOff>
    </xdr:to>
    <xdr:sp macro="" textlink="">
      <xdr:nvSpPr>
        <xdr:cNvPr id="90" name="右中かっこ 89">
          <a:extLst>
            <a:ext uri="{FF2B5EF4-FFF2-40B4-BE49-F238E27FC236}">
              <a16:creationId xmlns:a16="http://schemas.microsoft.com/office/drawing/2014/main" id="{9D110F4C-B28D-4D21-AA1E-D6AE27488CD9}"/>
            </a:ext>
          </a:extLst>
        </xdr:cNvPr>
        <xdr:cNvSpPr/>
      </xdr:nvSpPr>
      <xdr:spPr>
        <a:xfrm rot="16200000">
          <a:off x="25182779" y="25223122"/>
          <a:ext cx="285030" cy="8090647"/>
        </a:xfrm>
        <a:prstGeom prst="rightBrace">
          <a:avLst>
            <a:gd name="adj1" fmla="val 54487"/>
            <a:gd name="adj2" fmla="val 50000"/>
          </a:avLst>
        </a:prstGeom>
        <a:ln w="12700">
          <a:solidFill>
            <a:schemeClr val="tx1"/>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86</xdr:col>
      <xdr:colOff>121512</xdr:colOff>
      <xdr:row>111</xdr:row>
      <xdr:rowOff>65809</xdr:rowOff>
    </xdr:from>
    <xdr:to>
      <xdr:col>93</xdr:col>
      <xdr:colOff>173059</xdr:colOff>
      <xdr:row>112</xdr:row>
      <xdr:rowOff>174911</xdr:rowOff>
    </xdr:to>
    <xdr:sp macro="" textlink="">
      <xdr:nvSpPr>
        <xdr:cNvPr id="91" name="正方形/長方形 90">
          <a:extLst>
            <a:ext uri="{FF2B5EF4-FFF2-40B4-BE49-F238E27FC236}">
              <a16:creationId xmlns:a16="http://schemas.microsoft.com/office/drawing/2014/main" id="{769BEEE6-6A2F-4429-8EF0-99530A39E09C}"/>
            </a:ext>
          </a:extLst>
        </xdr:cNvPr>
        <xdr:cNvSpPr/>
      </xdr:nvSpPr>
      <xdr:spPr>
        <a:xfrm>
          <a:off x="24214159" y="28764074"/>
          <a:ext cx="2012576" cy="366837"/>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キャプチャターゲット</a:t>
          </a:r>
          <a:endParaRPr kumimoji="1" lang="en-US" altLang="ja-JP" sz="1100">
            <a:solidFill>
              <a:schemeClr val="tx1"/>
            </a:solidFill>
          </a:endParaRPr>
        </a:p>
      </xdr:txBody>
    </xdr:sp>
    <xdr:clientData/>
  </xdr:twoCellAnchor>
  <xdr:twoCellAnchor>
    <xdr:from>
      <xdr:col>90</xdr:col>
      <xdr:colOff>171465</xdr:colOff>
      <xdr:row>117</xdr:row>
      <xdr:rowOff>35833</xdr:rowOff>
    </xdr:from>
    <xdr:to>
      <xdr:col>93</xdr:col>
      <xdr:colOff>93025</xdr:colOff>
      <xdr:row>118</xdr:row>
      <xdr:rowOff>80655</xdr:rowOff>
    </xdr:to>
    <xdr:sp macro="" textlink="">
      <xdr:nvSpPr>
        <xdr:cNvPr id="92" name="正方形/長方形 91">
          <a:extLst>
            <a:ext uri="{FF2B5EF4-FFF2-40B4-BE49-F238E27FC236}">
              <a16:creationId xmlns:a16="http://schemas.microsoft.com/office/drawing/2014/main" id="{E2A1B1B0-CD01-4F70-8291-5B693E52C473}"/>
            </a:ext>
          </a:extLst>
        </xdr:cNvPr>
        <xdr:cNvSpPr/>
      </xdr:nvSpPr>
      <xdr:spPr>
        <a:xfrm>
          <a:off x="25384700" y="30302921"/>
          <a:ext cx="762001" cy="302558"/>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200" b="1">
              <a:solidFill>
                <a:schemeClr val="tx1"/>
              </a:solidFill>
            </a:rPr>
            <a:t>間引き</a:t>
          </a:r>
        </a:p>
      </xdr:txBody>
    </xdr:sp>
    <xdr:clientData/>
  </xdr:twoCellAnchor>
  <xdr:twoCellAnchor>
    <xdr:from>
      <xdr:col>76</xdr:col>
      <xdr:colOff>0</xdr:colOff>
      <xdr:row>124</xdr:row>
      <xdr:rowOff>17318</xdr:rowOff>
    </xdr:from>
    <xdr:to>
      <xdr:col>94</xdr:col>
      <xdr:colOff>0</xdr:colOff>
      <xdr:row>125</xdr:row>
      <xdr:rowOff>224118</xdr:rowOff>
    </xdr:to>
    <xdr:cxnSp macro="">
      <xdr:nvCxnSpPr>
        <xdr:cNvPr id="93" name="直線コネクタ 92">
          <a:extLst>
            <a:ext uri="{FF2B5EF4-FFF2-40B4-BE49-F238E27FC236}">
              <a16:creationId xmlns:a16="http://schemas.microsoft.com/office/drawing/2014/main" id="{08A707D1-4E61-4F3E-8C78-4FEF255D9A71}"/>
            </a:ext>
          </a:extLst>
        </xdr:cNvPr>
        <xdr:cNvCxnSpPr/>
      </xdr:nvCxnSpPr>
      <xdr:spPr>
        <a:xfrm flipH="1">
          <a:off x="21058909" y="32229136"/>
          <a:ext cx="4987636" cy="466573"/>
        </a:xfrm>
        <a:prstGeom prst="line">
          <a:avLst/>
        </a:prstGeom>
        <a:ln>
          <a:solidFill>
            <a:schemeClr val="tx1"/>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103</xdr:col>
      <xdr:colOff>22412</xdr:colOff>
      <xdr:row>124</xdr:row>
      <xdr:rowOff>0</xdr:rowOff>
    </xdr:from>
    <xdr:to>
      <xdr:col>112</xdr:col>
      <xdr:colOff>257735</xdr:colOff>
      <xdr:row>126</xdr:row>
      <xdr:rowOff>0</xdr:rowOff>
    </xdr:to>
    <xdr:cxnSp macro="">
      <xdr:nvCxnSpPr>
        <xdr:cNvPr id="95" name="直線コネクタ 94">
          <a:extLst>
            <a:ext uri="{FF2B5EF4-FFF2-40B4-BE49-F238E27FC236}">
              <a16:creationId xmlns:a16="http://schemas.microsoft.com/office/drawing/2014/main" id="{62824A9F-A5E1-43CC-BDBC-2A627C00FA00}"/>
            </a:ext>
          </a:extLst>
        </xdr:cNvPr>
        <xdr:cNvCxnSpPr/>
      </xdr:nvCxnSpPr>
      <xdr:spPr>
        <a:xfrm flipH="1" flipV="1">
          <a:off x="28877559" y="32889265"/>
          <a:ext cx="2756647" cy="515470"/>
        </a:xfrm>
        <a:prstGeom prst="line">
          <a:avLst/>
        </a:prstGeom>
        <a:ln>
          <a:solidFill>
            <a:schemeClr val="tx1"/>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75</xdr:col>
      <xdr:colOff>275668</xdr:colOff>
      <xdr:row>120</xdr:row>
      <xdr:rowOff>143039</xdr:rowOff>
    </xdr:from>
    <xdr:to>
      <xdr:col>102</xdr:col>
      <xdr:colOff>224122</xdr:colOff>
      <xdr:row>121</xdr:row>
      <xdr:rowOff>190500</xdr:rowOff>
    </xdr:to>
    <xdr:sp macro="" textlink="">
      <xdr:nvSpPr>
        <xdr:cNvPr id="98" name="右中かっこ 97">
          <a:extLst>
            <a:ext uri="{FF2B5EF4-FFF2-40B4-BE49-F238E27FC236}">
              <a16:creationId xmlns:a16="http://schemas.microsoft.com/office/drawing/2014/main" id="{BC77A4CF-A148-4CEF-A554-0CD06D9B1AD3}"/>
            </a:ext>
          </a:extLst>
        </xdr:cNvPr>
        <xdr:cNvSpPr/>
      </xdr:nvSpPr>
      <xdr:spPr>
        <a:xfrm rot="16200000">
          <a:off x="24890312" y="28397748"/>
          <a:ext cx="305196" cy="7512425"/>
        </a:xfrm>
        <a:prstGeom prst="rightBrace">
          <a:avLst>
            <a:gd name="adj1" fmla="val 54487"/>
            <a:gd name="adj2" fmla="val 50000"/>
          </a:avLst>
        </a:prstGeom>
        <a:ln w="12700">
          <a:solidFill>
            <a:schemeClr val="tx1"/>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85</xdr:col>
      <xdr:colOff>217882</xdr:colOff>
      <xdr:row>119</xdr:row>
      <xdr:rowOff>61328</xdr:rowOff>
    </xdr:from>
    <xdr:to>
      <xdr:col>92</xdr:col>
      <xdr:colOff>269429</xdr:colOff>
      <xdr:row>120</xdr:row>
      <xdr:rowOff>170429</xdr:rowOff>
    </xdr:to>
    <xdr:sp macro="" textlink="">
      <xdr:nvSpPr>
        <xdr:cNvPr id="99" name="正方形/長方形 98">
          <a:extLst>
            <a:ext uri="{FF2B5EF4-FFF2-40B4-BE49-F238E27FC236}">
              <a16:creationId xmlns:a16="http://schemas.microsoft.com/office/drawing/2014/main" id="{097D68B6-A1E4-47E8-AE04-6A061DBE8A09}"/>
            </a:ext>
          </a:extLst>
        </xdr:cNvPr>
        <xdr:cNvSpPr/>
      </xdr:nvSpPr>
      <xdr:spPr>
        <a:xfrm>
          <a:off x="24030382" y="31661916"/>
          <a:ext cx="2012576" cy="366837"/>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キャプチャターゲット</a:t>
          </a:r>
          <a:endParaRPr kumimoji="1" lang="en-US" altLang="ja-JP" sz="1100">
            <a:solidFill>
              <a:schemeClr val="tx1"/>
            </a:solidFill>
          </a:endParaRPr>
        </a:p>
      </xdr:txBody>
    </xdr:sp>
    <xdr:clientData/>
  </xdr:twoCellAnchor>
</xdr:wsDr>
</file>

<file path=xl/drawings/drawing7.xml><?xml version="1.0" encoding="utf-8"?>
<xdr:wsDr xmlns:xdr="http://schemas.openxmlformats.org/drawingml/2006/spreadsheetDrawing" xmlns:a="http://schemas.openxmlformats.org/drawingml/2006/main">
  <xdr:twoCellAnchor editAs="oneCell">
    <xdr:from>
      <xdr:col>4</xdr:col>
      <xdr:colOff>95249</xdr:colOff>
      <xdr:row>4</xdr:row>
      <xdr:rowOff>38100</xdr:rowOff>
    </xdr:from>
    <xdr:to>
      <xdr:col>11</xdr:col>
      <xdr:colOff>123824</xdr:colOff>
      <xdr:row>18</xdr:row>
      <xdr:rowOff>152400</xdr:rowOff>
    </xdr:to>
    <xdr:pic>
      <xdr:nvPicPr>
        <xdr:cNvPr id="2" name="図 1">
          <a:extLst>
            <a:ext uri="{FF2B5EF4-FFF2-40B4-BE49-F238E27FC236}">
              <a16:creationId xmlns:a16="http://schemas.microsoft.com/office/drawing/2014/main" id="{0299CB69-A74B-4821-8FC2-8551E4C10314}"/>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838449" y="990600"/>
          <a:ext cx="4829175" cy="3448050"/>
        </a:xfrm>
        <a:prstGeom prst="rect">
          <a:avLst/>
        </a:prstGeom>
      </xdr:spPr>
    </xdr:pic>
    <xdr:clientData/>
  </xdr:twoCellAnchor>
  <xdr:twoCellAnchor>
    <xdr:from>
      <xdr:col>2</xdr:col>
      <xdr:colOff>104774</xdr:colOff>
      <xdr:row>8</xdr:row>
      <xdr:rowOff>114300</xdr:rowOff>
    </xdr:from>
    <xdr:to>
      <xdr:col>4</xdr:col>
      <xdr:colOff>152399</xdr:colOff>
      <xdr:row>8</xdr:row>
      <xdr:rowOff>114300</xdr:rowOff>
    </xdr:to>
    <xdr:cxnSp macro="">
      <xdr:nvCxnSpPr>
        <xdr:cNvPr id="3" name="直線コネクタ 2">
          <a:extLst>
            <a:ext uri="{FF2B5EF4-FFF2-40B4-BE49-F238E27FC236}">
              <a16:creationId xmlns:a16="http://schemas.microsoft.com/office/drawing/2014/main" id="{5D3A5E60-7C8B-4813-AEA7-757C806FE8C7}"/>
            </a:ext>
          </a:extLst>
        </xdr:cNvPr>
        <xdr:cNvCxnSpPr/>
      </xdr:nvCxnSpPr>
      <xdr:spPr>
        <a:xfrm>
          <a:off x="1476374" y="2019300"/>
          <a:ext cx="1419225" cy="0"/>
        </a:xfrm>
        <a:prstGeom prst="line">
          <a:avLst/>
        </a:prstGeom>
        <a:ln w="34925">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57149</xdr:colOff>
      <xdr:row>3</xdr:row>
      <xdr:rowOff>124082</xdr:rowOff>
    </xdr:from>
    <xdr:to>
      <xdr:col>9</xdr:col>
      <xdr:colOff>57149</xdr:colOff>
      <xdr:row>4</xdr:row>
      <xdr:rowOff>123825</xdr:rowOff>
    </xdr:to>
    <xdr:cxnSp macro="">
      <xdr:nvCxnSpPr>
        <xdr:cNvPr id="4" name="コネクタ: カギ線 3">
          <a:extLst>
            <a:ext uri="{FF2B5EF4-FFF2-40B4-BE49-F238E27FC236}">
              <a16:creationId xmlns:a16="http://schemas.microsoft.com/office/drawing/2014/main" id="{39544E2C-C250-4271-BA3F-1EA2A3194D47}"/>
            </a:ext>
          </a:extLst>
        </xdr:cNvPr>
        <xdr:cNvCxnSpPr>
          <a:endCxn id="6" idx="0"/>
        </xdr:cNvCxnSpPr>
      </xdr:nvCxnSpPr>
      <xdr:spPr>
        <a:xfrm>
          <a:off x="1428749" y="838457"/>
          <a:ext cx="4800600" cy="237868"/>
        </a:xfrm>
        <a:prstGeom prst="bentConnector2">
          <a:avLst/>
        </a:prstGeom>
        <a:ln w="34925">
          <a:solidFill>
            <a:srgbClr val="00B0F0"/>
          </a:solidFill>
          <a:tailEnd type="non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285749</xdr:colOff>
      <xdr:row>2</xdr:row>
      <xdr:rowOff>219075</xdr:rowOff>
    </xdr:from>
    <xdr:to>
      <xdr:col>2</xdr:col>
      <xdr:colOff>628649</xdr:colOff>
      <xdr:row>4</xdr:row>
      <xdr:rowOff>85725</xdr:rowOff>
    </xdr:to>
    <xdr:sp macro="" textlink="">
      <xdr:nvSpPr>
        <xdr:cNvPr id="5" name="正方形/長方形 4">
          <a:extLst>
            <a:ext uri="{FF2B5EF4-FFF2-40B4-BE49-F238E27FC236}">
              <a16:creationId xmlns:a16="http://schemas.microsoft.com/office/drawing/2014/main" id="{45A03D36-44F6-418F-84EA-1A05D5BFAD50}"/>
            </a:ext>
          </a:extLst>
        </xdr:cNvPr>
        <xdr:cNvSpPr/>
      </xdr:nvSpPr>
      <xdr:spPr>
        <a:xfrm>
          <a:off x="1657349" y="695325"/>
          <a:ext cx="342900" cy="3429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571499</xdr:colOff>
      <xdr:row>4</xdr:row>
      <xdr:rowOff>123825</xdr:rowOff>
    </xdr:from>
    <xdr:to>
      <xdr:col>9</xdr:col>
      <xdr:colOff>228599</xdr:colOff>
      <xdr:row>5</xdr:row>
      <xdr:rowOff>228600</xdr:rowOff>
    </xdr:to>
    <xdr:sp macro="" textlink="">
      <xdr:nvSpPr>
        <xdr:cNvPr id="6" name="正方形/長方形 5">
          <a:extLst>
            <a:ext uri="{FF2B5EF4-FFF2-40B4-BE49-F238E27FC236}">
              <a16:creationId xmlns:a16="http://schemas.microsoft.com/office/drawing/2014/main" id="{0BC3061F-9831-44BA-B9A9-75787E721F41}"/>
            </a:ext>
          </a:extLst>
        </xdr:cNvPr>
        <xdr:cNvSpPr/>
      </xdr:nvSpPr>
      <xdr:spPr>
        <a:xfrm>
          <a:off x="6057899" y="1076325"/>
          <a:ext cx="342900" cy="3429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647699</xdr:colOff>
      <xdr:row>4</xdr:row>
      <xdr:rowOff>95250</xdr:rowOff>
    </xdr:from>
    <xdr:to>
      <xdr:col>9</xdr:col>
      <xdr:colOff>200024</xdr:colOff>
      <xdr:row>7</xdr:row>
      <xdr:rowOff>171450</xdr:rowOff>
    </xdr:to>
    <xdr:sp macro="" textlink="">
      <xdr:nvSpPr>
        <xdr:cNvPr id="7" name="正方形/長方形 6">
          <a:extLst>
            <a:ext uri="{FF2B5EF4-FFF2-40B4-BE49-F238E27FC236}">
              <a16:creationId xmlns:a16="http://schemas.microsoft.com/office/drawing/2014/main" id="{A03188FE-FF9F-4923-BC83-F8C414535622}"/>
            </a:ext>
          </a:extLst>
        </xdr:cNvPr>
        <xdr:cNvSpPr/>
      </xdr:nvSpPr>
      <xdr:spPr>
        <a:xfrm>
          <a:off x="6134099" y="1047750"/>
          <a:ext cx="238125" cy="790575"/>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xdr:col>
      <xdr:colOff>561974</xdr:colOff>
      <xdr:row>2</xdr:row>
      <xdr:rowOff>57150</xdr:rowOff>
    </xdr:from>
    <xdr:to>
      <xdr:col>6</xdr:col>
      <xdr:colOff>676274</xdr:colOff>
      <xdr:row>3</xdr:row>
      <xdr:rowOff>142875</xdr:rowOff>
    </xdr:to>
    <xdr:sp macro="" textlink="">
      <xdr:nvSpPr>
        <xdr:cNvPr id="8" name="正方形/長方形 7">
          <a:extLst>
            <a:ext uri="{FF2B5EF4-FFF2-40B4-BE49-F238E27FC236}">
              <a16:creationId xmlns:a16="http://schemas.microsoft.com/office/drawing/2014/main" id="{DA315118-84BF-45C6-B12F-F8A67FB8FE27}"/>
            </a:ext>
          </a:extLst>
        </xdr:cNvPr>
        <xdr:cNvSpPr/>
      </xdr:nvSpPr>
      <xdr:spPr>
        <a:xfrm>
          <a:off x="3305174" y="533400"/>
          <a:ext cx="1485900" cy="3238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10Gb Ethernet</a:t>
          </a:r>
          <a:endParaRPr kumimoji="1" lang="ja-JP" altLang="en-US" sz="1100">
            <a:solidFill>
              <a:schemeClr val="tx1"/>
            </a:solidFill>
          </a:endParaRPr>
        </a:p>
      </xdr:txBody>
    </xdr:sp>
    <xdr:clientData/>
  </xdr:twoCellAnchor>
  <xdr:twoCellAnchor>
    <xdr:from>
      <xdr:col>2</xdr:col>
      <xdr:colOff>219073</xdr:colOff>
      <xdr:row>6</xdr:row>
      <xdr:rowOff>104774</xdr:rowOff>
    </xdr:from>
    <xdr:to>
      <xdr:col>4</xdr:col>
      <xdr:colOff>19048</xdr:colOff>
      <xdr:row>8</xdr:row>
      <xdr:rowOff>161925</xdr:rowOff>
    </xdr:to>
    <xdr:sp macro="" textlink="">
      <xdr:nvSpPr>
        <xdr:cNvPr id="9" name="正方形/長方形 8">
          <a:extLst>
            <a:ext uri="{FF2B5EF4-FFF2-40B4-BE49-F238E27FC236}">
              <a16:creationId xmlns:a16="http://schemas.microsoft.com/office/drawing/2014/main" id="{41987700-D63B-4879-9AA5-F914AB2E3D3D}"/>
            </a:ext>
          </a:extLst>
        </xdr:cNvPr>
        <xdr:cNvSpPr/>
      </xdr:nvSpPr>
      <xdr:spPr>
        <a:xfrm>
          <a:off x="1590673" y="1533524"/>
          <a:ext cx="1171575" cy="53340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10/100/1000Mb </a:t>
          </a:r>
        </a:p>
        <a:p>
          <a:pPr algn="ctr"/>
          <a:r>
            <a:rPr kumimoji="1" lang="en-US" altLang="ja-JP" sz="1100">
              <a:solidFill>
                <a:schemeClr val="tx1"/>
              </a:solidFill>
            </a:rPr>
            <a:t>Ethernet</a:t>
          </a:r>
          <a:endParaRPr kumimoji="1" lang="ja-JP" altLang="en-US" sz="1100">
            <a:solidFill>
              <a:schemeClr val="tx1"/>
            </a:solidFill>
          </a:endParaRPr>
        </a:p>
      </xdr:txBody>
    </xdr:sp>
    <xdr:clientData/>
  </xdr:twoCellAnchor>
  <xdr:twoCellAnchor>
    <xdr:from>
      <xdr:col>2</xdr:col>
      <xdr:colOff>552448</xdr:colOff>
      <xdr:row>8</xdr:row>
      <xdr:rowOff>104774</xdr:rowOff>
    </xdr:from>
    <xdr:to>
      <xdr:col>4</xdr:col>
      <xdr:colOff>323849</xdr:colOff>
      <xdr:row>10</xdr:row>
      <xdr:rowOff>161925</xdr:rowOff>
    </xdr:to>
    <xdr:sp macro="" textlink="">
      <xdr:nvSpPr>
        <xdr:cNvPr id="10" name="正方形/長方形 9">
          <a:extLst>
            <a:ext uri="{FF2B5EF4-FFF2-40B4-BE49-F238E27FC236}">
              <a16:creationId xmlns:a16="http://schemas.microsoft.com/office/drawing/2014/main" id="{BC5D48F6-F4E8-4DCC-A206-1157A89DB263}"/>
            </a:ext>
          </a:extLst>
        </xdr:cNvPr>
        <xdr:cNvSpPr/>
      </xdr:nvSpPr>
      <xdr:spPr>
        <a:xfrm>
          <a:off x="1924048" y="2009774"/>
          <a:ext cx="1143001" cy="53340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192.168.1.3/24</a:t>
          </a:r>
          <a:endParaRPr kumimoji="1" lang="ja-JP" altLang="en-US" sz="1100">
            <a:solidFill>
              <a:schemeClr val="tx1"/>
            </a:solidFill>
          </a:endParaRPr>
        </a:p>
      </xdr:txBody>
    </xdr:sp>
    <xdr:clientData/>
  </xdr:twoCellAnchor>
  <xdr:twoCellAnchor>
    <xdr:from>
      <xdr:col>0</xdr:col>
      <xdr:colOff>333375</xdr:colOff>
      <xdr:row>3</xdr:row>
      <xdr:rowOff>28576</xdr:rowOff>
    </xdr:from>
    <xdr:to>
      <xdr:col>2</xdr:col>
      <xdr:colOff>123825</xdr:colOff>
      <xdr:row>9</xdr:row>
      <xdr:rowOff>26454</xdr:rowOff>
    </xdr:to>
    <xdr:sp macro="" textlink="">
      <xdr:nvSpPr>
        <xdr:cNvPr id="11" name="正方形/長方形 10">
          <a:extLst>
            <a:ext uri="{FF2B5EF4-FFF2-40B4-BE49-F238E27FC236}">
              <a16:creationId xmlns:a16="http://schemas.microsoft.com/office/drawing/2014/main" id="{B9AC4A64-A003-4144-B713-6081E2A1523F}"/>
            </a:ext>
          </a:extLst>
        </xdr:cNvPr>
        <xdr:cNvSpPr/>
      </xdr:nvSpPr>
      <xdr:spPr>
        <a:xfrm>
          <a:off x="333375" y="742951"/>
          <a:ext cx="1162050" cy="1426628"/>
        </a:xfrm>
        <a:prstGeom prst="rect">
          <a:avLst/>
        </a:prstGeom>
        <a:solidFill>
          <a:schemeClr val="bg1">
            <a:lumMod val="9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chemeClr val="tx1"/>
              </a:solidFill>
            </a:rPr>
            <a:t>PC</a:t>
          </a:r>
          <a:endParaRPr kumimoji="1" lang="ja-JP" altLang="en-US" sz="2800">
            <a:solidFill>
              <a:schemeClr val="tx1"/>
            </a:solidFill>
          </a:endParaRPr>
        </a:p>
      </xdr:txBody>
    </xdr:sp>
    <xdr:clientData/>
  </xdr:twoCellAnchor>
  <xdr:twoCellAnchor>
    <xdr:from>
      <xdr:col>9</xdr:col>
      <xdr:colOff>38098</xdr:colOff>
      <xdr:row>2</xdr:row>
      <xdr:rowOff>171449</xdr:rowOff>
    </xdr:from>
    <xdr:to>
      <xdr:col>10</xdr:col>
      <xdr:colOff>495299</xdr:colOff>
      <xdr:row>4</xdr:row>
      <xdr:rowOff>228600</xdr:rowOff>
    </xdr:to>
    <xdr:sp macro="" textlink="">
      <xdr:nvSpPr>
        <xdr:cNvPr id="12" name="正方形/長方形 11">
          <a:extLst>
            <a:ext uri="{FF2B5EF4-FFF2-40B4-BE49-F238E27FC236}">
              <a16:creationId xmlns:a16="http://schemas.microsoft.com/office/drawing/2014/main" id="{49CC5E61-1F90-49F5-BAF5-E90664C6FEFB}"/>
            </a:ext>
          </a:extLst>
        </xdr:cNvPr>
        <xdr:cNvSpPr/>
      </xdr:nvSpPr>
      <xdr:spPr>
        <a:xfrm>
          <a:off x="6210298" y="647699"/>
          <a:ext cx="1143001" cy="53340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10.0.0.16/24</a:t>
          </a:r>
          <a:endParaRPr kumimoji="1" lang="ja-JP" altLang="en-US" sz="1100">
            <a:solidFill>
              <a:schemeClr val="tx1"/>
            </a:solidFill>
          </a:endParaRPr>
        </a:p>
      </xdr:txBody>
    </xdr:sp>
    <xdr:clientData/>
  </xdr:twoCellAnchor>
  <xdr:twoCellAnchor editAs="oneCell">
    <xdr:from>
      <xdr:col>0</xdr:col>
      <xdr:colOff>619125</xdr:colOff>
      <xdr:row>21</xdr:row>
      <xdr:rowOff>159963</xdr:rowOff>
    </xdr:from>
    <xdr:to>
      <xdr:col>10</xdr:col>
      <xdr:colOff>198664</xdr:colOff>
      <xdr:row>43</xdr:row>
      <xdr:rowOff>7563</xdr:rowOff>
    </xdr:to>
    <xdr:pic>
      <xdr:nvPicPr>
        <xdr:cNvPr id="13" name="図 12">
          <a:extLst>
            <a:ext uri="{FF2B5EF4-FFF2-40B4-BE49-F238E27FC236}">
              <a16:creationId xmlns:a16="http://schemas.microsoft.com/office/drawing/2014/main" id="{86197006-9835-41E8-8380-73917A833839}"/>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619125" y="5160588"/>
          <a:ext cx="6437539" cy="5086350"/>
        </a:xfrm>
        <a:prstGeom prst="rect">
          <a:avLst/>
        </a:prstGeom>
      </xdr:spPr>
    </xdr:pic>
    <xdr:clientData/>
  </xdr:twoCellAnchor>
  <xdr:twoCellAnchor>
    <xdr:from>
      <xdr:col>1</xdr:col>
      <xdr:colOff>404812</xdr:colOff>
      <xdr:row>27</xdr:row>
      <xdr:rowOff>191260</xdr:rowOff>
    </xdr:from>
    <xdr:to>
      <xdr:col>3</xdr:col>
      <xdr:colOff>402090</xdr:colOff>
      <xdr:row>27</xdr:row>
      <xdr:rowOff>191260</xdr:rowOff>
    </xdr:to>
    <xdr:cxnSp macro="">
      <xdr:nvCxnSpPr>
        <xdr:cNvPr id="14" name="直線矢印コネクタ 13">
          <a:extLst>
            <a:ext uri="{FF2B5EF4-FFF2-40B4-BE49-F238E27FC236}">
              <a16:creationId xmlns:a16="http://schemas.microsoft.com/office/drawing/2014/main" id="{02CB7526-DD96-4E89-B912-5AF59409A17A}"/>
            </a:ext>
          </a:extLst>
        </xdr:cNvPr>
        <xdr:cNvCxnSpPr/>
      </xdr:nvCxnSpPr>
      <xdr:spPr>
        <a:xfrm>
          <a:off x="1090612" y="6620635"/>
          <a:ext cx="1368878" cy="0"/>
        </a:xfrm>
        <a:prstGeom prst="straightConnector1">
          <a:avLst/>
        </a:prstGeom>
        <a:ln w="31750">
          <a:solidFill>
            <a:srgbClr val="FFC000"/>
          </a:solidFill>
          <a:prstDash val="dash"/>
          <a:headEnd type="triangle" w="lg" len="med"/>
          <a:tailEnd type="triangle" w="lg" len="me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406173</xdr:colOff>
      <xdr:row>27</xdr:row>
      <xdr:rowOff>189900</xdr:rowOff>
    </xdr:from>
    <xdr:to>
      <xdr:col>8</xdr:col>
      <xdr:colOff>198664</xdr:colOff>
      <xdr:row>27</xdr:row>
      <xdr:rowOff>189900</xdr:rowOff>
    </xdr:to>
    <xdr:cxnSp macro="">
      <xdr:nvCxnSpPr>
        <xdr:cNvPr id="15" name="直線矢印コネクタ 14">
          <a:extLst>
            <a:ext uri="{FF2B5EF4-FFF2-40B4-BE49-F238E27FC236}">
              <a16:creationId xmlns:a16="http://schemas.microsoft.com/office/drawing/2014/main" id="{DA74C19C-07D5-498A-BD6D-2119D8DE5E15}"/>
            </a:ext>
          </a:extLst>
        </xdr:cNvPr>
        <xdr:cNvCxnSpPr/>
      </xdr:nvCxnSpPr>
      <xdr:spPr>
        <a:xfrm>
          <a:off x="2463573" y="6619275"/>
          <a:ext cx="3221491" cy="0"/>
        </a:xfrm>
        <a:prstGeom prst="straightConnector1">
          <a:avLst/>
        </a:prstGeom>
        <a:ln w="31750">
          <a:solidFill>
            <a:srgbClr val="00B0F0"/>
          </a:solidFill>
          <a:prstDash val="dash"/>
          <a:headEnd type="triangle" w="lg" len="med"/>
          <a:tailEnd type="triangle" w="lg" len="me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xdr:col>
      <xdr:colOff>444273</xdr:colOff>
      <xdr:row>24</xdr:row>
      <xdr:rowOff>94649</xdr:rowOff>
    </xdr:from>
    <xdr:to>
      <xdr:col>3</xdr:col>
      <xdr:colOff>396647</xdr:colOff>
      <xdr:row>27</xdr:row>
      <xdr:rowOff>105535</xdr:rowOff>
    </xdr:to>
    <xdr:sp macro="" textlink="">
      <xdr:nvSpPr>
        <xdr:cNvPr id="16" name="正方形/長方形 15">
          <a:extLst>
            <a:ext uri="{FF2B5EF4-FFF2-40B4-BE49-F238E27FC236}">
              <a16:creationId xmlns:a16="http://schemas.microsoft.com/office/drawing/2014/main" id="{B2D6098F-AABF-4752-9BC8-900F5BFDE76D}"/>
            </a:ext>
          </a:extLst>
        </xdr:cNvPr>
        <xdr:cNvSpPr/>
      </xdr:nvSpPr>
      <xdr:spPr>
        <a:xfrm>
          <a:off x="1130073" y="5809649"/>
          <a:ext cx="1323974" cy="72526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400" b="1">
              <a:solidFill>
                <a:srgbClr val="FFC000"/>
              </a:solidFill>
            </a:rPr>
            <a:t>デフォルト値</a:t>
          </a:r>
          <a:endParaRPr kumimoji="1" lang="en-US" altLang="ja-JP" sz="1400" b="1">
            <a:solidFill>
              <a:srgbClr val="FFC000"/>
            </a:solidFill>
          </a:endParaRPr>
        </a:p>
        <a:p>
          <a:pPr algn="ctr"/>
          <a:r>
            <a:rPr kumimoji="1" lang="en-US" altLang="ja-JP" sz="1400" b="1">
              <a:solidFill>
                <a:srgbClr val="FFC000"/>
              </a:solidFill>
            </a:rPr>
            <a:t>0x00</a:t>
          </a:r>
          <a:endParaRPr kumimoji="1" lang="ja-JP" altLang="en-US" sz="1400" b="1">
            <a:solidFill>
              <a:srgbClr val="FFC000"/>
            </a:solidFill>
          </a:endParaRPr>
        </a:p>
      </xdr:txBody>
    </xdr:sp>
    <xdr:clientData/>
  </xdr:twoCellAnchor>
  <xdr:twoCellAnchor>
    <xdr:from>
      <xdr:col>5</xdr:col>
      <xdr:colOff>55109</xdr:colOff>
      <xdr:row>24</xdr:row>
      <xdr:rowOff>100092</xdr:rowOff>
    </xdr:from>
    <xdr:to>
      <xdr:col>7</xdr:col>
      <xdr:colOff>7483</xdr:colOff>
      <xdr:row>27</xdr:row>
      <xdr:rowOff>110978</xdr:rowOff>
    </xdr:to>
    <xdr:sp macro="" textlink="">
      <xdr:nvSpPr>
        <xdr:cNvPr id="17" name="正方形/長方形 16">
          <a:extLst>
            <a:ext uri="{FF2B5EF4-FFF2-40B4-BE49-F238E27FC236}">
              <a16:creationId xmlns:a16="http://schemas.microsoft.com/office/drawing/2014/main" id="{C8188AE1-9654-4D04-8F58-5CF93B415F6B}"/>
            </a:ext>
          </a:extLst>
        </xdr:cNvPr>
        <xdr:cNvSpPr/>
      </xdr:nvSpPr>
      <xdr:spPr>
        <a:xfrm>
          <a:off x="3484109" y="5815092"/>
          <a:ext cx="1323974" cy="72526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400" b="1">
              <a:solidFill>
                <a:srgbClr val="00B0F0"/>
              </a:solidFill>
            </a:rPr>
            <a:t>パターン</a:t>
          </a:r>
          <a:r>
            <a:rPr kumimoji="1" lang="en-US" altLang="ja-JP" sz="1400" b="1">
              <a:solidFill>
                <a:srgbClr val="00B0F0"/>
              </a:solidFill>
            </a:rPr>
            <a:t>1</a:t>
          </a:r>
        </a:p>
        <a:p>
          <a:pPr algn="ctr"/>
          <a:r>
            <a:rPr kumimoji="1" lang="en-US" altLang="ja-JP" sz="1400" b="1">
              <a:solidFill>
                <a:srgbClr val="00B0F0"/>
              </a:solidFill>
            </a:rPr>
            <a:t>0x01</a:t>
          </a:r>
          <a:endParaRPr kumimoji="1" lang="ja-JP" altLang="en-US" sz="1400" b="1">
            <a:solidFill>
              <a:srgbClr val="00B0F0"/>
            </a:solidFill>
          </a:endParaRPr>
        </a:p>
      </xdr:txBody>
    </xdr:sp>
    <xdr:clientData/>
  </xdr:twoCellAnchor>
  <xdr:twoCellAnchor editAs="oneCell">
    <xdr:from>
      <xdr:col>11</xdr:col>
      <xdr:colOff>590350</xdr:colOff>
      <xdr:row>21</xdr:row>
      <xdr:rowOff>119062</xdr:rowOff>
    </xdr:from>
    <xdr:to>
      <xdr:col>21</xdr:col>
      <xdr:colOff>192301</xdr:colOff>
      <xdr:row>43</xdr:row>
      <xdr:rowOff>25493</xdr:rowOff>
    </xdr:to>
    <xdr:pic>
      <xdr:nvPicPr>
        <xdr:cNvPr id="18" name="図 17">
          <a:extLst>
            <a:ext uri="{FF2B5EF4-FFF2-40B4-BE49-F238E27FC236}">
              <a16:creationId xmlns:a16="http://schemas.microsoft.com/office/drawing/2014/main" id="{1FC9D2FA-1F0F-45ED-A55D-F0A9EAD8CEFC}"/>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8134150" y="5119687"/>
          <a:ext cx="6459951" cy="5145181"/>
        </a:xfrm>
        <a:prstGeom prst="rect">
          <a:avLst/>
        </a:prstGeom>
      </xdr:spPr>
    </xdr:pic>
    <xdr:clientData/>
  </xdr:twoCellAnchor>
  <xdr:twoCellAnchor>
    <xdr:from>
      <xdr:col>12</xdr:col>
      <xdr:colOff>254454</xdr:colOff>
      <xdr:row>27</xdr:row>
      <xdr:rowOff>153160</xdr:rowOff>
    </xdr:from>
    <xdr:to>
      <xdr:col>14</xdr:col>
      <xdr:colOff>316104</xdr:colOff>
      <xdr:row>27</xdr:row>
      <xdr:rowOff>153160</xdr:rowOff>
    </xdr:to>
    <xdr:cxnSp macro="">
      <xdr:nvCxnSpPr>
        <xdr:cNvPr id="19" name="直線矢印コネクタ 18">
          <a:extLst>
            <a:ext uri="{FF2B5EF4-FFF2-40B4-BE49-F238E27FC236}">
              <a16:creationId xmlns:a16="http://schemas.microsoft.com/office/drawing/2014/main" id="{8C9E0368-9F4B-4712-AA2A-1E726E0DAAA8}"/>
            </a:ext>
          </a:extLst>
        </xdr:cNvPr>
        <xdr:cNvCxnSpPr/>
      </xdr:nvCxnSpPr>
      <xdr:spPr>
        <a:xfrm>
          <a:off x="8484054" y="6582535"/>
          <a:ext cx="1433250" cy="0"/>
        </a:xfrm>
        <a:prstGeom prst="straightConnector1">
          <a:avLst/>
        </a:prstGeom>
        <a:ln w="31750">
          <a:solidFill>
            <a:srgbClr val="00B0F0"/>
          </a:solidFill>
          <a:prstDash val="dash"/>
          <a:headEnd type="triangle" w="lg" len="med"/>
          <a:tailEnd type="triangle" w="lg" len="me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293915</xdr:colOff>
      <xdr:row>24</xdr:row>
      <xdr:rowOff>53748</xdr:rowOff>
    </xdr:from>
    <xdr:to>
      <xdr:col>14</xdr:col>
      <xdr:colOff>246290</xdr:colOff>
      <xdr:row>27</xdr:row>
      <xdr:rowOff>67435</xdr:rowOff>
    </xdr:to>
    <xdr:sp macro="" textlink="">
      <xdr:nvSpPr>
        <xdr:cNvPr id="20" name="正方形/長方形 19">
          <a:extLst>
            <a:ext uri="{FF2B5EF4-FFF2-40B4-BE49-F238E27FC236}">
              <a16:creationId xmlns:a16="http://schemas.microsoft.com/office/drawing/2014/main" id="{67A90360-F3BD-40C6-89E3-461D312C5B93}"/>
            </a:ext>
          </a:extLst>
        </xdr:cNvPr>
        <xdr:cNvSpPr/>
      </xdr:nvSpPr>
      <xdr:spPr>
        <a:xfrm>
          <a:off x="8523515" y="5768748"/>
          <a:ext cx="1323975" cy="728062"/>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400" b="1">
              <a:solidFill>
                <a:srgbClr val="00B0F0"/>
              </a:solidFill>
            </a:rPr>
            <a:t>パターン</a:t>
          </a:r>
          <a:r>
            <a:rPr kumimoji="1" lang="en-US" altLang="ja-JP" sz="1400" b="1">
              <a:solidFill>
                <a:srgbClr val="00B0F0"/>
              </a:solidFill>
            </a:rPr>
            <a:t>1</a:t>
          </a:r>
        </a:p>
        <a:p>
          <a:pPr algn="ctr"/>
          <a:r>
            <a:rPr kumimoji="1" lang="en-US" altLang="ja-JP" sz="1400" b="1">
              <a:solidFill>
                <a:srgbClr val="00B0F0"/>
              </a:solidFill>
            </a:rPr>
            <a:t>0x01</a:t>
          </a:r>
        </a:p>
      </xdr:txBody>
    </xdr:sp>
    <xdr:clientData/>
  </xdr:twoCellAnchor>
  <xdr:twoCellAnchor>
    <xdr:from>
      <xdr:col>14</xdr:col>
      <xdr:colOff>313173</xdr:colOff>
      <xdr:row>27</xdr:row>
      <xdr:rowOff>159017</xdr:rowOff>
    </xdr:from>
    <xdr:to>
      <xdr:col>15</xdr:col>
      <xdr:colOff>408475</xdr:colOff>
      <xdr:row>27</xdr:row>
      <xdr:rowOff>159017</xdr:rowOff>
    </xdr:to>
    <xdr:cxnSp macro="">
      <xdr:nvCxnSpPr>
        <xdr:cNvPr id="21" name="直線矢印コネクタ 20">
          <a:extLst>
            <a:ext uri="{FF2B5EF4-FFF2-40B4-BE49-F238E27FC236}">
              <a16:creationId xmlns:a16="http://schemas.microsoft.com/office/drawing/2014/main" id="{91D2EABF-A9A2-4534-9C3E-54692BCE7232}"/>
            </a:ext>
          </a:extLst>
        </xdr:cNvPr>
        <xdr:cNvCxnSpPr/>
      </xdr:nvCxnSpPr>
      <xdr:spPr>
        <a:xfrm>
          <a:off x="9914373" y="6588392"/>
          <a:ext cx="781102" cy="0"/>
        </a:xfrm>
        <a:prstGeom prst="straightConnector1">
          <a:avLst/>
        </a:prstGeom>
        <a:ln w="31750">
          <a:solidFill>
            <a:srgbClr val="00B0F0"/>
          </a:solidFill>
          <a:prstDash val="dash"/>
          <a:headEnd type="triangle" w="lg" len="med"/>
          <a:tailEnd type="triangle" w="lg" len="me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47835</xdr:colOff>
      <xdr:row>24</xdr:row>
      <xdr:rowOff>57411</xdr:rowOff>
    </xdr:from>
    <xdr:to>
      <xdr:col>16</xdr:col>
      <xdr:colOff>211</xdr:colOff>
      <xdr:row>27</xdr:row>
      <xdr:rowOff>71098</xdr:rowOff>
    </xdr:to>
    <xdr:sp macro="" textlink="">
      <xdr:nvSpPr>
        <xdr:cNvPr id="22" name="正方形/長方形 21">
          <a:extLst>
            <a:ext uri="{FF2B5EF4-FFF2-40B4-BE49-F238E27FC236}">
              <a16:creationId xmlns:a16="http://schemas.microsoft.com/office/drawing/2014/main" id="{3EBB291A-0953-4B6B-B769-837FA659F0F9}"/>
            </a:ext>
          </a:extLst>
        </xdr:cNvPr>
        <xdr:cNvSpPr/>
      </xdr:nvSpPr>
      <xdr:spPr>
        <a:xfrm>
          <a:off x="9649035" y="5772411"/>
          <a:ext cx="1323976" cy="728062"/>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400" b="1">
              <a:solidFill>
                <a:srgbClr val="00B0F0"/>
              </a:solidFill>
            </a:rPr>
            <a:t>パターン</a:t>
          </a:r>
          <a:r>
            <a:rPr kumimoji="1" lang="en-US" altLang="ja-JP" sz="1400" b="1">
              <a:solidFill>
                <a:srgbClr val="00B0F0"/>
              </a:solidFill>
            </a:rPr>
            <a:t>1</a:t>
          </a:r>
        </a:p>
        <a:p>
          <a:pPr algn="ctr"/>
          <a:r>
            <a:rPr kumimoji="1" lang="en-US" altLang="ja-JP" sz="1400" b="1">
              <a:solidFill>
                <a:srgbClr val="00B0F0"/>
              </a:solidFill>
            </a:rPr>
            <a:t>0x02</a:t>
          </a:r>
        </a:p>
      </xdr:txBody>
    </xdr:sp>
    <xdr:clientData/>
  </xdr:twoCellAnchor>
  <xdr:twoCellAnchor>
    <xdr:from>
      <xdr:col>15</xdr:col>
      <xdr:colOff>408475</xdr:colOff>
      <xdr:row>27</xdr:row>
      <xdr:rowOff>165616</xdr:rowOff>
    </xdr:from>
    <xdr:to>
      <xdr:col>19</xdr:col>
      <xdr:colOff>191808</xdr:colOff>
      <xdr:row>27</xdr:row>
      <xdr:rowOff>165616</xdr:rowOff>
    </xdr:to>
    <xdr:cxnSp macro="">
      <xdr:nvCxnSpPr>
        <xdr:cNvPr id="23" name="直線矢印コネクタ 22">
          <a:extLst>
            <a:ext uri="{FF2B5EF4-FFF2-40B4-BE49-F238E27FC236}">
              <a16:creationId xmlns:a16="http://schemas.microsoft.com/office/drawing/2014/main" id="{EE9A0029-001A-406F-A647-C61C0248E084}"/>
            </a:ext>
          </a:extLst>
        </xdr:cNvPr>
        <xdr:cNvCxnSpPr/>
      </xdr:nvCxnSpPr>
      <xdr:spPr>
        <a:xfrm>
          <a:off x="10695475" y="6594991"/>
          <a:ext cx="2526533" cy="0"/>
        </a:xfrm>
        <a:prstGeom prst="straightConnector1">
          <a:avLst/>
        </a:prstGeom>
        <a:ln w="31750">
          <a:solidFill>
            <a:srgbClr val="FFC000"/>
          </a:solidFill>
          <a:prstDash val="dash"/>
          <a:headEnd type="triangle" w="lg" len="med"/>
          <a:tailEnd type="triangle" w="lg" len="me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420147</xdr:colOff>
      <xdr:row>24</xdr:row>
      <xdr:rowOff>47024</xdr:rowOff>
    </xdr:from>
    <xdr:to>
      <xdr:col>18</xdr:col>
      <xdr:colOff>372521</xdr:colOff>
      <xdr:row>27</xdr:row>
      <xdr:rowOff>57910</xdr:rowOff>
    </xdr:to>
    <xdr:sp macro="" textlink="">
      <xdr:nvSpPr>
        <xdr:cNvPr id="24" name="正方形/長方形 23">
          <a:extLst>
            <a:ext uri="{FF2B5EF4-FFF2-40B4-BE49-F238E27FC236}">
              <a16:creationId xmlns:a16="http://schemas.microsoft.com/office/drawing/2014/main" id="{EBFBC5FC-A796-4BBA-9075-659A44FC4D0A}"/>
            </a:ext>
          </a:extLst>
        </xdr:cNvPr>
        <xdr:cNvSpPr/>
      </xdr:nvSpPr>
      <xdr:spPr>
        <a:xfrm>
          <a:off x="11392947" y="5762024"/>
          <a:ext cx="1323974" cy="72526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400" b="1">
              <a:solidFill>
                <a:srgbClr val="FFC000"/>
              </a:solidFill>
            </a:rPr>
            <a:t>デフォルト値</a:t>
          </a:r>
          <a:endParaRPr kumimoji="1" lang="en-US" altLang="ja-JP" sz="1400" b="1">
            <a:solidFill>
              <a:srgbClr val="FFC000"/>
            </a:solidFill>
          </a:endParaRPr>
        </a:p>
        <a:p>
          <a:pPr algn="ctr"/>
          <a:r>
            <a:rPr kumimoji="1" lang="en-US" altLang="ja-JP" sz="1400" b="1">
              <a:solidFill>
                <a:srgbClr val="FFC000"/>
              </a:solidFill>
            </a:rPr>
            <a:t>0x00</a:t>
          </a:r>
          <a:endParaRPr kumimoji="1" lang="ja-JP" altLang="en-US" sz="1400" b="1">
            <a:solidFill>
              <a:srgbClr val="FFC000"/>
            </a:solidFill>
          </a:endParaRPr>
        </a:p>
      </xdr:txBody>
    </xdr:sp>
    <xdr:clientData/>
  </xdr:twoCellAnchor>
  <xdr:twoCellAnchor editAs="oneCell">
    <xdr:from>
      <xdr:col>0</xdr:col>
      <xdr:colOff>666050</xdr:colOff>
      <xdr:row>44</xdr:row>
      <xdr:rowOff>131268</xdr:rowOff>
    </xdr:from>
    <xdr:to>
      <xdr:col>10</xdr:col>
      <xdr:colOff>429812</xdr:colOff>
      <xdr:row>65</xdr:row>
      <xdr:rowOff>232250</xdr:rowOff>
    </xdr:to>
    <xdr:pic>
      <xdr:nvPicPr>
        <xdr:cNvPr id="25" name="図 24">
          <a:extLst>
            <a:ext uri="{FF2B5EF4-FFF2-40B4-BE49-F238E27FC236}">
              <a16:creationId xmlns:a16="http://schemas.microsoft.com/office/drawing/2014/main" id="{41B9B0DF-39A5-4842-B857-471D7DC1AA4B}"/>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666050" y="10608768"/>
          <a:ext cx="6621762" cy="5101607"/>
        </a:xfrm>
        <a:prstGeom prst="rect">
          <a:avLst/>
        </a:prstGeom>
      </xdr:spPr>
    </xdr:pic>
    <xdr:clientData/>
  </xdr:twoCellAnchor>
  <xdr:twoCellAnchor>
    <xdr:from>
      <xdr:col>1</xdr:col>
      <xdr:colOff>463794</xdr:colOff>
      <xdr:row>50</xdr:row>
      <xdr:rowOff>232251</xdr:rowOff>
    </xdr:from>
    <xdr:to>
      <xdr:col>3</xdr:col>
      <xdr:colOff>525443</xdr:colOff>
      <xdr:row>50</xdr:row>
      <xdr:rowOff>232251</xdr:rowOff>
    </xdr:to>
    <xdr:cxnSp macro="">
      <xdr:nvCxnSpPr>
        <xdr:cNvPr id="26" name="直線矢印コネクタ 25">
          <a:extLst>
            <a:ext uri="{FF2B5EF4-FFF2-40B4-BE49-F238E27FC236}">
              <a16:creationId xmlns:a16="http://schemas.microsoft.com/office/drawing/2014/main" id="{74FE30C7-3208-4580-B8C5-357F43536322}"/>
            </a:ext>
          </a:extLst>
        </xdr:cNvPr>
        <xdr:cNvCxnSpPr/>
      </xdr:nvCxnSpPr>
      <xdr:spPr>
        <a:xfrm>
          <a:off x="1149594" y="12138501"/>
          <a:ext cx="1433249" cy="0"/>
        </a:xfrm>
        <a:prstGeom prst="straightConnector1">
          <a:avLst/>
        </a:prstGeom>
        <a:ln w="31750">
          <a:solidFill>
            <a:srgbClr val="00B0F0"/>
          </a:solidFill>
          <a:prstDash val="dash"/>
          <a:headEnd type="triangle" w="lg" len="med"/>
          <a:tailEnd type="triangle" w="lg" len="me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xdr:col>
      <xdr:colOff>503255</xdr:colOff>
      <xdr:row>47</xdr:row>
      <xdr:rowOff>132839</xdr:rowOff>
    </xdr:from>
    <xdr:to>
      <xdr:col>3</xdr:col>
      <xdr:colOff>455629</xdr:colOff>
      <xdr:row>50</xdr:row>
      <xdr:rowOff>146526</xdr:rowOff>
    </xdr:to>
    <xdr:sp macro="" textlink="">
      <xdr:nvSpPr>
        <xdr:cNvPr id="27" name="正方形/長方形 26">
          <a:extLst>
            <a:ext uri="{FF2B5EF4-FFF2-40B4-BE49-F238E27FC236}">
              <a16:creationId xmlns:a16="http://schemas.microsoft.com/office/drawing/2014/main" id="{77F7BADE-9D6B-441D-AE8C-9D1F1724219C}"/>
            </a:ext>
          </a:extLst>
        </xdr:cNvPr>
        <xdr:cNvSpPr/>
      </xdr:nvSpPr>
      <xdr:spPr>
        <a:xfrm>
          <a:off x="1189055" y="11324714"/>
          <a:ext cx="1323974" cy="728062"/>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400" b="1">
              <a:solidFill>
                <a:srgbClr val="00B0F0"/>
              </a:solidFill>
            </a:rPr>
            <a:t>パターン</a:t>
          </a:r>
          <a:r>
            <a:rPr kumimoji="1" lang="en-US" altLang="ja-JP" sz="1400" b="1">
              <a:solidFill>
                <a:srgbClr val="00B0F0"/>
              </a:solidFill>
            </a:rPr>
            <a:t>1</a:t>
          </a:r>
        </a:p>
        <a:p>
          <a:pPr algn="ctr"/>
          <a:r>
            <a:rPr kumimoji="1" lang="en-US" altLang="ja-JP" sz="1400" b="1">
              <a:solidFill>
                <a:srgbClr val="00B0F0"/>
              </a:solidFill>
            </a:rPr>
            <a:t>0x01</a:t>
          </a:r>
        </a:p>
      </xdr:txBody>
    </xdr:sp>
    <xdr:clientData/>
  </xdr:twoCellAnchor>
  <xdr:twoCellAnchor>
    <xdr:from>
      <xdr:col>3</xdr:col>
      <xdr:colOff>529474</xdr:colOff>
      <xdr:row>51</xdr:row>
      <xdr:rowOff>1914</xdr:rowOff>
    </xdr:from>
    <xdr:to>
      <xdr:col>4</xdr:col>
      <xdr:colOff>578304</xdr:colOff>
      <xdr:row>51</xdr:row>
      <xdr:rowOff>1914</xdr:rowOff>
    </xdr:to>
    <xdr:cxnSp macro="">
      <xdr:nvCxnSpPr>
        <xdr:cNvPr id="28" name="直線矢印コネクタ 27">
          <a:extLst>
            <a:ext uri="{FF2B5EF4-FFF2-40B4-BE49-F238E27FC236}">
              <a16:creationId xmlns:a16="http://schemas.microsoft.com/office/drawing/2014/main" id="{7841A563-B89D-4E78-BA45-91BE00DC3C68}"/>
            </a:ext>
          </a:extLst>
        </xdr:cNvPr>
        <xdr:cNvCxnSpPr/>
      </xdr:nvCxnSpPr>
      <xdr:spPr>
        <a:xfrm>
          <a:off x="2586874" y="12146289"/>
          <a:ext cx="734630" cy="0"/>
        </a:xfrm>
        <a:prstGeom prst="straightConnector1">
          <a:avLst/>
        </a:prstGeom>
        <a:ln w="31750">
          <a:solidFill>
            <a:srgbClr val="FFC000"/>
          </a:solidFill>
          <a:prstDash val="dash"/>
          <a:headEnd type="triangle" w="lg" len="med"/>
          <a:tailEnd type="triangle" w="lg" len="me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299355</xdr:colOff>
      <xdr:row>47</xdr:row>
      <xdr:rowOff>136098</xdr:rowOff>
    </xdr:from>
    <xdr:to>
      <xdr:col>6</xdr:col>
      <xdr:colOff>251728</xdr:colOff>
      <xdr:row>49</xdr:row>
      <xdr:rowOff>187805</xdr:rowOff>
    </xdr:to>
    <xdr:sp macro="" textlink="">
      <xdr:nvSpPr>
        <xdr:cNvPr id="29" name="正方形/長方形 28">
          <a:extLst>
            <a:ext uri="{FF2B5EF4-FFF2-40B4-BE49-F238E27FC236}">
              <a16:creationId xmlns:a16="http://schemas.microsoft.com/office/drawing/2014/main" id="{39C736D3-52D0-4D34-B24F-88F56AE9D9F8}"/>
            </a:ext>
          </a:extLst>
        </xdr:cNvPr>
        <xdr:cNvSpPr/>
      </xdr:nvSpPr>
      <xdr:spPr>
        <a:xfrm>
          <a:off x="3042555" y="11327973"/>
          <a:ext cx="1323973" cy="527957"/>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400" b="1">
              <a:solidFill>
                <a:srgbClr val="FFC000"/>
              </a:solidFill>
            </a:rPr>
            <a:t>パターン</a:t>
          </a:r>
          <a:r>
            <a:rPr kumimoji="1" lang="en-US" altLang="ja-JP" sz="1400" b="1">
              <a:solidFill>
                <a:srgbClr val="FFC000"/>
              </a:solidFill>
            </a:rPr>
            <a:t>2</a:t>
          </a:r>
        </a:p>
      </xdr:txBody>
    </xdr:sp>
    <xdr:clientData/>
  </xdr:twoCellAnchor>
  <xdr:twoCellAnchor>
    <xdr:from>
      <xdr:col>4</xdr:col>
      <xdr:colOff>583747</xdr:colOff>
      <xdr:row>51</xdr:row>
      <xdr:rowOff>7776</xdr:rowOff>
    </xdr:from>
    <xdr:to>
      <xdr:col>5</xdr:col>
      <xdr:colOff>632575</xdr:colOff>
      <xdr:row>51</xdr:row>
      <xdr:rowOff>7776</xdr:rowOff>
    </xdr:to>
    <xdr:cxnSp macro="">
      <xdr:nvCxnSpPr>
        <xdr:cNvPr id="30" name="直線矢印コネクタ 29">
          <a:extLst>
            <a:ext uri="{FF2B5EF4-FFF2-40B4-BE49-F238E27FC236}">
              <a16:creationId xmlns:a16="http://schemas.microsoft.com/office/drawing/2014/main" id="{469F87F3-48A8-4CB9-B1AB-0356D3161C21}"/>
            </a:ext>
          </a:extLst>
        </xdr:cNvPr>
        <xdr:cNvCxnSpPr/>
      </xdr:nvCxnSpPr>
      <xdr:spPr>
        <a:xfrm>
          <a:off x="3326947" y="12152151"/>
          <a:ext cx="734628" cy="0"/>
        </a:xfrm>
        <a:prstGeom prst="straightConnector1">
          <a:avLst/>
        </a:prstGeom>
        <a:ln w="31750">
          <a:solidFill>
            <a:srgbClr val="FFC000"/>
          </a:solidFill>
          <a:prstDash val="dash"/>
          <a:headEnd type="triangle" w="lg" len="med"/>
          <a:tailEnd type="triangle" w="lg" len="me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622317</xdr:colOff>
      <xdr:row>51</xdr:row>
      <xdr:rowOff>6310</xdr:rowOff>
    </xdr:from>
    <xdr:to>
      <xdr:col>7</xdr:col>
      <xdr:colOff>6542</xdr:colOff>
      <xdr:row>51</xdr:row>
      <xdr:rowOff>6310</xdr:rowOff>
    </xdr:to>
    <xdr:cxnSp macro="">
      <xdr:nvCxnSpPr>
        <xdr:cNvPr id="31" name="直線矢印コネクタ 30">
          <a:extLst>
            <a:ext uri="{FF2B5EF4-FFF2-40B4-BE49-F238E27FC236}">
              <a16:creationId xmlns:a16="http://schemas.microsoft.com/office/drawing/2014/main" id="{0094D074-A236-4667-A410-C2F514AE4728}"/>
            </a:ext>
          </a:extLst>
        </xdr:cNvPr>
        <xdr:cNvCxnSpPr/>
      </xdr:nvCxnSpPr>
      <xdr:spPr>
        <a:xfrm>
          <a:off x="4051317" y="12150685"/>
          <a:ext cx="755825" cy="0"/>
        </a:xfrm>
        <a:prstGeom prst="straightConnector1">
          <a:avLst/>
        </a:prstGeom>
        <a:ln w="31750">
          <a:solidFill>
            <a:srgbClr val="FFC000"/>
          </a:solidFill>
          <a:prstDash val="dash"/>
          <a:headEnd type="triangle" w="lg" len="med"/>
          <a:tailEnd type="triangle" w="lg" len="me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644086</xdr:colOff>
      <xdr:row>48</xdr:row>
      <xdr:rowOff>229361</xdr:rowOff>
    </xdr:from>
    <xdr:to>
      <xdr:col>4</xdr:col>
      <xdr:colOff>535389</xdr:colOff>
      <xdr:row>50</xdr:row>
      <xdr:rowOff>96220</xdr:rowOff>
    </xdr:to>
    <xdr:sp macro="" textlink="">
      <xdr:nvSpPr>
        <xdr:cNvPr id="32" name="正方形/長方形 31">
          <a:extLst>
            <a:ext uri="{FF2B5EF4-FFF2-40B4-BE49-F238E27FC236}">
              <a16:creationId xmlns:a16="http://schemas.microsoft.com/office/drawing/2014/main" id="{BFAF77C3-8ACB-4732-930D-F08E77097B73}"/>
            </a:ext>
          </a:extLst>
        </xdr:cNvPr>
        <xdr:cNvSpPr/>
      </xdr:nvSpPr>
      <xdr:spPr>
        <a:xfrm>
          <a:off x="2701486" y="11659361"/>
          <a:ext cx="577103" cy="34310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rgbClr val="FFC000"/>
              </a:solidFill>
            </a:rPr>
            <a:t>0x03</a:t>
          </a:r>
        </a:p>
      </xdr:txBody>
    </xdr:sp>
    <xdr:clientData/>
  </xdr:twoCellAnchor>
  <xdr:twoCellAnchor>
    <xdr:from>
      <xdr:col>5</xdr:col>
      <xdr:colOff>468</xdr:colOff>
      <xdr:row>48</xdr:row>
      <xdr:rowOff>220567</xdr:rowOff>
    </xdr:from>
    <xdr:to>
      <xdr:col>5</xdr:col>
      <xdr:colOff>573959</xdr:colOff>
      <xdr:row>50</xdr:row>
      <xdr:rowOff>87426</xdr:rowOff>
    </xdr:to>
    <xdr:sp macro="" textlink="">
      <xdr:nvSpPr>
        <xdr:cNvPr id="33" name="正方形/長方形 32">
          <a:extLst>
            <a:ext uri="{FF2B5EF4-FFF2-40B4-BE49-F238E27FC236}">
              <a16:creationId xmlns:a16="http://schemas.microsoft.com/office/drawing/2014/main" id="{42441C65-4BCA-42C1-94AF-FA18483A4737}"/>
            </a:ext>
          </a:extLst>
        </xdr:cNvPr>
        <xdr:cNvSpPr/>
      </xdr:nvSpPr>
      <xdr:spPr>
        <a:xfrm>
          <a:off x="3429468" y="11650567"/>
          <a:ext cx="573491" cy="34310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rgbClr val="FFC000"/>
              </a:solidFill>
            </a:rPr>
            <a:t>0x02</a:t>
          </a:r>
        </a:p>
      </xdr:txBody>
    </xdr:sp>
    <xdr:clientData/>
  </xdr:twoCellAnchor>
  <xdr:twoCellAnchor>
    <xdr:from>
      <xdr:col>6</xdr:col>
      <xdr:colOff>40086</xdr:colOff>
      <xdr:row>48</xdr:row>
      <xdr:rowOff>226429</xdr:rowOff>
    </xdr:from>
    <xdr:to>
      <xdr:col>6</xdr:col>
      <xdr:colOff>613578</xdr:colOff>
      <xdr:row>50</xdr:row>
      <xdr:rowOff>93288</xdr:rowOff>
    </xdr:to>
    <xdr:sp macro="" textlink="">
      <xdr:nvSpPr>
        <xdr:cNvPr id="34" name="正方形/長方形 33">
          <a:extLst>
            <a:ext uri="{FF2B5EF4-FFF2-40B4-BE49-F238E27FC236}">
              <a16:creationId xmlns:a16="http://schemas.microsoft.com/office/drawing/2014/main" id="{EEC4D61A-DE3B-48AE-88A4-A18624D704D2}"/>
            </a:ext>
          </a:extLst>
        </xdr:cNvPr>
        <xdr:cNvSpPr/>
      </xdr:nvSpPr>
      <xdr:spPr>
        <a:xfrm>
          <a:off x="4154886" y="11656429"/>
          <a:ext cx="573492" cy="34310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rgbClr val="FFC000"/>
              </a:solidFill>
            </a:rPr>
            <a:t>0x01</a:t>
          </a:r>
        </a:p>
      </xdr:txBody>
    </xdr:sp>
    <xdr:clientData/>
  </xdr:twoCellAnchor>
  <xdr:twoCellAnchor>
    <xdr:from>
      <xdr:col>7</xdr:col>
      <xdr:colOff>2787</xdr:colOff>
      <xdr:row>51</xdr:row>
      <xdr:rowOff>8780</xdr:rowOff>
    </xdr:from>
    <xdr:to>
      <xdr:col>8</xdr:col>
      <xdr:colOff>362683</xdr:colOff>
      <xdr:row>51</xdr:row>
      <xdr:rowOff>8780</xdr:rowOff>
    </xdr:to>
    <xdr:cxnSp macro="">
      <xdr:nvCxnSpPr>
        <xdr:cNvPr id="35" name="直線矢印コネクタ 34">
          <a:extLst>
            <a:ext uri="{FF2B5EF4-FFF2-40B4-BE49-F238E27FC236}">
              <a16:creationId xmlns:a16="http://schemas.microsoft.com/office/drawing/2014/main" id="{E10DF986-039C-464A-A0A5-A4174CBC7106}"/>
            </a:ext>
          </a:extLst>
        </xdr:cNvPr>
        <xdr:cNvCxnSpPr/>
      </xdr:nvCxnSpPr>
      <xdr:spPr>
        <a:xfrm>
          <a:off x="4803387" y="12153155"/>
          <a:ext cx="1045696" cy="0"/>
        </a:xfrm>
        <a:prstGeom prst="straightConnector1">
          <a:avLst/>
        </a:prstGeom>
        <a:ln w="31750">
          <a:solidFill>
            <a:srgbClr val="00B0F0"/>
          </a:solidFill>
          <a:prstDash val="dash"/>
          <a:headEnd type="triangle" w="lg" len="med"/>
          <a:tailEnd type="triangle" w="lg" len="me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521376</xdr:colOff>
      <xdr:row>47</xdr:row>
      <xdr:rowOff>154820</xdr:rowOff>
    </xdr:from>
    <xdr:to>
      <xdr:col>8</xdr:col>
      <xdr:colOff>473750</xdr:colOff>
      <xdr:row>50</xdr:row>
      <xdr:rowOff>168507</xdr:rowOff>
    </xdr:to>
    <xdr:sp macro="" textlink="">
      <xdr:nvSpPr>
        <xdr:cNvPr id="36" name="正方形/長方形 35">
          <a:extLst>
            <a:ext uri="{FF2B5EF4-FFF2-40B4-BE49-F238E27FC236}">
              <a16:creationId xmlns:a16="http://schemas.microsoft.com/office/drawing/2014/main" id="{FC8BAD7B-7B02-4130-AF94-43794A5AA575}"/>
            </a:ext>
          </a:extLst>
        </xdr:cNvPr>
        <xdr:cNvSpPr/>
      </xdr:nvSpPr>
      <xdr:spPr>
        <a:xfrm>
          <a:off x="4636176" y="11346695"/>
          <a:ext cx="1323974" cy="728062"/>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400" b="1">
              <a:solidFill>
                <a:srgbClr val="00B0F0"/>
              </a:solidFill>
            </a:rPr>
            <a:t>デフォルト値</a:t>
          </a:r>
          <a:endParaRPr kumimoji="1" lang="en-US" altLang="ja-JP" sz="1400" b="1">
            <a:solidFill>
              <a:srgbClr val="00B0F0"/>
            </a:solidFill>
          </a:endParaRPr>
        </a:p>
        <a:p>
          <a:pPr algn="ctr"/>
          <a:r>
            <a:rPr kumimoji="1" lang="en-US" altLang="ja-JP" sz="1400" b="1">
              <a:solidFill>
                <a:srgbClr val="00B0F0"/>
              </a:solidFill>
            </a:rPr>
            <a:t>0x00</a:t>
          </a:r>
        </a:p>
      </xdr:txBody>
    </xdr:sp>
    <xdr:clientData/>
  </xdr:twoCellAnchor>
  <xdr:twoCellAnchor editAs="oneCell">
    <xdr:from>
      <xdr:col>11</xdr:col>
      <xdr:colOff>602116</xdr:colOff>
      <xdr:row>44</xdr:row>
      <xdr:rowOff>128667</xdr:rowOff>
    </xdr:from>
    <xdr:to>
      <xdr:col>21</xdr:col>
      <xdr:colOff>306841</xdr:colOff>
      <xdr:row>65</xdr:row>
      <xdr:rowOff>71517</xdr:rowOff>
    </xdr:to>
    <xdr:pic>
      <xdr:nvPicPr>
        <xdr:cNvPr id="37" name="図 36">
          <a:extLst>
            <a:ext uri="{FF2B5EF4-FFF2-40B4-BE49-F238E27FC236}">
              <a16:creationId xmlns:a16="http://schemas.microsoft.com/office/drawing/2014/main" id="{B5979A11-8D4D-41E4-908A-8B8FD4DC9936}"/>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8145916" y="10606167"/>
          <a:ext cx="6562725" cy="4943475"/>
        </a:xfrm>
        <a:prstGeom prst="rect">
          <a:avLst/>
        </a:prstGeom>
      </xdr:spPr>
    </xdr:pic>
    <xdr:clientData/>
  </xdr:twoCellAnchor>
  <xdr:twoCellAnchor>
    <xdr:from>
      <xdr:col>12</xdr:col>
      <xdr:colOff>462348</xdr:colOff>
      <xdr:row>61</xdr:row>
      <xdr:rowOff>124665</xdr:rowOff>
    </xdr:from>
    <xdr:to>
      <xdr:col>14</xdr:col>
      <xdr:colOff>476250</xdr:colOff>
      <xdr:row>61</xdr:row>
      <xdr:rowOff>124665</xdr:rowOff>
    </xdr:to>
    <xdr:cxnSp macro="">
      <xdr:nvCxnSpPr>
        <xdr:cNvPr id="38" name="直線矢印コネクタ 37">
          <a:extLst>
            <a:ext uri="{FF2B5EF4-FFF2-40B4-BE49-F238E27FC236}">
              <a16:creationId xmlns:a16="http://schemas.microsoft.com/office/drawing/2014/main" id="{176DCEE8-69BA-4B0A-9F2E-B10DA9A44063}"/>
            </a:ext>
          </a:extLst>
        </xdr:cNvPr>
        <xdr:cNvCxnSpPr/>
      </xdr:nvCxnSpPr>
      <xdr:spPr>
        <a:xfrm>
          <a:off x="8691948" y="14650290"/>
          <a:ext cx="1385502" cy="0"/>
        </a:xfrm>
        <a:prstGeom prst="straightConnector1">
          <a:avLst/>
        </a:prstGeom>
        <a:ln w="31750">
          <a:solidFill>
            <a:srgbClr val="00B0F0"/>
          </a:solidFill>
          <a:prstDash val="dash"/>
          <a:headEnd type="triangle" w="lg" len="med"/>
          <a:tailEnd type="triangle" w="lg" len="me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493763</xdr:colOff>
      <xdr:row>58</xdr:row>
      <xdr:rowOff>124644</xdr:rowOff>
    </xdr:from>
    <xdr:to>
      <xdr:col>14</xdr:col>
      <xdr:colOff>439037</xdr:colOff>
      <xdr:row>61</xdr:row>
      <xdr:rowOff>138331</xdr:rowOff>
    </xdr:to>
    <xdr:sp macro="" textlink="">
      <xdr:nvSpPr>
        <xdr:cNvPr id="39" name="正方形/長方形 38">
          <a:extLst>
            <a:ext uri="{FF2B5EF4-FFF2-40B4-BE49-F238E27FC236}">
              <a16:creationId xmlns:a16="http://schemas.microsoft.com/office/drawing/2014/main" id="{C3119A1E-7FFD-49C9-9C1D-9558BD2BD5B0}"/>
            </a:ext>
          </a:extLst>
        </xdr:cNvPr>
        <xdr:cNvSpPr/>
      </xdr:nvSpPr>
      <xdr:spPr>
        <a:xfrm>
          <a:off x="8723363" y="13935894"/>
          <a:ext cx="1316874" cy="728062"/>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400" b="1">
              <a:solidFill>
                <a:srgbClr val="00B0F0"/>
              </a:solidFill>
            </a:rPr>
            <a:t>パターン</a:t>
          </a:r>
          <a:r>
            <a:rPr kumimoji="1" lang="en-US" altLang="ja-JP" sz="1400" b="1">
              <a:solidFill>
                <a:srgbClr val="00B0F0"/>
              </a:solidFill>
            </a:rPr>
            <a:t>1</a:t>
          </a:r>
        </a:p>
        <a:p>
          <a:pPr algn="ctr"/>
          <a:r>
            <a:rPr kumimoji="1" lang="en-US" altLang="ja-JP" sz="1400" b="1">
              <a:solidFill>
                <a:srgbClr val="00B0F0"/>
              </a:solidFill>
            </a:rPr>
            <a:t>0x01</a:t>
          </a:r>
        </a:p>
      </xdr:txBody>
    </xdr:sp>
    <xdr:clientData/>
  </xdr:twoCellAnchor>
  <xdr:twoCellAnchor>
    <xdr:from>
      <xdr:col>14</xdr:col>
      <xdr:colOff>476250</xdr:colOff>
      <xdr:row>61</xdr:row>
      <xdr:rowOff>122701</xdr:rowOff>
    </xdr:from>
    <xdr:to>
      <xdr:col>19</xdr:col>
      <xdr:colOff>291518</xdr:colOff>
      <xdr:row>61</xdr:row>
      <xdr:rowOff>122701</xdr:rowOff>
    </xdr:to>
    <xdr:cxnSp macro="">
      <xdr:nvCxnSpPr>
        <xdr:cNvPr id="40" name="直線矢印コネクタ 39">
          <a:extLst>
            <a:ext uri="{FF2B5EF4-FFF2-40B4-BE49-F238E27FC236}">
              <a16:creationId xmlns:a16="http://schemas.microsoft.com/office/drawing/2014/main" id="{7F21132F-6E1F-4658-9D62-081282609DA1}"/>
            </a:ext>
          </a:extLst>
        </xdr:cNvPr>
        <xdr:cNvCxnSpPr/>
      </xdr:nvCxnSpPr>
      <xdr:spPr>
        <a:xfrm>
          <a:off x="10077450" y="14648326"/>
          <a:ext cx="3244268" cy="0"/>
        </a:xfrm>
        <a:prstGeom prst="straightConnector1">
          <a:avLst/>
        </a:prstGeom>
        <a:ln w="31750">
          <a:solidFill>
            <a:srgbClr val="FFC000"/>
          </a:solidFill>
          <a:prstDash val="dash"/>
          <a:headEnd type="triangle" w="lg" len="med"/>
          <a:tailEnd type="triangle" w="lg" len="me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70684</xdr:colOff>
      <xdr:row>58</xdr:row>
      <xdr:rowOff>128348</xdr:rowOff>
    </xdr:from>
    <xdr:to>
      <xdr:col>18</xdr:col>
      <xdr:colOff>15960</xdr:colOff>
      <xdr:row>61</xdr:row>
      <xdr:rowOff>139234</xdr:rowOff>
    </xdr:to>
    <xdr:sp macro="" textlink="">
      <xdr:nvSpPr>
        <xdr:cNvPr id="41" name="正方形/長方形 40">
          <a:extLst>
            <a:ext uri="{FF2B5EF4-FFF2-40B4-BE49-F238E27FC236}">
              <a16:creationId xmlns:a16="http://schemas.microsoft.com/office/drawing/2014/main" id="{7154E891-FA8A-4E54-BB5C-14D8CA97DD58}"/>
            </a:ext>
          </a:extLst>
        </xdr:cNvPr>
        <xdr:cNvSpPr/>
      </xdr:nvSpPr>
      <xdr:spPr>
        <a:xfrm>
          <a:off x="11043484" y="13939598"/>
          <a:ext cx="1316876" cy="72526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400" b="1">
              <a:solidFill>
                <a:srgbClr val="FFC000"/>
              </a:solidFill>
            </a:rPr>
            <a:t>パターン</a:t>
          </a:r>
          <a:r>
            <a:rPr kumimoji="1" lang="en-US" altLang="ja-JP" sz="1400" b="1">
              <a:solidFill>
                <a:srgbClr val="FFC000"/>
              </a:solidFill>
            </a:rPr>
            <a:t>2</a:t>
          </a:r>
        </a:p>
        <a:p>
          <a:pPr algn="ctr"/>
          <a:r>
            <a:rPr kumimoji="1" lang="en-US" altLang="ja-JP" sz="1400" b="1">
              <a:solidFill>
                <a:srgbClr val="FFC000"/>
              </a:solidFill>
            </a:rPr>
            <a:t>0x03</a:t>
          </a:r>
          <a:endParaRPr kumimoji="1" lang="ja-JP" altLang="en-US" sz="1400" b="1">
            <a:solidFill>
              <a:srgbClr val="FFC000"/>
            </a:solidFill>
          </a:endParaRPr>
        </a:p>
      </xdr:txBody>
    </xdr:sp>
    <xdr:clientData/>
  </xdr:twoCellAnchor>
  <xdr:twoCellAnchor>
    <xdr:from>
      <xdr:col>6</xdr:col>
      <xdr:colOff>294856</xdr:colOff>
      <xdr:row>70</xdr:row>
      <xdr:rowOff>214313</xdr:rowOff>
    </xdr:from>
    <xdr:to>
      <xdr:col>8</xdr:col>
      <xdr:colOff>356766</xdr:colOff>
      <xdr:row>72</xdr:row>
      <xdr:rowOff>122985</xdr:rowOff>
    </xdr:to>
    <xdr:sp macro="" textlink="">
      <xdr:nvSpPr>
        <xdr:cNvPr id="42" name="正方形/長方形 41">
          <a:extLst>
            <a:ext uri="{FF2B5EF4-FFF2-40B4-BE49-F238E27FC236}">
              <a16:creationId xmlns:a16="http://schemas.microsoft.com/office/drawing/2014/main" id="{ACEED4D2-738A-4C1F-A860-C51659CB8F95}"/>
            </a:ext>
          </a:extLst>
        </xdr:cNvPr>
        <xdr:cNvSpPr/>
      </xdr:nvSpPr>
      <xdr:spPr>
        <a:xfrm>
          <a:off x="4438231" y="16883063"/>
          <a:ext cx="1443035" cy="384922"/>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DAC228_T0_CH0</a:t>
          </a:r>
          <a:endParaRPr kumimoji="1" lang="ja-JP" altLang="en-US" sz="1100">
            <a:solidFill>
              <a:schemeClr val="tx1"/>
            </a:solidFill>
          </a:endParaRPr>
        </a:p>
      </xdr:txBody>
    </xdr:sp>
    <xdr:clientData/>
  </xdr:twoCellAnchor>
  <xdr:twoCellAnchor>
    <xdr:from>
      <xdr:col>6</xdr:col>
      <xdr:colOff>288010</xdr:colOff>
      <xdr:row>72</xdr:row>
      <xdr:rowOff>211933</xdr:rowOff>
    </xdr:from>
    <xdr:to>
      <xdr:col>8</xdr:col>
      <xdr:colOff>349920</xdr:colOff>
      <xdr:row>74</xdr:row>
      <xdr:rowOff>122626</xdr:rowOff>
    </xdr:to>
    <xdr:sp macro="" textlink="">
      <xdr:nvSpPr>
        <xdr:cNvPr id="43" name="正方形/長方形 42">
          <a:extLst>
            <a:ext uri="{FF2B5EF4-FFF2-40B4-BE49-F238E27FC236}">
              <a16:creationId xmlns:a16="http://schemas.microsoft.com/office/drawing/2014/main" id="{A24BC680-366A-42B5-9F97-8AE5297CE73C}"/>
            </a:ext>
          </a:extLst>
        </xdr:cNvPr>
        <xdr:cNvSpPr/>
      </xdr:nvSpPr>
      <xdr:spPr>
        <a:xfrm>
          <a:off x="4431385" y="17356933"/>
          <a:ext cx="1443035" cy="386943"/>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DAC228_T0_CH1</a:t>
          </a:r>
          <a:endParaRPr kumimoji="1" lang="ja-JP" altLang="en-US" sz="1100">
            <a:solidFill>
              <a:schemeClr val="tx1"/>
            </a:solidFill>
          </a:endParaRPr>
        </a:p>
      </xdr:txBody>
    </xdr:sp>
    <xdr:clientData/>
  </xdr:twoCellAnchor>
  <xdr:twoCellAnchor>
    <xdr:from>
      <xdr:col>6</xdr:col>
      <xdr:colOff>294252</xdr:colOff>
      <xdr:row>74</xdr:row>
      <xdr:rowOff>218023</xdr:rowOff>
    </xdr:from>
    <xdr:to>
      <xdr:col>8</xdr:col>
      <xdr:colOff>356162</xdr:colOff>
      <xdr:row>76</xdr:row>
      <xdr:rowOff>126696</xdr:rowOff>
    </xdr:to>
    <xdr:sp macro="" textlink="">
      <xdr:nvSpPr>
        <xdr:cNvPr id="44" name="正方形/長方形 43">
          <a:extLst>
            <a:ext uri="{FF2B5EF4-FFF2-40B4-BE49-F238E27FC236}">
              <a16:creationId xmlns:a16="http://schemas.microsoft.com/office/drawing/2014/main" id="{50C21083-9E28-4872-98CD-C53D9584EF7F}"/>
            </a:ext>
          </a:extLst>
        </xdr:cNvPr>
        <xdr:cNvSpPr/>
      </xdr:nvSpPr>
      <xdr:spPr>
        <a:xfrm>
          <a:off x="4437627" y="17839273"/>
          <a:ext cx="1443035" cy="384923"/>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DAC228_T0_CH2</a:t>
          </a:r>
          <a:endParaRPr kumimoji="1" lang="ja-JP" altLang="en-US" sz="1100">
            <a:solidFill>
              <a:schemeClr val="tx1"/>
            </a:solidFill>
          </a:endParaRPr>
        </a:p>
      </xdr:txBody>
    </xdr:sp>
    <xdr:clientData/>
  </xdr:twoCellAnchor>
  <xdr:twoCellAnchor>
    <xdr:from>
      <xdr:col>6</xdr:col>
      <xdr:colOff>293975</xdr:colOff>
      <xdr:row>76</xdr:row>
      <xdr:rowOff>221053</xdr:rowOff>
    </xdr:from>
    <xdr:to>
      <xdr:col>8</xdr:col>
      <xdr:colOff>355885</xdr:colOff>
      <xdr:row>78</xdr:row>
      <xdr:rowOff>132905</xdr:rowOff>
    </xdr:to>
    <xdr:sp macro="" textlink="">
      <xdr:nvSpPr>
        <xdr:cNvPr id="45" name="正方形/長方形 44">
          <a:extLst>
            <a:ext uri="{FF2B5EF4-FFF2-40B4-BE49-F238E27FC236}">
              <a16:creationId xmlns:a16="http://schemas.microsoft.com/office/drawing/2014/main" id="{9075CDE2-BE17-4A43-A903-320E4E600619}"/>
            </a:ext>
          </a:extLst>
        </xdr:cNvPr>
        <xdr:cNvSpPr/>
      </xdr:nvSpPr>
      <xdr:spPr>
        <a:xfrm>
          <a:off x="4437350" y="18318553"/>
          <a:ext cx="1443035" cy="388102"/>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DAC228_T0_CH3</a:t>
          </a:r>
          <a:endParaRPr kumimoji="1" lang="ja-JP" altLang="en-US" sz="1100">
            <a:solidFill>
              <a:schemeClr val="tx1"/>
            </a:solidFill>
          </a:endParaRPr>
        </a:p>
      </xdr:txBody>
    </xdr:sp>
    <xdr:clientData/>
  </xdr:twoCellAnchor>
  <xdr:twoCellAnchor>
    <xdr:from>
      <xdr:col>6</xdr:col>
      <xdr:colOff>294199</xdr:colOff>
      <xdr:row>78</xdr:row>
      <xdr:rowOff>232377</xdr:rowOff>
    </xdr:from>
    <xdr:to>
      <xdr:col>8</xdr:col>
      <xdr:colOff>356109</xdr:colOff>
      <xdr:row>80</xdr:row>
      <xdr:rowOff>152216</xdr:rowOff>
    </xdr:to>
    <xdr:sp macro="" textlink="">
      <xdr:nvSpPr>
        <xdr:cNvPr id="46" name="正方形/長方形 45">
          <a:extLst>
            <a:ext uri="{FF2B5EF4-FFF2-40B4-BE49-F238E27FC236}">
              <a16:creationId xmlns:a16="http://schemas.microsoft.com/office/drawing/2014/main" id="{8F3DE4F9-84BE-4A25-A199-514069C65C90}"/>
            </a:ext>
          </a:extLst>
        </xdr:cNvPr>
        <xdr:cNvSpPr/>
      </xdr:nvSpPr>
      <xdr:spPr>
        <a:xfrm>
          <a:off x="4437574" y="18806127"/>
          <a:ext cx="1443035" cy="396089"/>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DAC229_T1_CH0</a:t>
          </a:r>
          <a:endParaRPr kumimoji="1" lang="ja-JP" altLang="en-US" sz="1100">
            <a:solidFill>
              <a:schemeClr val="tx1"/>
            </a:solidFill>
          </a:endParaRPr>
        </a:p>
      </xdr:txBody>
    </xdr:sp>
    <xdr:clientData/>
  </xdr:twoCellAnchor>
  <xdr:twoCellAnchor>
    <xdr:from>
      <xdr:col>6</xdr:col>
      <xdr:colOff>293922</xdr:colOff>
      <xdr:row>80</xdr:row>
      <xdr:rowOff>229996</xdr:rowOff>
    </xdr:from>
    <xdr:to>
      <xdr:col>8</xdr:col>
      <xdr:colOff>355832</xdr:colOff>
      <xdr:row>82</xdr:row>
      <xdr:rowOff>151857</xdr:rowOff>
    </xdr:to>
    <xdr:sp macro="" textlink="">
      <xdr:nvSpPr>
        <xdr:cNvPr id="47" name="正方形/長方形 46">
          <a:extLst>
            <a:ext uri="{FF2B5EF4-FFF2-40B4-BE49-F238E27FC236}">
              <a16:creationId xmlns:a16="http://schemas.microsoft.com/office/drawing/2014/main" id="{319D87EC-0C51-46D8-99F8-2FBC5111CA06}"/>
            </a:ext>
          </a:extLst>
        </xdr:cNvPr>
        <xdr:cNvSpPr/>
      </xdr:nvSpPr>
      <xdr:spPr>
        <a:xfrm>
          <a:off x="4437297" y="19279996"/>
          <a:ext cx="1443035" cy="398111"/>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DAC229_T1_CH1</a:t>
          </a:r>
          <a:endParaRPr kumimoji="1" lang="ja-JP" altLang="en-US" sz="1100">
            <a:solidFill>
              <a:schemeClr val="tx1"/>
            </a:solidFill>
          </a:endParaRPr>
        </a:p>
      </xdr:txBody>
    </xdr:sp>
    <xdr:clientData/>
  </xdr:twoCellAnchor>
  <xdr:twoCellAnchor>
    <xdr:from>
      <xdr:col>6</xdr:col>
      <xdr:colOff>287026</xdr:colOff>
      <xdr:row>82</xdr:row>
      <xdr:rowOff>236087</xdr:rowOff>
    </xdr:from>
    <xdr:to>
      <xdr:col>8</xdr:col>
      <xdr:colOff>348936</xdr:colOff>
      <xdr:row>84</xdr:row>
      <xdr:rowOff>155926</xdr:rowOff>
    </xdr:to>
    <xdr:sp macro="" textlink="">
      <xdr:nvSpPr>
        <xdr:cNvPr id="48" name="正方形/長方形 47">
          <a:extLst>
            <a:ext uri="{FF2B5EF4-FFF2-40B4-BE49-F238E27FC236}">
              <a16:creationId xmlns:a16="http://schemas.microsoft.com/office/drawing/2014/main" id="{0E844EEB-56F6-4CAF-92CF-907333D6B03F}"/>
            </a:ext>
          </a:extLst>
        </xdr:cNvPr>
        <xdr:cNvSpPr/>
      </xdr:nvSpPr>
      <xdr:spPr>
        <a:xfrm>
          <a:off x="4430401" y="19762337"/>
          <a:ext cx="1443035" cy="396089"/>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DAC229_T1_CH2</a:t>
          </a:r>
          <a:endParaRPr kumimoji="1" lang="ja-JP" altLang="en-US" sz="1100">
            <a:solidFill>
              <a:schemeClr val="tx1"/>
            </a:solidFill>
          </a:endParaRPr>
        </a:p>
      </xdr:txBody>
    </xdr:sp>
    <xdr:clientData/>
  </xdr:twoCellAnchor>
  <xdr:twoCellAnchor>
    <xdr:from>
      <xdr:col>6</xdr:col>
      <xdr:colOff>293318</xdr:colOff>
      <xdr:row>85</xdr:row>
      <xdr:rowOff>992</xdr:rowOff>
    </xdr:from>
    <xdr:to>
      <xdr:col>8</xdr:col>
      <xdr:colOff>355228</xdr:colOff>
      <xdr:row>86</xdr:row>
      <xdr:rowOff>162136</xdr:rowOff>
    </xdr:to>
    <xdr:sp macro="" textlink="">
      <xdr:nvSpPr>
        <xdr:cNvPr id="49" name="正方形/長方形 48">
          <a:extLst>
            <a:ext uri="{FF2B5EF4-FFF2-40B4-BE49-F238E27FC236}">
              <a16:creationId xmlns:a16="http://schemas.microsoft.com/office/drawing/2014/main" id="{B9691171-0D2C-4CD7-92BD-A0E1297D6C82}"/>
            </a:ext>
          </a:extLst>
        </xdr:cNvPr>
        <xdr:cNvSpPr/>
      </xdr:nvSpPr>
      <xdr:spPr>
        <a:xfrm>
          <a:off x="4436693" y="20241617"/>
          <a:ext cx="1443035" cy="399269"/>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DAC229_T1_CH3</a:t>
          </a:r>
          <a:endParaRPr kumimoji="1" lang="ja-JP" altLang="en-US" sz="1100">
            <a:solidFill>
              <a:schemeClr val="tx1"/>
            </a:solidFill>
          </a:endParaRPr>
        </a:p>
      </xdr:txBody>
    </xdr:sp>
    <xdr:clientData/>
  </xdr:twoCellAnchor>
  <xdr:twoCellAnchor>
    <xdr:from>
      <xdr:col>5</xdr:col>
      <xdr:colOff>199816</xdr:colOff>
      <xdr:row>71</xdr:row>
      <xdr:rowOff>16954</xdr:rowOff>
    </xdr:from>
    <xdr:to>
      <xdr:col>6</xdr:col>
      <xdr:colOff>288499</xdr:colOff>
      <xdr:row>72</xdr:row>
      <xdr:rowOff>91137</xdr:rowOff>
    </xdr:to>
    <xdr:sp macro="" textlink="">
      <xdr:nvSpPr>
        <xdr:cNvPr id="50" name="正方形/長方形 49">
          <a:extLst>
            <a:ext uri="{FF2B5EF4-FFF2-40B4-BE49-F238E27FC236}">
              <a16:creationId xmlns:a16="http://schemas.microsoft.com/office/drawing/2014/main" id="{0317EA89-479E-4ECC-A63B-945A788C3F7D}"/>
            </a:ext>
          </a:extLst>
        </xdr:cNvPr>
        <xdr:cNvSpPr/>
      </xdr:nvSpPr>
      <xdr:spPr>
        <a:xfrm>
          <a:off x="3652629" y="16923829"/>
          <a:ext cx="779245" cy="31230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0</a:t>
          </a:r>
        </a:p>
      </xdr:txBody>
    </xdr:sp>
    <xdr:clientData/>
  </xdr:twoCellAnchor>
  <xdr:twoCellAnchor>
    <xdr:from>
      <xdr:col>5</xdr:col>
      <xdr:colOff>285541</xdr:colOff>
      <xdr:row>73</xdr:row>
      <xdr:rowOff>17610</xdr:rowOff>
    </xdr:from>
    <xdr:to>
      <xdr:col>6</xdr:col>
      <xdr:colOff>289813</xdr:colOff>
      <xdr:row>74</xdr:row>
      <xdr:rowOff>91794</xdr:rowOff>
    </xdr:to>
    <xdr:sp macro="" textlink="">
      <xdr:nvSpPr>
        <xdr:cNvPr id="51" name="正方形/長方形 50">
          <a:extLst>
            <a:ext uri="{FF2B5EF4-FFF2-40B4-BE49-F238E27FC236}">
              <a16:creationId xmlns:a16="http://schemas.microsoft.com/office/drawing/2014/main" id="{80050FF3-96FE-4D90-836D-C86F966A14DD}"/>
            </a:ext>
          </a:extLst>
        </xdr:cNvPr>
        <xdr:cNvSpPr/>
      </xdr:nvSpPr>
      <xdr:spPr>
        <a:xfrm>
          <a:off x="3738354" y="17400735"/>
          <a:ext cx="694834" cy="31230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1</a:t>
          </a:r>
        </a:p>
      </xdr:txBody>
    </xdr:sp>
    <xdr:clientData/>
  </xdr:twoCellAnchor>
  <xdr:twoCellAnchor>
    <xdr:from>
      <xdr:col>5</xdr:col>
      <xdr:colOff>285542</xdr:colOff>
      <xdr:row>75</xdr:row>
      <xdr:rowOff>23523</xdr:rowOff>
    </xdr:from>
    <xdr:to>
      <xdr:col>6</xdr:col>
      <xdr:colOff>296383</xdr:colOff>
      <xdr:row>76</xdr:row>
      <xdr:rowOff>97706</xdr:rowOff>
    </xdr:to>
    <xdr:sp macro="" textlink="">
      <xdr:nvSpPr>
        <xdr:cNvPr id="52" name="正方形/長方形 51">
          <a:extLst>
            <a:ext uri="{FF2B5EF4-FFF2-40B4-BE49-F238E27FC236}">
              <a16:creationId xmlns:a16="http://schemas.microsoft.com/office/drawing/2014/main" id="{CEB6074F-E04F-488D-8E73-288EE0746733}"/>
            </a:ext>
          </a:extLst>
        </xdr:cNvPr>
        <xdr:cNvSpPr/>
      </xdr:nvSpPr>
      <xdr:spPr>
        <a:xfrm>
          <a:off x="3738355" y="17882898"/>
          <a:ext cx="701403" cy="31230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2</a:t>
          </a:r>
        </a:p>
      </xdr:txBody>
    </xdr:sp>
    <xdr:clientData/>
  </xdr:twoCellAnchor>
  <xdr:twoCellAnchor>
    <xdr:from>
      <xdr:col>5</xdr:col>
      <xdr:colOff>328405</xdr:colOff>
      <xdr:row>77</xdr:row>
      <xdr:rowOff>17610</xdr:rowOff>
    </xdr:from>
    <xdr:to>
      <xdr:col>6</xdr:col>
      <xdr:colOff>297697</xdr:colOff>
      <xdr:row>78</xdr:row>
      <xdr:rowOff>91794</xdr:rowOff>
    </xdr:to>
    <xdr:sp macro="" textlink="">
      <xdr:nvSpPr>
        <xdr:cNvPr id="53" name="正方形/長方形 52">
          <a:extLst>
            <a:ext uri="{FF2B5EF4-FFF2-40B4-BE49-F238E27FC236}">
              <a16:creationId xmlns:a16="http://schemas.microsoft.com/office/drawing/2014/main" id="{A15BE737-C120-4185-B05B-5B3FF15F64D9}"/>
            </a:ext>
          </a:extLst>
        </xdr:cNvPr>
        <xdr:cNvSpPr/>
      </xdr:nvSpPr>
      <xdr:spPr>
        <a:xfrm>
          <a:off x="3781218" y="18353235"/>
          <a:ext cx="659854" cy="31230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3</a:t>
          </a:r>
        </a:p>
      </xdr:txBody>
    </xdr:sp>
    <xdr:clientData/>
  </xdr:twoCellAnchor>
  <xdr:twoCellAnchor>
    <xdr:from>
      <xdr:col>5</xdr:col>
      <xdr:colOff>266492</xdr:colOff>
      <xdr:row>79</xdr:row>
      <xdr:rowOff>35347</xdr:rowOff>
    </xdr:from>
    <xdr:to>
      <xdr:col>6</xdr:col>
      <xdr:colOff>289813</xdr:colOff>
      <xdr:row>80</xdr:row>
      <xdr:rowOff>109530</xdr:rowOff>
    </xdr:to>
    <xdr:sp macro="" textlink="">
      <xdr:nvSpPr>
        <xdr:cNvPr id="54" name="正方形/長方形 53">
          <a:extLst>
            <a:ext uri="{FF2B5EF4-FFF2-40B4-BE49-F238E27FC236}">
              <a16:creationId xmlns:a16="http://schemas.microsoft.com/office/drawing/2014/main" id="{AD03BE2F-AFD3-47ED-A350-7F1C44083536}"/>
            </a:ext>
          </a:extLst>
        </xdr:cNvPr>
        <xdr:cNvSpPr/>
      </xdr:nvSpPr>
      <xdr:spPr>
        <a:xfrm>
          <a:off x="3719305" y="18847222"/>
          <a:ext cx="713883" cy="31230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4</a:t>
          </a:r>
        </a:p>
      </xdr:txBody>
    </xdr:sp>
    <xdr:clientData/>
  </xdr:twoCellAnchor>
  <xdr:twoCellAnchor>
    <xdr:from>
      <xdr:col>5</xdr:col>
      <xdr:colOff>256966</xdr:colOff>
      <xdr:row>81</xdr:row>
      <xdr:rowOff>22865</xdr:rowOff>
    </xdr:from>
    <xdr:to>
      <xdr:col>6</xdr:col>
      <xdr:colOff>291126</xdr:colOff>
      <xdr:row>82</xdr:row>
      <xdr:rowOff>97049</xdr:rowOff>
    </xdr:to>
    <xdr:sp macro="" textlink="">
      <xdr:nvSpPr>
        <xdr:cNvPr id="55" name="正方形/長方形 54">
          <a:extLst>
            <a:ext uri="{FF2B5EF4-FFF2-40B4-BE49-F238E27FC236}">
              <a16:creationId xmlns:a16="http://schemas.microsoft.com/office/drawing/2014/main" id="{CE74A1EE-01D0-44FB-8BEC-872256BE9E25}"/>
            </a:ext>
          </a:extLst>
        </xdr:cNvPr>
        <xdr:cNvSpPr/>
      </xdr:nvSpPr>
      <xdr:spPr>
        <a:xfrm>
          <a:off x="3709779" y="19310990"/>
          <a:ext cx="724722" cy="31230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5</a:t>
          </a:r>
        </a:p>
      </xdr:txBody>
    </xdr:sp>
    <xdr:clientData/>
  </xdr:twoCellAnchor>
  <xdr:twoCellAnchor>
    <xdr:from>
      <xdr:col>5</xdr:col>
      <xdr:colOff>266492</xdr:colOff>
      <xdr:row>83</xdr:row>
      <xdr:rowOff>48485</xdr:rowOff>
    </xdr:from>
    <xdr:to>
      <xdr:col>6</xdr:col>
      <xdr:colOff>291127</xdr:colOff>
      <xdr:row>84</xdr:row>
      <xdr:rowOff>122668</xdr:rowOff>
    </xdr:to>
    <xdr:sp macro="" textlink="">
      <xdr:nvSpPr>
        <xdr:cNvPr id="56" name="正方形/長方形 55">
          <a:extLst>
            <a:ext uri="{FF2B5EF4-FFF2-40B4-BE49-F238E27FC236}">
              <a16:creationId xmlns:a16="http://schemas.microsoft.com/office/drawing/2014/main" id="{8F5FC7B0-3118-4ACF-8D08-BDE3C50F7F11}"/>
            </a:ext>
          </a:extLst>
        </xdr:cNvPr>
        <xdr:cNvSpPr/>
      </xdr:nvSpPr>
      <xdr:spPr>
        <a:xfrm>
          <a:off x="3719305" y="19812860"/>
          <a:ext cx="715197" cy="31230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6</a:t>
          </a:r>
        </a:p>
      </xdr:txBody>
    </xdr:sp>
    <xdr:clientData/>
  </xdr:twoCellAnchor>
  <xdr:twoCellAnchor>
    <xdr:from>
      <xdr:col>5</xdr:col>
      <xdr:colOff>256966</xdr:colOff>
      <xdr:row>85</xdr:row>
      <xdr:rowOff>34361</xdr:rowOff>
    </xdr:from>
    <xdr:to>
      <xdr:col>6</xdr:col>
      <xdr:colOff>292440</xdr:colOff>
      <xdr:row>86</xdr:row>
      <xdr:rowOff>110187</xdr:rowOff>
    </xdr:to>
    <xdr:sp macro="" textlink="">
      <xdr:nvSpPr>
        <xdr:cNvPr id="57" name="正方形/長方形 56">
          <a:extLst>
            <a:ext uri="{FF2B5EF4-FFF2-40B4-BE49-F238E27FC236}">
              <a16:creationId xmlns:a16="http://schemas.microsoft.com/office/drawing/2014/main" id="{74E0C67F-5C55-4C5C-A0DA-D9FE61A98B3F}"/>
            </a:ext>
          </a:extLst>
        </xdr:cNvPr>
        <xdr:cNvSpPr/>
      </xdr:nvSpPr>
      <xdr:spPr>
        <a:xfrm>
          <a:off x="3709779" y="20274986"/>
          <a:ext cx="726036" cy="31395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7</a:t>
          </a:r>
        </a:p>
      </xdr:txBody>
    </xdr:sp>
    <xdr:clientData/>
  </xdr:twoCellAnchor>
  <xdr:twoCellAnchor>
    <xdr:from>
      <xdr:col>7</xdr:col>
      <xdr:colOff>308344</xdr:colOff>
      <xdr:row>87</xdr:row>
      <xdr:rowOff>15935</xdr:rowOff>
    </xdr:from>
    <xdr:to>
      <xdr:col>8</xdr:col>
      <xdr:colOff>356979</xdr:colOff>
      <xdr:row>88</xdr:row>
      <xdr:rowOff>177079</xdr:rowOff>
    </xdr:to>
    <xdr:sp macro="" textlink="">
      <xdr:nvSpPr>
        <xdr:cNvPr id="58" name="正方形/長方形 57">
          <a:extLst>
            <a:ext uri="{FF2B5EF4-FFF2-40B4-BE49-F238E27FC236}">
              <a16:creationId xmlns:a16="http://schemas.microsoft.com/office/drawing/2014/main" id="{F66ED340-73D4-4409-A8CF-C18C93E511A7}"/>
            </a:ext>
          </a:extLst>
        </xdr:cNvPr>
        <xdr:cNvSpPr/>
      </xdr:nvSpPr>
      <xdr:spPr>
        <a:xfrm>
          <a:off x="5142282" y="20732810"/>
          <a:ext cx="739197" cy="399269"/>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PMOD 0</a:t>
          </a:r>
          <a:endParaRPr kumimoji="1" lang="ja-JP" altLang="en-US" sz="1100">
            <a:solidFill>
              <a:schemeClr val="tx1"/>
            </a:solidFill>
          </a:endParaRPr>
        </a:p>
      </xdr:txBody>
    </xdr:sp>
    <xdr:clientData/>
  </xdr:twoCellAnchor>
  <xdr:twoCellAnchor>
    <xdr:from>
      <xdr:col>4</xdr:col>
      <xdr:colOff>377341</xdr:colOff>
      <xdr:row>87</xdr:row>
      <xdr:rowOff>52591</xdr:rowOff>
    </xdr:from>
    <xdr:to>
      <xdr:col>7</xdr:col>
      <xdr:colOff>326761</xdr:colOff>
      <xdr:row>88</xdr:row>
      <xdr:rowOff>130059</xdr:rowOff>
    </xdr:to>
    <xdr:sp macro="" textlink="">
      <xdr:nvSpPr>
        <xdr:cNvPr id="59" name="正方形/長方形 58">
          <a:extLst>
            <a:ext uri="{FF2B5EF4-FFF2-40B4-BE49-F238E27FC236}">
              <a16:creationId xmlns:a16="http://schemas.microsoft.com/office/drawing/2014/main" id="{07BF5385-10AD-4F59-BD1C-97283A8E1F47}"/>
            </a:ext>
          </a:extLst>
        </xdr:cNvPr>
        <xdr:cNvSpPr/>
      </xdr:nvSpPr>
      <xdr:spPr>
        <a:xfrm>
          <a:off x="3139591" y="20769466"/>
          <a:ext cx="2021108" cy="31559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ja-JP" altLang="en-US" sz="1000">
              <a:solidFill>
                <a:schemeClr val="tx1"/>
              </a:solidFill>
            </a:rPr>
            <a:t>ディジタル出力モジュール </a:t>
          </a:r>
          <a:r>
            <a:rPr kumimoji="1" lang="en-US" altLang="ja-JP" sz="1000">
              <a:solidFill>
                <a:schemeClr val="tx1"/>
              </a:solidFill>
            </a:rPr>
            <a:t>0</a:t>
          </a:r>
        </a:p>
      </xdr:txBody>
    </xdr:sp>
    <xdr:clientData/>
  </xdr:twoCellAnchor>
  <xdr:twoCellAnchor>
    <xdr:from>
      <xdr:col>8</xdr:col>
      <xdr:colOff>349652</xdr:colOff>
      <xdr:row>71</xdr:row>
      <xdr:rowOff>187294</xdr:rowOff>
    </xdr:from>
    <xdr:to>
      <xdr:col>8</xdr:col>
      <xdr:colOff>628075</xdr:colOff>
      <xdr:row>71</xdr:row>
      <xdr:rowOff>187294</xdr:rowOff>
    </xdr:to>
    <xdr:cxnSp macro="">
      <xdr:nvCxnSpPr>
        <xdr:cNvPr id="60" name="直線コネクタ 59">
          <a:extLst>
            <a:ext uri="{FF2B5EF4-FFF2-40B4-BE49-F238E27FC236}">
              <a16:creationId xmlns:a16="http://schemas.microsoft.com/office/drawing/2014/main" id="{37F93E6C-AC84-4297-B646-CC091F845423}"/>
            </a:ext>
          </a:extLst>
        </xdr:cNvPr>
        <xdr:cNvCxnSpPr/>
      </xdr:nvCxnSpPr>
      <xdr:spPr>
        <a:xfrm>
          <a:off x="5874152" y="17094169"/>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355513</xdr:colOff>
      <xdr:row>73</xdr:row>
      <xdr:rowOff>193887</xdr:rowOff>
    </xdr:from>
    <xdr:to>
      <xdr:col>8</xdr:col>
      <xdr:colOff>633936</xdr:colOff>
      <xdr:row>73</xdr:row>
      <xdr:rowOff>193887</xdr:rowOff>
    </xdr:to>
    <xdr:cxnSp macro="">
      <xdr:nvCxnSpPr>
        <xdr:cNvPr id="61" name="直線コネクタ 60">
          <a:extLst>
            <a:ext uri="{FF2B5EF4-FFF2-40B4-BE49-F238E27FC236}">
              <a16:creationId xmlns:a16="http://schemas.microsoft.com/office/drawing/2014/main" id="{D7544A77-BCA9-42AD-8B55-1985CDCD3905}"/>
            </a:ext>
          </a:extLst>
        </xdr:cNvPr>
        <xdr:cNvCxnSpPr/>
      </xdr:nvCxnSpPr>
      <xdr:spPr>
        <a:xfrm>
          <a:off x="5880013" y="17577012"/>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355514</xdr:colOff>
      <xdr:row>75</xdr:row>
      <xdr:rowOff>183630</xdr:rowOff>
    </xdr:from>
    <xdr:to>
      <xdr:col>8</xdr:col>
      <xdr:colOff>633937</xdr:colOff>
      <xdr:row>75</xdr:row>
      <xdr:rowOff>183630</xdr:rowOff>
    </xdr:to>
    <xdr:cxnSp macro="">
      <xdr:nvCxnSpPr>
        <xdr:cNvPr id="62" name="直線コネクタ 61">
          <a:extLst>
            <a:ext uri="{FF2B5EF4-FFF2-40B4-BE49-F238E27FC236}">
              <a16:creationId xmlns:a16="http://schemas.microsoft.com/office/drawing/2014/main" id="{CADBA273-361A-4F40-BC36-1E1043773AA9}"/>
            </a:ext>
          </a:extLst>
        </xdr:cNvPr>
        <xdr:cNvCxnSpPr/>
      </xdr:nvCxnSpPr>
      <xdr:spPr>
        <a:xfrm>
          <a:off x="5880014" y="18043005"/>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361375</xdr:colOff>
      <xdr:row>77</xdr:row>
      <xdr:rowOff>186560</xdr:rowOff>
    </xdr:from>
    <xdr:to>
      <xdr:col>8</xdr:col>
      <xdr:colOff>639798</xdr:colOff>
      <xdr:row>77</xdr:row>
      <xdr:rowOff>186560</xdr:rowOff>
    </xdr:to>
    <xdr:cxnSp macro="">
      <xdr:nvCxnSpPr>
        <xdr:cNvPr id="63" name="直線コネクタ 62">
          <a:extLst>
            <a:ext uri="{FF2B5EF4-FFF2-40B4-BE49-F238E27FC236}">
              <a16:creationId xmlns:a16="http://schemas.microsoft.com/office/drawing/2014/main" id="{5F00700F-6961-4D19-AA0D-DC7DDB9A7003}"/>
            </a:ext>
          </a:extLst>
        </xdr:cNvPr>
        <xdr:cNvCxnSpPr/>
      </xdr:nvCxnSpPr>
      <xdr:spPr>
        <a:xfrm>
          <a:off x="5885875" y="18522185"/>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346721</xdr:colOff>
      <xdr:row>79</xdr:row>
      <xdr:rowOff>190957</xdr:rowOff>
    </xdr:from>
    <xdr:to>
      <xdr:col>8</xdr:col>
      <xdr:colOff>625144</xdr:colOff>
      <xdr:row>79</xdr:row>
      <xdr:rowOff>190957</xdr:rowOff>
    </xdr:to>
    <xdr:cxnSp macro="">
      <xdr:nvCxnSpPr>
        <xdr:cNvPr id="64" name="直線コネクタ 63">
          <a:extLst>
            <a:ext uri="{FF2B5EF4-FFF2-40B4-BE49-F238E27FC236}">
              <a16:creationId xmlns:a16="http://schemas.microsoft.com/office/drawing/2014/main" id="{355C1948-DE50-471B-B9C0-047824D475B9}"/>
            </a:ext>
          </a:extLst>
        </xdr:cNvPr>
        <xdr:cNvCxnSpPr/>
      </xdr:nvCxnSpPr>
      <xdr:spPr>
        <a:xfrm>
          <a:off x="5871221" y="19002832"/>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352582</xdr:colOff>
      <xdr:row>81</xdr:row>
      <xdr:rowOff>193888</xdr:rowOff>
    </xdr:from>
    <xdr:to>
      <xdr:col>8</xdr:col>
      <xdr:colOff>631005</xdr:colOff>
      <xdr:row>81</xdr:row>
      <xdr:rowOff>193888</xdr:rowOff>
    </xdr:to>
    <xdr:cxnSp macro="">
      <xdr:nvCxnSpPr>
        <xdr:cNvPr id="65" name="直線コネクタ 64">
          <a:extLst>
            <a:ext uri="{FF2B5EF4-FFF2-40B4-BE49-F238E27FC236}">
              <a16:creationId xmlns:a16="http://schemas.microsoft.com/office/drawing/2014/main" id="{10E5E4FB-A83F-4060-A4F4-7B85E2F43226}"/>
            </a:ext>
          </a:extLst>
        </xdr:cNvPr>
        <xdr:cNvCxnSpPr/>
      </xdr:nvCxnSpPr>
      <xdr:spPr>
        <a:xfrm>
          <a:off x="5877082" y="19482013"/>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352582</xdr:colOff>
      <xdr:row>83</xdr:row>
      <xdr:rowOff>212939</xdr:rowOff>
    </xdr:from>
    <xdr:to>
      <xdr:col>8</xdr:col>
      <xdr:colOff>631005</xdr:colOff>
      <xdr:row>83</xdr:row>
      <xdr:rowOff>212939</xdr:rowOff>
    </xdr:to>
    <xdr:cxnSp macro="">
      <xdr:nvCxnSpPr>
        <xdr:cNvPr id="66" name="直線コネクタ 65">
          <a:extLst>
            <a:ext uri="{FF2B5EF4-FFF2-40B4-BE49-F238E27FC236}">
              <a16:creationId xmlns:a16="http://schemas.microsoft.com/office/drawing/2014/main" id="{B304E180-DCB5-40BA-B510-C62B31F6EC15}"/>
            </a:ext>
          </a:extLst>
        </xdr:cNvPr>
        <xdr:cNvCxnSpPr/>
      </xdr:nvCxnSpPr>
      <xdr:spPr>
        <a:xfrm>
          <a:off x="5877082" y="19977314"/>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358443</xdr:colOff>
      <xdr:row>85</xdr:row>
      <xdr:rowOff>215869</xdr:rowOff>
    </xdr:from>
    <xdr:to>
      <xdr:col>8</xdr:col>
      <xdr:colOff>636866</xdr:colOff>
      <xdr:row>85</xdr:row>
      <xdr:rowOff>215869</xdr:rowOff>
    </xdr:to>
    <xdr:cxnSp macro="">
      <xdr:nvCxnSpPr>
        <xdr:cNvPr id="67" name="直線コネクタ 66">
          <a:extLst>
            <a:ext uri="{FF2B5EF4-FFF2-40B4-BE49-F238E27FC236}">
              <a16:creationId xmlns:a16="http://schemas.microsoft.com/office/drawing/2014/main" id="{5FE7E368-F80B-44C0-AD8A-EF75FE8DB11D}"/>
            </a:ext>
          </a:extLst>
        </xdr:cNvPr>
        <xdr:cNvCxnSpPr/>
      </xdr:nvCxnSpPr>
      <xdr:spPr>
        <a:xfrm>
          <a:off x="5882943" y="20456494"/>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351116</xdr:colOff>
      <xdr:row>87</xdr:row>
      <xdr:rowOff>220266</xdr:rowOff>
    </xdr:from>
    <xdr:to>
      <xdr:col>8</xdr:col>
      <xdr:colOff>629539</xdr:colOff>
      <xdr:row>87</xdr:row>
      <xdr:rowOff>220266</xdr:rowOff>
    </xdr:to>
    <xdr:cxnSp macro="">
      <xdr:nvCxnSpPr>
        <xdr:cNvPr id="68" name="直線コネクタ 67">
          <a:extLst>
            <a:ext uri="{FF2B5EF4-FFF2-40B4-BE49-F238E27FC236}">
              <a16:creationId xmlns:a16="http://schemas.microsoft.com/office/drawing/2014/main" id="{A77CA54F-314F-49A4-8CC9-F61038CF5B4B}"/>
            </a:ext>
          </a:extLst>
        </xdr:cNvPr>
        <xdr:cNvCxnSpPr/>
      </xdr:nvCxnSpPr>
      <xdr:spPr>
        <a:xfrm>
          <a:off x="5875616" y="20937141"/>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630696</xdr:colOff>
      <xdr:row>70</xdr:row>
      <xdr:rowOff>215628</xdr:rowOff>
    </xdr:from>
    <xdr:to>
      <xdr:col>10</xdr:col>
      <xdr:colOff>548795</xdr:colOff>
      <xdr:row>88</xdr:row>
      <xdr:rowOff>218905</xdr:rowOff>
    </xdr:to>
    <xdr:sp macro="" textlink="">
      <xdr:nvSpPr>
        <xdr:cNvPr id="69" name="正方形/長方形 68">
          <a:extLst>
            <a:ext uri="{FF2B5EF4-FFF2-40B4-BE49-F238E27FC236}">
              <a16:creationId xmlns:a16="http://schemas.microsoft.com/office/drawing/2014/main" id="{A52CF75B-BFF2-4E93-8677-A41ADD90F5B8}"/>
            </a:ext>
          </a:extLst>
        </xdr:cNvPr>
        <xdr:cNvSpPr/>
      </xdr:nvSpPr>
      <xdr:spPr>
        <a:xfrm>
          <a:off x="6155196" y="16884378"/>
          <a:ext cx="1299224" cy="4289527"/>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オシロスコープ</a:t>
          </a:r>
        </a:p>
      </xdr:txBody>
    </xdr:sp>
    <xdr:clientData/>
  </xdr:twoCellAnchor>
  <xdr:twoCellAnchor>
    <xdr:from>
      <xdr:col>6</xdr:col>
      <xdr:colOff>173424</xdr:colOff>
      <xdr:row>92</xdr:row>
      <xdr:rowOff>227873</xdr:rowOff>
    </xdr:from>
    <xdr:to>
      <xdr:col>8</xdr:col>
      <xdr:colOff>230573</xdr:colOff>
      <xdr:row>94</xdr:row>
      <xdr:rowOff>155596</xdr:rowOff>
    </xdr:to>
    <xdr:sp macro="" textlink="">
      <xdr:nvSpPr>
        <xdr:cNvPr id="70" name="正方形/長方形 69">
          <a:extLst>
            <a:ext uri="{FF2B5EF4-FFF2-40B4-BE49-F238E27FC236}">
              <a16:creationId xmlns:a16="http://schemas.microsoft.com/office/drawing/2014/main" id="{DC34C991-03B6-4208-93B8-632202FBA6EE}"/>
            </a:ext>
          </a:extLst>
        </xdr:cNvPr>
        <xdr:cNvSpPr/>
      </xdr:nvSpPr>
      <xdr:spPr>
        <a:xfrm>
          <a:off x="4316799" y="22135373"/>
          <a:ext cx="1438274" cy="403973"/>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DAC228_T0_CH0</a:t>
          </a:r>
          <a:endParaRPr kumimoji="1" lang="ja-JP" altLang="en-US" sz="1100">
            <a:solidFill>
              <a:schemeClr val="tx1"/>
            </a:solidFill>
          </a:endParaRPr>
        </a:p>
      </xdr:txBody>
    </xdr:sp>
    <xdr:clientData/>
  </xdr:twoCellAnchor>
  <xdr:twoCellAnchor>
    <xdr:from>
      <xdr:col>6</xdr:col>
      <xdr:colOff>166578</xdr:colOff>
      <xdr:row>94</xdr:row>
      <xdr:rowOff>225493</xdr:rowOff>
    </xdr:from>
    <xdr:to>
      <xdr:col>8</xdr:col>
      <xdr:colOff>223727</xdr:colOff>
      <xdr:row>96</xdr:row>
      <xdr:rowOff>136186</xdr:rowOff>
    </xdr:to>
    <xdr:sp macro="" textlink="">
      <xdr:nvSpPr>
        <xdr:cNvPr id="71" name="正方形/長方形 70">
          <a:extLst>
            <a:ext uri="{FF2B5EF4-FFF2-40B4-BE49-F238E27FC236}">
              <a16:creationId xmlns:a16="http://schemas.microsoft.com/office/drawing/2014/main" id="{7AB00E16-3303-406A-8841-D3919AB67CD4}"/>
            </a:ext>
          </a:extLst>
        </xdr:cNvPr>
        <xdr:cNvSpPr/>
      </xdr:nvSpPr>
      <xdr:spPr>
        <a:xfrm>
          <a:off x="4309953" y="22609243"/>
          <a:ext cx="1438274" cy="386943"/>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DAC228_T0_CH1</a:t>
          </a:r>
          <a:endParaRPr kumimoji="1" lang="ja-JP" altLang="en-US" sz="1100">
            <a:solidFill>
              <a:schemeClr val="tx1"/>
            </a:solidFill>
          </a:endParaRPr>
        </a:p>
      </xdr:txBody>
    </xdr:sp>
    <xdr:clientData/>
  </xdr:twoCellAnchor>
  <xdr:twoCellAnchor>
    <xdr:from>
      <xdr:col>5</xdr:col>
      <xdr:colOff>72942</xdr:colOff>
      <xdr:row>93</xdr:row>
      <xdr:rowOff>20989</xdr:rowOff>
    </xdr:from>
    <xdr:to>
      <xdr:col>6</xdr:col>
      <xdr:colOff>167067</xdr:colOff>
      <xdr:row>94</xdr:row>
      <xdr:rowOff>104698</xdr:rowOff>
    </xdr:to>
    <xdr:sp macro="" textlink="">
      <xdr:nvSpPr>
        <xdr:cNvPr id="72" name="正方形/長方形 71">
          <a:extLst>
            <a:ext uri="{FF2B5EF4-FFF2-40B4-BE49-F238E27FC236}">
              <a16:creationId xmlns:a16="http://schemas.microsoft.com/office/drawing/2014/main" id="{E2DEE6EC-0E17-4419-A954-CD65DE5CB7E6}"/>
            </a:ext>
          </a:extLst>
        </xdr:cNvPr>
        <xdr:cNvSpPr/>
      </xdr:nvSpPr>
      <xdr:spPr>
        <a:xfrm>
          <a:off x="3525755" y="22166614"/>
          <a:ext cx="784687" cy="32183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0</a:t>
          </a:r>
        </a:p>
      </xdr:txBody>
    </xdr:sp>
    <xdr:clientData/>
  </xdr:twoCellAnchor>
  <xdr:twoCellAnchor>
    <xdr:from>
      <xdr:col>5</xdr:col>
      <xdr:colOff>145060</xdr:colOff>
      <xdr:row>95</xdr:row>
      <xdr:rowOff>31170</xdr:rowOff>
    </xdr:from>
    <xdr:to>
      <xdr:col>6</xdr:col>
      <xdr:colOff>168381</xdr:colOff>
      <xdr:row>96</xdr:row>
      <xdr:rowOff>89026</xdr:rowOff>
    </xdr:to>
    <xdr:sp macro="" textlink="">
      <xdr:nvSpPr>
        <xdr:cNvPr id="73" name="正方形/長方形 72">
          <a:extLst>
            <a:ext uri="{FF2B5EF4-FFF2-40B4-BE49-F238E27FC236}">
              <a16:creationId xmlns:a16="http://schemas.microsoft.com/office/drawing/2014/main" id="{FDBCEF38-E8B2-4FE7-87BC-218969D63F1A}"/>
            </a:ext>
          </a:extLst>
        </xdr:cNvPr>
        <xdr:cNvSpPr/>
      </xdr:nvSpPr>
      <xdr:spPr>
        <a:xfrm>
          <a:off x="3597873" y="22653045"/>
          <a:ext cx="713883" cy="29598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1</a:t>
          </a:r>
        </a:p>
      </xdr:txBody>
    </xdr:sp>
    <xdr:clientData/>
  </xdr:twoCellAnchor>
  <xdr:twoCellAnchor>
    <xdr:from>
      <xdr:col>7</xdr:col>
      <xdr:colOff>167863</xdr:colOff>
      <xdr:row>96</xdr:row>
      <xdr:rowOff>234444</xdr:rowOff>
    </xdr:from>
    <xdr:to>
      <xdr:col>8</xdr:col>
      <xdr:colOff>230786</xdr:colOff>
      <xdr:row>98</xdr:row>
      <xdr:rowOff>164267</xdr:rowOff>
    </xdr:to>
    <xdr:sp macro="" textlink="">
      <xdr:nvSpPr>
        <xdr:cNvPr id="74" name="正方形/長方形 73">
          <a:extLst>
            <a:ext uri="{FF2B5EF4-FFF2-40B4-BE49-F238E27FC236}">
              <a16:creationId xmlns:a16="http://schemas.microsoft.com/office/drawing/2014/main" id="{4CF13339-1CB1-4B33-8AC0-0E05CF518075}"/>
            </a:ext>
          </a:extLst>
        </xdr:cNvPr>
        <xdr:cNvSpPr/>
      </xdr:nvSpPr>
      <xdr:spPr>
        <a:xfrm>
          <a:off x="5001801" y="23094444"/>
          <a:ext cx="753485" cy="406073"/>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PMOD 0</a:t>
          </a:r>
          <a:endParaRPr kumimoji="1" lang="ja-JP" altLang="en-US" sz="1100">
            <a:solidFill>
              <a:schemeClr val="tx1"/>
            </a:solidFill>
          </a:endParaRPr>
        </a:p>
      </xdr:txBody>
    </xdr:sp>
    <xdr:clientData/>
  </xdr:twoCellAnchor>
  <xdr:twoCellAnchor>
    <xdr:from>
      <xdr:col>4</xdr:col>
      <xdr:colOff>357188</xdr:colOff>
      <xdr:row>97</xdr:row>
      <xdr:rowOff>32975</xdr:rowOff>
    </xdr:from>
    <xdr:to>
      <xdr:col>7</xdr:col>
      <xdr:colOff>181517</xdr:colOff>
      <xdr:row>98</xdr:row>
      <xdr:rowOff>100918</xdr:rowOff>
    </xdr:to>
    <xdr:sp macro="" textlink="">
      <xdr:nvSpPr>
        <xdr:cNvPr id="75" name="正方形/長方形 74">
          <a:extLst>
            <a:ext uri="{FF2B5EF4-FFF2-40B4-BE49-F238E27FC236}">
              <a16:creationId xmlns:a16="http://schemas.microsoft.com/office/drawing/2014/main" id="{EA601035-C469-4A78-BAE1-19C43FC6C100}"/>
            </a:ext>
          </a:extLst>
        </xdr:cNvPr>
        <xdr:cNvSpPr/>
      </xdr:nvSpPr>
      <xdr:spPr>
        <a:xfrm>
          <a:off x="3119438" y="23131100"/>
          <a:ext cx="1896017" cy="30606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ja-JP" altLang="en-US" sz="1000">
              <a:solidFill>
                <a:schemeClr val="tx1"/>
              </a:solidFill>
            </a:rPr>
            <a:t>ディジタル出力モジュール </a:t>
          </a:r>
          <a:r>
            <a:rPr kumimoji="1" lang="en-US" altLang="ja-JP" sz="1000">
              <a:solidFill>
                <a:schemeClr val="tx1"/>
              </a:solidFill>
            </a:rPr>
            <a:t>0</a:t>
          </a:r>
        </a:p>
      </xdr:txBody>
    </xdr:sp>
    <xdr:clientData/>
  </xdr:twoCellAnchor>
  <xdr:twoCellAnchor>
    <xdr:from>
      <xdr:col>8</xdr:col>
      <xdr:colOff>223459</xdr:colOff>
      <xdr:row>93</xdr:row>
      <xdr:rowOff>200856</xdr:rowOff>
    </xdr:from>
    <xdr:to>
      <xdr:col>8</xdr:col>
      <xdr:colOff>506643</xdr:colOff>
      <xdr:row>93</xdr:row>
      <xdr:rowOff>200856</xdr:rowOff>
    </xdr:to>
    <xdr:cxnSp macro="">
      <xdr:nvCxnSpPr>
        <xdr:cNvPr id="76" name="直線コネクタ 75">
          <a:extLst>
            <a:ext uri="{FF2B5EF4-FFF2-40B4-BE49-F238E27FC236}">
              <a16:creationId xmlns:a16="http://schemas.microsoft.com/office/drawing/2014/main" id="{282BF99A-E34E-414B-A045-4590C606DCFD}"/>
            </a:ext>
          </a:extLst>
        </xdr:cNvPr>
        <xdr:cNvCxnSpPr/>
      </xdr:nvCxnSpPr>
      <xdr:spPr>
        <a:xfrm>
          <a:off x="5747959" y="22346481"/>
          <a:ext cx="283184"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229320</xdr:colOff>
      <xdr:row>95</xdr:row>
      <xdr:rowOff>216973</xdr:rowOff>
    </xdr:from>
    <xdr:to>
      <xdr:col>8</xdr:col>
      <xdr:colOff>512504</xdr:colOff>
      <xdr:row>95</xdr:row>
      <xdr:rowOff>216973</xdr:rowOff>
    </xdr:to>
    <xdr:cxnSp macro="">
      <xdr:nvCxnSpPr>
        <xdr:cNvPr id="77" name="直線コネクタ 76">
          <a:extLst>
            <a:ext uri="{FF2B5EF4-FFF2-40B4-BE49-F238E27FC236}">
              <a16:creationId xmlns:a16="http://schemas.microsoft.com/office/drawing/2014/main" id="{65303F14-5C70-4593-9D66-9BF49584B287}"/>
            </a:ext>
          </a:extLst>
        </xdr:cNvPr>
        <xdr:cNvCxnSpPr/>
      </xdr:nvCxnSpPr>
      <xdr:spPr>
        <a:xfrm>
          <a:off x="5753820" y="22838848"/>
          <a:ext cx="283184"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224923</xdr:colOff>
      <xdr:row>97</xdr:row>
      <xdr:rowOff>207454</xdr:rowOff>
    </xdr:from>
    <xdr:to>
      <xdr:col>8</xdr:col>
      <xdr:colOff>508107</xdr:colOff>
      <xdr:row>97</xdr:row>
      <xdr:rowOff>207454</xdr:rowOff>
    </xdr:to>
    <xdr:cxnSp macro="">
      <xdr:nvCxnSpPr>
        <xdr:cNvPr id="78" name="直線コネクタ 77">
          <a:extLst>
            <a:ext uri="{FF2B5EF4-FFF2-40B4-BE49-F238E27FC236}">
              <a16:creationId xmlns:a16="http://schemas.microsoft.com/office/drawing/2014/main" id="{D80E577F-FC12-4B93-8004-E64BD8E0FED6}"/>
            </a:ext>
          </a:extLst>
        </xdr:cNvPr>
        <xdr:cNvCxnSpPr/>
      </xdr:nvCxnSpPr>
      <xdr:spPr>
        <a:xfrm>
          <a:off x="5749423" y="23305579"/>
          <a:ext cx="283184"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509264</xdr:colOff>
      <xdr:row>92</xdr:row>
      <xdr:rowOff>229189</xdr:rowOff>
    </xdr:from>
    <xdr:to>
      <xdr:col>10</xdr:col>
      <xdr:colOff>408313</xdr:colOff>
      <xdr:row>98</xdr:row>
      <xdr:rowOff>162907</xdr:rowOff>
    </xdr:to>
    <xdr:sp macro="" textlink="">
      <xdr:nvSpPr>
        <xdr:cNvPr id="79" name="正方形/長方形 78">
          <a:extLst>
            <a:ext uri="{FF2B5EF4-FFF2-40B4-BE49-F238E27FC236}">
              <a16:creationId xmlns:a16="http://schemas.microsoft.com/office/drawing/2014/main" id="{9CF79A31-D496-43D6-8B48-6F0A5A033A71}"/>
            </a:ext>
          </a:extLst>
        </xdr:cNvPr>
        <xdr:cNvSpPr/>
      </xdr:nvSpPr>
      <xdr:spPr>
        <a:xfrm>
          <a:off x="6033764" y="22136689"/>
          <a:ext cx="1280174" cy="1362468"/>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オシロスコープ</a:t>
          </a:r>
        </a:p>
      </xdr:txBody>
    </xdr:sp>
    <xdr:clientData/>
  </xdr:twoCellAnchor>
  <xdr:twoCellAnchor>
    <xdr:from>
      <xdr:col>14</xdr:col>
      <xdr:colOff>12765</xdr:colOff>
      <xdr:row>69</xdr:row>
      <xdr:rowOff>231322</xdr:rowOff>
    </xdr:from>
    <xdr:to>
      <xdr:col>16</xdr:col>
      <xdr:colOff>74675</xdr:colOff>
      <xdr:row>71</xdr:row>
      <xdr:rowOff>139993</xdr:rowOff>
    </xdr:to>
    <xdr:sp macro="" textlink="">
      <xdr:nvSpPr>
        <xdr:cNvPr id="80" name="正方形/長方形 79">
          <a:extLst>
            <a:ext uri="{FF2B5EF4-FFF2-40B4-BE49-F238E27FC236}">
              <a16:creationId xmlns:a16="http://schemas.microsoft.com/office/drawing/2014/main" id="{D3DA9E65-0907-4CA9-8D30-C54FE626AB54}"/>
            </a:ext>
          </a:extLst>
        </xdr:cNvPr>
        <xdr:cNvSpPr/>
      </xdr:nvSpPr>
      <xdr:spPr>
        <a:xfrm>
          <a:off x="9537765" y="17131393"/>
          <a:ext cx="1422624" cy="398529"/>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DAC228_T0_CH0</a:t>
          </a:r>
          <a:endParaRPr kumimoji="1" lang="ja-JP" altLang="en-US" sz="1100">
            <a:solidFill>
              <a:schemeClr val="tx1"/>
            </a:solidFill>
          </a:endParaRPr>
        </a:p>
      </xdr:txBody>
    </xdr:sp>
    <xdr:clientData/>
  </xdr:twoCellAnchor>
  <xdr:twoCellAnchor>
    <xdr:from>
      <xdr:col>14</xdr:col>
      <xdr:colOff>5919</xdr:colOff>
      <xdr:row>71</xdr:row>
      <xdr:rowOff>228941</xdr:rowOff>
    </xdr:from>
    <xdr:to>
      <xdr:col>16</xdr:col>
      <xdr:colOff>67829</xdr:colOff>
      <xdr:row>73</xdr:row>
      <xdr:rowOff>139634</xdr:rowOff>
    </xdr:to>
    <xdr:sp macro="" textlink="">
      <xdr:nvSpPr>
        <xdr:cNvPr id="81" name="正方形/長方形 80">
          <a:extLst>
            <a:ext uri="{FF2B5EF4-FFF2-40B4-BE49-F238E27FC236}">
              <a16:creationId xmlns:a16="http://schemas.microsoft.com/office/drawing/2014/main" id="{18E803E0-8C09-4155-83BE-D6F8240C9860}"/>
            </a:ext>
          </a:extLst>
        </xdr:cNvPr>
        <xdr:cNvSpPr/>
      </xdr:nvSpPr>
      <xdr:spPr>
        <a:xfrm>
          <a:off x="9530919" y="17618870"/>
          <a:ext cx="1422624" cy="400550"/>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DAC228_T0_CH1</a:t>
          </a:r>
          <a:endParaRPr kumimoji="1" lang="ja-JP" altLang="en-US" sz="1100">
            <a:solidFill>
              <a:schemeClr val="tx1"/>
            </a:solidFill>
          </a:endParaRPr>
        </a:p>
      </xdr:txBody>
    </xdr:sp>
    <xdr:clientData/>
  </xdr:twoCellAnchor>
  <xdr:twoCellAnchor>
    <xdr:from>
      <xdr:col>14</xdr:col>
      <xdr:colOff>12161</xdr:colOff>
      <xdr:row>73</xdr:row>
      <xdr:rowOff>235031</xdr:rowOff>
    </xdr:from>
    <xdr:to>
      <xdr:col>16</xdr:col>
      <xdr:colOff>74071</xdr:colOff>
      <xdr:row>75</xdr:row>
      <xdr:rowOff>143704</xdr:rowOff>
    </xdr:to>
    <xdr:sp macro="" textlink="">
      <xdr:nvSpPr>
        <xdr:cNvPr id="82" name="正方形/長方形 81">
          <a:extLst>
            <a:ext uri="{FF2B5EF4-FFF2-40B4-BE49-F238E27FC236}">
              <a16:creationId xmlns:a16="http://schemas.microsoft.com/office/drawing/2014/main" id="{69124BAD-919A-4FCD-9488-06F6F7507CF3}"/>
            </a:ext>
          </a:extLst>
        </xdr:cNvPr>
        <xdr:cNvSpPr/>
      </xdr:nvSpPr>
      <xdr:spPr>
        <a:xfrm>
          <a:off x="9537161" y="18114817"/>
          <a:ext cx="1422624" cy="398530"/>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DAC228_T0_CH2</a:t>
          </a:r>
          <a:endParaRPr kumimoji="1" lang="ja-JP" altLang="en-US" sz="1100">
            <a:solidFill>
              <a:schemeClr val="tx1"/>
            </a:solidFill>
          </a:endParaRPr>
        </a:p>
      </xdr:txBody>
    </xdr:sp>
    <xdr:clientData/>
  </xdr:twoCellAnchor>
  <xdr:twoCellAnchor>
    <xdr:from>
      <xdr:col>14</xdr:col>
      <xdr:colOff>11884</xdr:colOff>
      <xdr:row>75</xdr:row>
      <xdr:rowOff>238061</xdr:rowOff>
    </xdr:from>
    <xdr:to>
      <xdr:col>16</xdr:col>
      <xdr:colOff>73794</xdr:colOff>
      <xdr:row>77</xdr:row>
      <xdr:rowOff>149914</xdr:rowOff>
    </xdr:to>
    <xdr:sp macro="" textlink="">
      <xdr:nvSpPr>
        <xdr:cNvPr id="83" name="正方形/長方形 82">
          <a:extLst>
            <a:ext uri="{FF2B5EF4-FFF2-40B4-BE49-F238E27FC236}">
              <a16:creationId xmlns:a16="http://schemas.microsoft.com/office/drawing/2014/main" id="{CF0FDA14-A044-4879-8B34-1460177CC022}"/>
            </a:ext>
          </a:extLst>
        </xdr:cNvPr>
        <xdr:cNvSpPr/>
      </xdr:nvSpPr>
      <xdr:spPr>
        <a:xfrm>
          <a:off x="9536884" y="18607704"/>
          <a:ext cx="1422624" cy="401710"/>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DAC228_T0_CH3</a:t>
          </a:r>
          <a:endParaRPr kumimoji="1" lang="ja-JP" altLang="en-US" sz="1100">
            <a:solidFill>
              <a:schemeClr val="tx1"/>
            </a:solidFill>
          </a:endParaRPr>
        </a:p>
      </xdr:txBody>
    </xdr:sp>
    <xdr:clientData/>
  </xdr:twoCellAnchor>
  <xdr:twoCellAnchor>
    <xdr:from>
      <xdr:col>12</xdr:col>
      <xdr:colOff>598082</xdr:colOff>
      <xdr:row>70</xdr:row>
      <xdr:rowOff>33963</xdr:rowOff>
    </xdr:from>
    <xdr:to>
      <xdr:col>14</xdr:col>
      <xdr:colOff>6408</xdr:colOff>
      <xdr:row>71</xdr:row>
      <xdr:rowOff>108145</xdr:rowOff>
    </xdr:to>
    <xdr:sp macro="" textlink="">
      <xdr:nvSpPr>
        <xdr:cNvPr id="88" name="正方形/長方形 87">
          <a:extLst>
            <a:ext uri="{FF2B5EF4-FFF2-40B4-BE49-F238E27FC236}">
              <a16:creationId xmlns:a16="http://schemas.microsoft.com/office/drawing/2014/main" id="{A28FC457-B13B-4AB8-8630-613847FDAD38}"/>
            </a:ext>
          </a:extLst>
        </xdr:cNvPr>
        <xdr:cNvSpPr/>
      </xdr:nvSpPr>
      <xdr:spPr>
        <a:xfrm>
          <a:off x="8762368" y="17178963"/>
          <a:ext cx="769040" cy="31911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0</a:t>
          </a:r>
        </a:p>
      </xdr:txBody>
    </xdr:sp>
    <xdr:clientData/>
  </xdr:twoCellAnchor>
  <xdr:twoCellAnchor>
    <xdr:from>
      <xdr:col>13</xdr:col>
      <xdr:colOff>3450</xdr:colOff>
      <xdr:row>72</xdr:row>
      <xdr:rowOff>34619</xdr:rowOff>
    </xdr:from>
    <xdr:to>
      <xdr:col>14</xdr:col>
      <xdr:colOff>7722</xdr:colOff>
      <xdr:row>73</xdr:row>
      <xdr:rowOff>108802</xdr:rowOff>
    </xdr:to>
    <xdr:sp macro="" textlink="">
      <xdr:nvSpPr>
        <xdr:cNvPr id="89" name="正方形/長方形 88">
          <a:extLst>
            <a:ext uri="{FF2B5EF4-FFF2-40B4-BE49-F238E27FC236}">
              <a16:creationId xmlns:a16="http://schemas.microsoft.com/office/drawing/2014/main" id="{506BA50B-3711-41EF-AE39-CCD06B10A8C8}"/>
            </a:ext>
          </a:extLst>
        </xdr:cNvPr>
        <xdr:cNvSpPr/>
      </xdr:nvSpPr>
      <xdr:spPr>
        <a:xfrm>
          <a:off x="8848093" y="17669476"/>
          <a:ext cx="684629" cy="31911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1</a:t>
          </a:r>
        </a:p>
      </xdr:txBody>
    </xdr:sp>
    <xdr:clientData/>
  </xdr:twoCellAnchor>
  <xdr:twoCellAnchor>
    <xdr:from>
      <xdr:col>13</xdr:col>
      <xdr:colOff>3451</xdr:colOff>
      <xdr:row>74</xdr:row>
      <xdr:rowOff>40532</xdr:rowOff>
    </xdr:from>
    <xdr:to>
      <xdr:col>14</xdr:col>
      <xdr:colOff>14292</xdr:colOff>
      <xdr:row>75</xdr:row>
      <xdr:rowOff>114714</xdr:rowOff>
    </xdr:to>
    <xdr:sp macro="" textlink="">
      <xdr:nvSpPr>
        <xdr:cNvPr id="90" name="正方形/長方形 89">
          <a:extLst>
            <a:ext uri="{FF2B5EF4-FFF2-40B4-BE49-F238E27FC236}">
              <a16:creationId xmlns:a16="http://schemas.microsoft.com/office/drawing/2014/main" id="{222EE279-5951-4CB7-8BEE-BF688F133436}"/>
            </a:ext>
          </a:extLst>
        </xdr:cNvPr>
        <xdr:cNvSpPr/>
      </xdr:nvSpPr>
      <xdr:spPr>
        <a:xfrm>
          <a:off x="8848094" y="18165246"/>
          <a:ext cx="691198" cy="31911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2</a:t>
          </a:r>
        </a:p>
      </xdr:txBody>
    </xdr:sp>
    <xdr:clientData/>
  </xdr:twoCellAnchor>
  <xdr:twoCellAnchor>
    <xdr:from>
      <xdr:col>13</xdr:col>
      <xdr:colOff>46314</xdr:colOff>
      <xdr:row>76</xdr:row>
      <xdr:rowOff>34619</xdr:rowOff>
    </xdr:from>
    <xdr:to>
      <xdr:col>14</xdr:col>
      <xdr:colOff>15606</xdr:colOff>
      <xdr:row>77</xdr:row>
      <xdr:rowOff>108803</xdr:rowOff>
    </xdr:to>
    <xdr:sp macro="" textlink="">
      <xdr:nvSpPr>
        <xdr:cNvPr id="91" name="正方形/長方形 90">
          <a:extLst>
            <a:ext uri="{FF2B5EF4-FFF2-40B4-BE49-F238E27FC236}">
              <a16:creationId xmlns:a16="http://schemas.microsoft.com/office/drawing/2014/main" id="{3E00816B-6A7A-4BB6-9DA6-14BE185127A9}"/>
            </a:ext>
          </a:extLst>
        </xdr:cNvPr>
        <xdr:cNvSpPr/>
      </xdr:nvSpPr>
      <xdr:spPr>
        <a:xfrm>
          <a:off x="8890957" y="18649190"/>
          <a:ext cx="649649" cy="31911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3</a:t>
          </a:r>
        </a:p>
      </xdr:txBody>
    </xdr:sp>
    <xdr:clientData/>
  </xdr:twoCellAnchor>
  <xdr:twoCellAnchor>
    <xdr:from>
      <xdr:col>16</xdr:col>
      <xdr:colOff>67561</xdr:colOff>
      <xdr:row>70</xdr:row>
      <xdr:rowOff>204303</xdr:rowOff>
    </xdr:from>
    <xdr:to>
      <xdr:col>16</xdr:col>
      <xdr:colOff>345984</xdr:colOff>
      <xdr:row>70</xdr:row>
      <xdr:rowOff>204303</xdr:rowOff>
    </xdr:to>
    <xdr:cxnSp macro="">
      <xdr:nvCxnSpPr>
        <xdr:cNvPr id="98" name="直線コネクタ 97">
          <a:extLst>
            <a:ext uri="{FF2B5EF4-FFF2-40B4-BE49-F238E27FC236}">
              <a16:creationId xmlns:a16="http://schemas.microsoft.com/office/drawing/2014/main" id="{8C9A90B7-E519-450C-A6DA-0B430ABC55DA}"/>
            </a:ext>
          </a:extLst>
        </xdr:cNvPr>
        <xdr:cNvCxnSpPr/>
      </xdr:nvCxnSpPr>
      <xdr:spPr>
        <a:xfrm>
          <a:off x="10953275" y="17349303"/>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73422</xdr:colOff>
      <xdr:row>72</xdr:row>
      <xdr:rowOff>210896</xdr:rowOff>
    </xdr:from>
    <xdr:to>
      <xdr:col>16</xdr:col>
      <xdr:colOff>351845</xdr:colOff>
      <xdr:row>72</xdr:row>
      <xdr:rowOff>210896</xdr:rowOff>
    </xdr:to>
    <xdr:cxnSp macro="">
      <xdr:nvCxnSpPr>
        <xdr:cNvPr id="99" name="直線コネクタ 98">
          <a:extLst>
            <a:ext uri="{FF2B5EF4-FFF2-40B4-BE49-F238E27FC236}">
              <a16:creationId xmlns:a16="http://schemas.microsoft.com/office/drawing/2014/main" id="{15840B64-06D6-4544-881B-06E045A80BE2}"/>
            </a:ext>
          </a:extLst>
        </xdr:cNvPr>
        <xdr:cNvCxnSpPr/>
      </xdr:nvCxnSpPr>
      <xdr:spPr>
        <a:xfrm>
          <a:off x="10959136" y="17845753"/>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73423</xdr:colOff>
      <xdr:row>74</xdr:row>
      <xdr:rowOff>200639</xdr:rowOff>
    </xdr:from>
    <xdr:to>
      <xdr:col>16</xdr:col>
      <xdr:colOff>351846</xdr:colOff>
      <xdr:row>74</xdr:row>
      <xdr:rowOff>200639</xdr:rowOff>
    </xdr:to>
    <xdr:cxnSp macro="">
      <xdr:nvCxnSpPr>
        <xdr:cNvPr id="100" name="直線コネクタ 99">
          <a:extLst>
            <a:ext uri="{FF2B5EF4-FFF2-40B4-BE49-F238E27FC236}">
              <a16:creationId xmlns:a16="http://schemas.microsoft.com/office/drawing/2014/main" id="{E907D6FF-E6DD-4F3B-A1F9-A66185B25E61}"/>
            </a:ext>
          </a:extLst>
        </xdr:cNvPr>
        <xdr:cNvCxnSpPr/>
      </xdr:nvCxnSpPr>
      <xdr:spPr>
        <a:xfrm>
          <a:off x="10959137" y="18325353"/>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79284</xdr:colOff>
      <xdr:row>76</xdr:row>
      <xdr:rowOff>203569</xdr:rowOff>
    </xdr:from>
    <xdr:to>
      <xdr:col>16</xdr:col>
      <xdr:colOff>357707</xdr:colOff>
      <xdr:row>76</xdr:row>
      <xdr:rowOff>203569</xdr:rowOff>
    </xdr:to>
    <xdr:cxnSp macro="">
      <xdr:nvCxnSpPr>
        <xdr:cNvPr id="101" name="直線コネクタ 100">
          <a:extLst>
            <a:ext uri="{FF2B5EF4-FFF2-40B4-BE49-F238E27FC236}">
              <a16:creationId xmlns:a16="http://schemas.microsoft.com/office/drawing/2014/main" id="{4B988AD8-4797-483E-97E7-62C17ED1E331}"/>
            </a:ext>
          </a:extLst>
        </xdr:cNvPr>
        <xdr:cNvCxnSpPr/>
      </xdr:nvCxnSpPr>
      <xdr:spPr>
        <a:xfrm>
          <a:off x="10964998" y="18818140"/>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348605</xdr:colOff>
      <xdr:row>69</xdr:row>
      <xdr:rowOff>232637</xdr:rowOff>
    </xdr:from>
    <xdr:to>
      <xdr:col>18</xdr:col>
      <xdr:colOff>266703</xdr:colOff>
      <xdr:row>77</xdr:row>
      <xdr:rowOff>204107</xdr:rowOff>
    </xdr:to>
    <xdr:sp macro="" textlink="">
      <xdr:nvSpPr>
        <xdr:cNvPr id="107" name="正方形/長方形 106">
          <a:extLst>
            <a:ext uri="{FF2B5EF4-FFF2-40B4-BE49-F238E27FC236}">
              <a16:creationId xmlns:a16="http://schemas.microsoft.com/office/drawing/2014/main" id="{DA3D81A8-1848-4BF0-A3C8-77E406F4F424}"/>
            </a:ext>
          </a:extLst>
        </xdr:cNvPr>
        <xdr:cNvSpPr/>
      </xdr:nvSpPr>
      <xdr:spPr>
        <a:xfrm>
          <a:off x="11234319" y="17132708"/>
          <a:ext cx="1278813" cy="1930899"/>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オシロスコープ</a:t>
          </a:r>
        </a:p>
      </xdr:txBody>
    </xdr:sp>
    <xdr:clientData/>
  </xdr:twoCellAnchor>
  <xdr:twoCellAnchor editAs="oneCell">
    <xdr:from>
      <xdr:col>12</xdr:col>
      <xdr:colOff>258535</xdr:colOff>
      <xdr:row>80</xdr:row>
      <xdr:rowOff>190501</xdr:rowOff>
    </xdr:from>
    <xdr:to>
      <xdr:col>17</xdr:col>
      <xdr:colOff>618308</xdr:colOff>
      <xdr:row>88</xdr:row>
      <xdr:rowOff>175866</xdr:rowOff>
    </xdr:to>
    <xdr:pic>
      <xdr:nvPicPr>
        <xdr:cNvPr id="109" name="図 108">
          <a:extLst>
            <a:ext uri="{FF2B5EF4-FFF2-40B4-BE49-F238E27FC236}">
              <a16:creationId xmlns:a16="http://schemas.microsoft.com/office/drawing/2014/main" id="{05875E53-3DD4-D11C-E39C-137D96B7ECF3}"/>
            </a:ext>
          </a:extLst>
        </xdr:cNvPr>
        <xdr:cNvPicPr>
          <a:picLocks noChangeAspect="1"/>
        </xdr:cNvPicPr>
      </xdr:nvPicPr>
      <xdr:blipFill>
        <a:blip xmlns:r="http://schemas.openxmlformats.org/officeDocument/2006/relationships" r:embed="rId6"/>
        <a:stretch>
          <a:fillRect/>
        </a:stretch>
      </xdr:blipFill>
      <xdr:spPr>
        <a:xfrm>
          <a:off x="8422821" y="19784787"/>
          <a:ext cx="3761558" cy="1944793"/>
        </a:xfrm>
        <a:prstGeom prst="rect">
          <a:avLst/>
        </a:prstGeom>
      </xdr:spPr>
    </xdr:pic>
    <xdr:clientData/>
  </xdr:twoCellAnchor>
  <xdr:twoCellAnchor>
    <xdr:from>
      <xdr:col>13</xdr:col>
      <xdr:colOff>333307</xdr:colOff>
      <xdr:row>92</xdr:row>
      <xdr:rowOff>190499</xdr:rowOff>
    </xdr:from>
    <xdr:to>
      <xdr:col>15</xdr:col>
      <xdr:colOff>390456</xdr:colOff>
      <xdr:row>94</xdr:row>
      <xdr:rowOff>118222</xdr:rowOff>
    </xdr:to>
    <xdr:sp macro="" textlink="">
      <xdr:nvSpPr>
        <xdr:cNvPr id="84" name="正方形/長方形 83">
          <a:extLst>
            <a:ext uri="{FF2B5EF4-FFF2-40B4-BE49-F238E27FC236}">
              <a16:creationId xmlns:a16="http://schemas.microsoft.com/office/drawing/2014/main" id="{B2D55D8E-C909-4180-B3F7-9CC5B0312469}"/>
            </a:ext>
          </a:extLst>
        </xdr:cNvPr>
        <xdr:cNvSpPr/>
      </xdr:nvSpPr>
      <xdr:spPr>
        <a:xfrm>
          <a:off x="9177950" y="22723928"/>
          <a:ext cx="1417863" cy="417580"/>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DAC228_T0_CH0</a:t>
          </a:r>
          <a:endParaRPr kumimoji="1" lang="ja-JP" altLang="en-US" sz="1100">
            <a:solidFill>
              <a:schemeClr val="tx1"/>
            </a:solidFill>
          </a:endParaRPr>
        </a:p>
      </xdr:txBody>
    </xdr:sp>
    <xdr:clientData/>
  </xdr:twoCellAnchor>
  <xdr:twoCellAnchor>
    <xdr:from>
      <xdr:col>12</xdr:col>
      <xdr:colOff>232825</xdr:colOff>
      <xdr:row>92</xdr:row>
      <xdr:rowOff>228543</xdr:rowOff>
    </xdr:from>
    <xdr:to>
      <xdr:col>13</xdr:col>
      <xdr:colOff>326950</xdr:colOff>
      <xdr:row>94</xdr:row>
      <xdr:rowOff>67324</xdr:rowOff>
    </xdr:to>
    <xdr:sp macro="" textlink="">
      <xdr:nvSpPr>
        <xdr:cNvPr id="86" name="正方形/長方形 85">
          <a:extLst>
            <a:ext uri="{FF2B5EF4-FFF2-40B4-BE49-F238E27FC236}">
              <a16:creationId xmlns:a16="http://schemas.microsoft.com/office/drawing/2014/main" id="{6D7249AF-AE69-4DB8-B9FB-67A88C5FBD5D}"/>
            </a:ext>
          </a:extLst>
        </xdr:cNvPr>
        <xdr:cNvSpPr/>
      </xdr:nvSpPr>
      <xdr:spPr>
        <a:xfrm>
          <a:off x="8397111" y="22761972"/>
          <a:ext cx="774482" cy="32863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0</a:t>
          </a:r>
        </a:p>
      </xdr:txBody>
    </xdr:sp>
    <xdr:clientData/>
  </xdr:twoCellAnchor>
  <xdr:twoCellAnchor>
    <xdr:from>
      <xdr:col>14</xdr:col>
      <xdr:colOff>327746</xdr:colOff>
      <xdr:row>95</xdr:row>
      <xdr:rowOff>47396</xdr:rowOff>
    </xdr:from>
    <xdr:to>
      <xdr:col>15</xdr:col>
      <xdr:colOff>390669</xdr:colOff>
      <xdr:row>96</xdr:row>
      <xdr:rowOff>222147</xdr:rowOff>
    </xdr:to>
    <xdr:sp macro="" textlink="">
      <xdr:nvSpPr>
        <xdr:cNvPr id="92" name="正方形/長方形 91">
          <a:extLst>
            <a:ext uri="{FF2B5EF4-FFF2-40B4-BE49-F238E27FC236}">
              <a16:creationId xmlns:a16="http://schemas.microsoft.com/office/drawing/2014/main" id="{F3513CCB-1105-4746-A706-08B1D6A291E2}"/>
            </a:ext>
          </a:extLst>
        </xdr:cNvPr>
        <xdr:cNvSpPr/>
      </xdr:nvSpPr>
      <xdr:spPr>
        <a:xfrm>
          <a:off x="9852746" y="23315610"/>
          <a:ext cx="743280" cy="419680"/>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PMOD 0</a:t>
          </a:r>
          <a:endParaRPr kumimoji="1" lang="ja-JP" altLang="en-US" sz="1100">
            <a:solidFill>
              <a:schemeClr val="tx1"/>
            </a:solidFill>
          </a:endParaRPr>
        </a:p>
      </xdr:txBody>
    </xdr:sp>
    <xdr:clientData/>
  </xdr:twoCellAnchor>
  <xdr:twoCellAnchor>
    <xdr:from>
      <xdr:col>11</xdr:col>
      <xdr:colOff>517071</xdr:colOff>
      <xdr:row>95</xdr:row>
      <xdr:rowOff>90855</xdr:rowOff>
    </xdr:from>
    <xdr:to>
      <xdr:col>14</xdr:col>
      <xdr:colOff>341400</xdr:colOff>
      <xdr:row>96</xdr:row>
      <xdr:rowOff>158798</xdr:rowOff>
    </xdr:to>
    <xdr:sp macro="" textlink="">
      <xdr:nvSpPr>
        <xdr:cNvPr id="93" name="正方形/長方形 92">
          <a:extLst>
            <a:ext uri="{FF2B5EF4-FFF2-40B4-BE49-F238E27FC236}">
              <a16:creationId xmlns:a16="http://schemas.microsoft.com/office/drawing/2014/main" id="{1ED440C4-86FD-44B3-AA55-13D48B3BCDEB}"/>
            </a:ext>
          </a:extLst>
        </xdr:cNvPr>
        <xdr:cNvSpPr/>
      </xdr:nvSpPr>
      <xdr:spPr>
        <a:xfrm>
          <a:off x="8001000" y="23359069"/>
          <a:ext cx="1865400" cy="31287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ja-JP" altLang="en-US" sz="1000">
              <a:solidFill>
                <a:schemeClr val="tx1"/>
              </a:solidFill>
            </a:rPr>
            <a:t>ディジタル出力モジュール </a:t>
          </a:r>
          <a:r>
            <a:rPr kumimoji="1" lang="en-US" altLang="ja-JP" sz="1000">
              <a:solidFill>
                <a:schemeClr val="tx1"/>
              </a:solidFill>
            </a:rPr>
            <a:t>0</a:t>
          </a:r>
        </a:p>
      </xdr:txBody>
    </xdr:sp>
    <xdr:clientData/>
  </xdr:twoCellAnchor>
  <xdr:twoCellAnchor>
    <xdr:from>
      <xdr:col>15</xdr:col>
      <xdr:colOff>383342</xdr:colOff>
      <xdr:row>93</xdr:row>
      <xdr:rowOff>163482</xdr:rowOff>
    </xdr:from>
    <xdr:to>
      <xdr:col>15</xdr:col>
      <xdr:colOff>666526</xdr:colOff>
      <xdr:row>93</xdr:row>
      <xdr:rowOff>163482</xdr:rowOff>
    </xdr:to>
    <xdr:cxnSp macro="">
      <xdr:nvCxnSpPr>
        <xdr:cNvPr id="94" name="直線コネクタ 93">
          <a:extLst>
            <a:ext uri="{FF2B5EF4-FFF2-40B4-BE49-F238E27FC236}">
              <a16:creationId xmlns:a16="http://schemas.microsoft.com/office/drawing/2014/main" id="{A15062E5-2D06-4793-B20E-60600C02E67D}"/>
            </a:ext>
          </a:extLst>
        </xdr:cNvPr>
        <xdr:cNvCxnSpPr/>
      </xdr:nvCxnSpPr>
      <xdr:spPr>
        <a:xfrm>
          <a:off x="10588699" y="22941839"/>
          <a:ext cx="283184"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384806</xdr:colOff>
      <xdr:row>96</xdr:row>
      <xdr:rowOff>20405</xdr:rowOff>
    </xdr:from>
    <xdr:to>
      <xdr:col>15</xdr:col>
      <xdr:colOff>667990</xdr:colOff>
      <xdr:row>96</xdr:row>
      <xdr:rowOff>20405</xdr:rowOff>
    </xdr:to>
    <xdr:cxnSp macro="">
      <xdr:nvCxnSpPr>
        <xdr:cNvPr id="96" name="直線コネクタ 95">
          <a:extLst>
            <a:ext uri="{FF2B5EF4-FFF2-40B4-BE49-F238E27FC236}">
              <a16:creationId xmlns:a16="http://schemas.microsoft.com/office/drawing/2014/main" id="{EFB1FD47-5105-43E9-A665-ADC2362187A7}"/>
            </a:ext>
          </a:extLst>
        </xdr:cNvPr>
        <xdr:cNvCxnSpPr/>
      </xdr:nvCxnSpPr>
      <xdr:spPr>
        <a:xfrm>
          <a:off x="10590163" y="23533548"/>
          <a:ext cx="283184"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669147</xdr:colOff>
      <xdr:row>92</xdr:row>
      <xdr:rowOff>191816</xdr:rowOff>
    </xdr:from>
    <xdr:to>
      <xdr:col>17</xdr:col>
      <xdr:colOff>568196</xdr:colOff>
      <xdr:row>96</xdr:row>
      <xdr:rowOff>231322</xdr:rowOff>
    </xdr:to>
    <xdr:sp macro="" textlink="">
      <xdr:nvSpPr>
        <xdr:cNvPr id="97" name="正方形/長方形 96">
          <a:extLst>
            <a:ext uri="{FF2B5EF4-FFF2-40B4-BE49-F238E27FC236}">
              <a16:creationId xmlns:a16="http://schemas.microsoft.com/office/drawing/2014/main" id="{6C9040C5-84BE-4B11-9004-3D547F86B635}"/>
            </a:ext>
          </a:extLst>
        </xdr:cNvPr>
        <xdr:cNvSpPr/>
      </xdr:nvSpPr>
      <xdr:spPr>
        <a:xfrm>
          <a:off x="10874504" y="22725245"/>
          <a:ext cx="1259763" cy="1019220"/>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オシロスコープ</a:t>
          </a:r>
        </a:p>
      </xdr:txBody>
    </xdr:sp>
    <xdr:clientData/>
  </xdr:twoCellAnchor>
  <xdr:twoCellAnchor>
    <xdr:from>
      <xdr:col>6</xdr:col>
      <xdr:colOff>162806</xdr:colOff>
      <xdr:row>101</xdr:row>
      <xdr:rowOff>32472</xdr:rowOff>
    </xdr:from>
    <xdr:to>
      <xdr:col>8</xdr:col>
      <xdr:colOff>224716</xdr:colOff>
      <xdr:row>102</xdr:row>
      <xdr:rowOff>183598</xdr:rowOff>
    </xdr:to>
    <xdr:sp macro="" textlink="">
      <xdr:nvSpPr>
        <xdr:cNvPr id="85" name="正方形/長方形 84">
          <a:extLst>
            <a:ext uri="{FF2B5EF4-FFF2-40B4-BE49-F238E27FC236}">
              <a16:creationId xmlns:a16="http://schemas.microsoft.com/office/drawing/2014/main" id="{E65B71C6-D326-4B29-A23B-16B58708199B}"/>
            </a:ext>
          </a:extLst>
        </xdr:cNvPr>
        <xdr:cNvSpPr/>
      </xdr:nvSpPr>
      <xdr:spPr>
        <a:xfrm>
          <a:off x="4319170" y="24520381"/>
          <a:ext cx="1447364" cy="393581"/>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DAC228_T0_CH0</a:t>
          </a:r>
          <a:endParaRPr kumimoji="1" lang="ja-JP" altLang="en-US" sz="1100">
            <a:solidFill>
              <a:schemeClr val="tx1"/>
            </a:solidFill>
          </a:endParaRPr>
        </a:p>
      </xdr:txBody>
    </xdr:sp>
    <xdr:clientData/>
  </xdr:twoCellAnchor>
  <xdr:twoCellAnchor>
    <xdr:from>
      <xdr:col>6</xdr:col>
      <xdr:colOff>155960</xdr:colOff>
      <xdr:row>103</xdr:row>
      <xdr:rowOff>30092</xdr:rowOff>
    </xdr:from>
    <xdr:to>
      <xdr:col>8</xdr:col>
      <xdr:colOff>217870</xdr:colOff>
      <xdr:row>104</xdr:row>
      <xdr:rowOff>183239</xdr:rowOff>
    </xdr:to>
    <xdr:sp macro="" textlink="">
      <xdr:nvSpPr>
        <xdr:cNvPr id="87" name="正方形/長方形 86">
          <a:extLst>
            <a:ext uri="{FF2B5EF4-FFF2-40B4-BE49-F238E27FC236}">
              <a16:creationId xmlns:a16="http://schemas.microsoft.com/office/drawing/2014/main" id="{83B6D633-57CC-4FA6-9A5E-0D9FAA651EB7}"/>
            </a:ext>
          </a:extLst>
        </xdr:cNvPr>
        <xdr:cNvSpPr/>
      </xdr:nvSpPr>
      <xdr:spPr>
        <a:xfrm>
          <a:off x="4312324" y="25002910"/>
          <a:ext cx="1447364" cy="395602"/>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DAC228_T0_CH1</a:t>
          </a:r>
          <a:endParaRPr kumimoji="1" lang="ja-JP" altLang="en-US" sz="1100">
            <a:solidFill>
              <a:schemeClr val="tx1"/>
            </a:solidFill>
          </a:endParaRPr>
        </a:p>
      </xdr:txBody>
    </xdr:sp>
    <xdr:clientData/>
  </xdr:twoCellAnchor>
  <xdr:twoCellAnchor>
    <xdr:from>
      <xdr:col>6</xdr:col>
      <xdr:colOff>162202</xdr:colOff>
      <xdr:row>105</xdr:row>
      <xdr:rowOff>36182</xdr:rowOff>
    </xdr:from>
    <xdr:to>
      <xdr:col>8</xdr:col>
      <xdr:colOff>224112</xdr:colOff>
      <xdr:row>106</xdr:row>
      <xdr:rowOff>187309</xdr:rowOff>
    </xdr:to>
    <xdr:sp macro="" textlink="">
      <xdr:nvSpPr>
        <xdr:cNvPr id="95" name="正方形/長方形 94">
          <a:extLst>
            <a:ext uri="{FF2B5EF4-FFF2-40B4-BE49-F238E27FC236}">
              <a16:creationId xmlns:a16="http://schemas.microsoft.com/office/drawing/2014/main" id="{AC277E4E-D474-42BE-81B3-6557AA2A9243}"/>
            </a:ext>
          </a:extLst>
        </xdr:cNvPr>
        <xdr:cNvSpPr/>
      </xdr:nvSpPr>
      <xdr:spPr>
        <a:xfrm>
          <a:off x="4318566" y="25493909"/>
          <a:ext cx="1447364" cy="393582"/>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DAC228_T0_CH2</a:t>
          </a:r>
          <a:endParaRPr kumimoji="1" lang="ja-JP" altLang="en-US" sz="1100">
            <a:solidFill>
              <a:schemeClr val="tx1"/>
            </a:solidFill>
          </a:endParaRPr>
        </a:p>
      </xdr:txBody>
    </xdr:sp>
    <xdr:clientData/>
  </xdr:twoCellAnchor>
  <xdr:twoCellAnchor>
    <xdr:from>
      <xdr:col>6</xdr:col>
      <xdr:colOff>161925</xdr:colOff>
      <xdr:row>107</xdr:row>
      <xdr:rowOff>39212</xdr:rowOff>
    </xdr:from>
    <xdr:to>
      <xdr:col>8</xdr:col>
      <xdr:colOff>223835</xdr:colOff>
      <xdr:row>108</xdr:row>
      <xdr:rowOff>193519</xdr:rowOff>
    </xdr:to>
    <xdr:sp macro="" textlink="">
      <xdr:nvSpPr>
        <xdr:cNvPr id="102" name="正方形/長方形 101">
          <a:extLst>
            <a:ext uri="{FF2B5EF4-FFF2-40B4-BE49-F238E27FC236}">
              <a16:creationId xmlns:a16="http://schemas.microsoft.com/office/drawing/2014/main" id="{E8F1A337-FF23-4CEA-89CF-E30E743F5DC3}"/>
            </a:ext>
          </a:extLst>
        </xdr:cNvPr>
        <xdr:cNvSpPr/>
      </xdr:nvSpPr>
      <xdr:spPr>
        <a:xfrm>
          <a:off x="4318289" y="25981848"/>
          <a:ext cx="1447364" cy="396762"/>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DAC228_T0_CH3</a:t>
          </a:r>
          <a:endParaRPr kumimoji="1" lang="ja-JP" altLang="en-US" sz="1100">
            <a:solidFill>
              <a:schemeClr val="tx1"/>
            </a:solidFill>
          </a:endParaRPr>
        </a:p>
      </xdr:txBody>
    </xdr:sp>
    <xdr:clientData/>
  </xdr:twoCellAnchor>
  <xdr:twoCellAnchor>
    <xdr:from>
      <xdr:col>6</xdr:col>
      <xdr:colOff>162149</xdr:colOff>
      <xdr:row>109</xdr:row>
      <xdr:rowOff>50537</xdr:rowOff>
    </xdr:from>
    <xdr:to>
      <xdr:col>8</xdr:col>
      <xdr:colOff>224059</xdr:colOff>
      <xdr:row>110</xdr:row>
      <xdr:rowOff>212830</xdr:rowOff>
    </xdr:to>
    <xdr:sp macro="" textlink="">
      <xdr:nvSpPr>
        <xdr:cNvPr id="103" name="正方形/長方形 102">
          <a:extLst>
            <a:ext uri="{FF2B5EF4-FFF2-40B4-BE49-F238E27FC236}">
              <a16:creationId xmlns:a16="http://schemas.microsoft.com/office/drawing/2014/main" id="{A0213B7D-0CA7-42F6-96CC-7D4532595B71}"/>
            </a:ext>
          </a:extLst>
        </xdr:cNvPr>
        <xdr:cNvSpPr/>
      </xdr:nvSpPr>
      <xdr:spPr>
        <a:xfrm>
          <a:off x="4318513" y="26478082"/>
          <a:ext cx="1447364" cy="404748"/>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DAC229_T1_CH0</a:t>
          </a:r>
          <a:endParaRPr kumimoji="1" lang="ja-JP" altLang="en-US" sz="1100">
            <a:solidFill>
              <a:schemeClr val="tx1"/>
            </a:solidFill>
          </a:endParaRPr>
        </a:p>
      </xdr:txBody>
    </xdr:sp>
    <xdr:clientData/>
  </xdr:twoCellAnchor>
  <xdr:twoCellAnchor>
    <xdr:from>
      <xdr:col>6</xdr:col>
      <xdr:colOff>161872</xdr:colOff>
      <xdr:row>111</xdr:row>
      <xdr:rowOff>48155</xdr:rowOff>
    </xdr:from>
    <xdr:to>
      <xdr:col>8</xdr:col>
      <xdr:colOff>223782</xdr:colOff>
      <xdr:row>112</xdr:row>
      <xdr:rowOff>212471</xdr:rowOff>
    </xdr:to>
    <xdr:sp macro="" textlink="">
      <xdr:nvSpPr>
        <xdr:cNvPr id="104" name="正方形/長方形 103">
          <a:extLst>
            <a:ext uri="{FF2B5EF4-FFF2-40B4-BE49-F238E27FC236}">
              <a16:creationId xmlns:a16="http://schemas.microsoft.com/office/drawing/2014/main" id="{F2223C22-72DE-4360-847E-9C2D7524A476}"/>
            </a:ext>
          </a:extLst>
        </xdr:cNvPr>
        <xdr:cNvSpPr/>
      </xdr:nvSpPr>
      <xdr:spPr>
        <a:xfrm>
          <a:off x="4318236" y="26960610"/>
          <a:ext cx="1447364" cy="406770"/>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DAC229_T1_CH1</a:t>
          </a:r>
          <a:endParaRPr kumimoji="1" lang="ja-JP" altLang="en-US" sz="1100">
            <a:solidFill>
              <a:schemeClr val="tx1"/>
            </a:solidFill>
          </a:endParaRPr>
        </a:p>
      </xdr:txBody>
    </xdr:sp>
    <xdr:clientData/>
  </xdr:twoCellAnchor>
  <xdr:twoCellAnchor>
    <xdr:from>
      <xdr:col>6</xdr:col>
      <xdr:colOff>154976</xdr:colOff>
      <xdr:row>113</xdr:row>
      <xdr:rowOff>54246</xdr:rowOff>
    </xdr:from>
    <xdr:to>
      <xdr:col>8</xdr:col>
      <xdr:colOff>216886</xdr:colOff>
      <xdr:row>114</xdr:row>
      <xdr:rowOff>216540</xdr:rowOff>
    </xdr:to>
    <xdr:sp macro="" textlink="">
      <xdr:nvSpPr>
        <xdr:cNvPr id="105" name="正方形/長方形 104">
          <a:extLst>
            <a:ext uri="{FF2B5EF4-FFF2-40B4-BE49-F238E27FC236}">
              <a16:creationId xmlns:a16="http://schemas.microsoft.com/office/drawing/2014/main" id="{9BDCAC4D-35C1-44C0-92CA-0B7EE480DE22}"/>
            </a:ext>
          </a:extLst>
        </xdr:cNvPr>
        <xdr:cNvSpPr/>
      </xdr:nvSpPr>
      <xdr:spPr>
        <a:xfrm>
          <a:off x="4311340" y="27451610"/>
          <a:ext cx="1447364" cy="404748"/>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DAC229_T1_CH2</a:t>
          </a:r>
          <a:endParaRPr kumimoji="1" lang="ja-JP" altLang="en-US" sz="1100">
            <a:solidFill>
              <a:schemeClr val="tx1"/>
            </a:solidFill>
          </a:endParaRPr>
        </a:p>
      </xdr:txBody>
    </xdr:sp>
    <xdr:clientData/>
  </xdr:twoCellAnchor>
  <xdr:twoCellAnchor>
    <xdr:from>
      <xdr:col>6</xdr:col>
      <xdr:colOff>161268</xdr:colOff>
      <xdr:row>115</xdr:row>
      <xdr:rowOff>61605</xdr:rowOff>
    </xdr:from>
    <xdr:to>
      <xdr:col>8</xdr:col>
      <xdr:colOff>223178</xdr:colOff>
      <xdr:row>116</xdr:row>
      <xdr:rowOff>222750</xdr:rowOff>
    </xdr:to>
    <xdr:sp macro="" textlink="">
      <xdr:nvSpPr>
        <xdr:cNvPr id="106" name="正方形/長方形 105">
          <a:extLst>
            <a:ext uri="{FF2B5EF4-FFF2-40B4-BE49-F238E27FC236}">
              <a16:creationId xmlns:a16="http://schemas.microsoft.com/office/drawing/2014/main" id="{B04D8DF5-D71D-4645-A0E5-5CC762390084}"/>
            </a:ext>
          </a:extLst>
        </xdr:cNvPr>
        <xdr:cNvSpPr/>
      </xdr:nvSpPr>
      <xdr:spPr>
        <a:xfrm>
          <a:off x="4317632" y="27943878"/>
          <a:ext cx="1447364" cy="403599"/>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DAC229_T1_CH3</a:t>
          </a:r>
          <a:endParaRPr kumimoji="1" lang="ja-JP" altLang="en-US" sz="1100">
            <a:solidFill>
              <a:schemeClr val="tx1"/>
            </a:solidFill>
          </a:endParaRPr>
        </a:p>
      </xdr:txBody>
    </xdr:sp>
    <xdr:clientData/>
  </xdr:twoCellAnchor>
  <xdr:twoCellAnchor>
    <xdr:from>
      <xdr:col>5</xdr:col>
      <xdr:colOff>67766</xdr:colOff>
      <xdr:row>101</xdr:row>
      <xdr:rowOff>77568</xdr:rowOff>
    </xdr:from>
    <xdr:to>
      <xdr:col>6</xdr:col>
      <xdr:colOff>156449</xdr:colOff>
      <xdr:row>102</xdr:row>
      <xdr:rowOff>151750</xdr:rowOff>
    </xdr:to>
    <xdr:sp macro="" textlink="">
      <xdr:nvSpPr>
        <xdr:cNvPr id="108" name="正方形/長方形 107">
          <a:extLst>
            <a:ext uri="{FF2B5EF4-FFF2-40B4-BE49-F238E27FC236}">
              <a16:creationId xmlns:a16="http://schemas.microsoft.com/office/drawing/2014/main" id="{0E61E059-06C5-4628-81FC-D8403D384230}"/>
            </a:ext>
          </a:extLst>
        </xdr:cNvPr>
        <xdr:cNvSpPr/>
      </xdr:nvSpPr>
      <xdr:spPr>
        <a:xfrm>
          <a:off x="3531402" y="24565477"/>
          <a:ext cx="781411" cy="31663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0</a:t>
          </a:r>
        </a:p>
      </xdr:txBody>
    </xdr:sp>
    <xdr:clientData/>
  </xdr:twoCellAnchor>
  <xdr:twoCellAnchor>
    <xdr:from>
      <xdr:col>5</xdr:col>
      <xdr:colOff>153491</xdr:colOff>
      <xdr:row>103</xdr:row>
      <xdr:rowOff>78224</xdr:rowOff>
    </xdr:from>
    <xdr:to>
      <xdr:col>6</xdr:col>
      <xdr:colOff>157763</xdr:colOff>
      <xdr:row>104</xdr:row>
      <xdr:rowOff>152407</xdr:rowOff>
    </xdr:to>
    <xdr:sp macro="" textlink="">
      <xdr:nvSpPr>
        <xdr:cNvPr id="110" name="正方形/長方形 109">
          <a:extLst>
            <a:ext uri="{FF2B5EF4-FFF2-40B4-BE49-F238E27FC236}">
              <a16:creationId xmlns:a16="http://schemas.microsoft.com/office/drawing/2014/main" id="{866238BC-5B73-4CD3-B3BC-E7BC7B01728A}"/>
            </a:ext>
          </a:extLst>
        </xdr:cNvPr>
        <xdr:cNvSpPr/>
      </xdr:nvSpPr>
      <xdr:spPr>
        <a:xfrm>
          <a:off x="3617127" y="25051042"/>
          <a:ext cx="697000" cy="31663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1</a:t>
          </a:r>
        </a:p>
      </xdr:txBody>
    </xdr:sp>
    <xdr:clientData/>
  </xdr:twoCellAnchor>
  <xdr:twoCellAnchor>
    <xdr:from>
      <xdr:col>5</xdr:col>
      <xdr:colOff>153492</xdr:colOff>
      <xdr:row>105</xdr:row>
      <xdr:rowOff>84137</xdr:rowOff>
    </xdr:from>
    <xdr:to>
      <xdr:col>6</xdr:col>
      <xdr:colOff>164333</xdr:colOff>
      <xdr:row>106</xdr:row>
      <xdr:rowOff>158319</xdr:rowOff>
    </xdr:to>
    <xdr:sp macro="" textlink="">
      <xdr:nvSpPr>
        <xdr:cNvPr id="111" name="正方形/長方形 110">
          <a:extLst>
            <a:ext uri="{FF2B5EF4-FFF2-40B4-BE49-F238E27FC236}">
              <a16:creationId xmlns:a16="http://schemas.microsoft.com/office/drawing/2014/main" id="{BC278D80-2F4B-4519-ADB7-401192DDC9C4}"/>
            </a:ext>
          </a:extLst>
        </xdr:cNvPr>
        <xdr:cNvSpPr/>
      </xdr:nvSpPr>
      <xdr:spPr>
        <a:xfrm>
          <a:off x="3617128" y="25541864"/>
          <a:ext cx="703569" cy="31663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2</a:t>
          </a:r>
        </a:p>
      </xdr:txBody>
    </xdr:sp>
    <xdr:clientData/>
  </xdr:twoCellAnchor>
  <xdr:twoCellAnchor>
    <xdr:from>
      <xdr:col>5</xdr:col>
      <xdr:colOff>196355</xdr:colOff>
      <xdr:row>107</xdr:row>
      <xdr:rowOff>78224</xdr:rowOff>
    </xdr:from>
    <xdr:to>
      <xdr:col>6</xdr:col>
      <xdr:colOff>165647</xdr:colOff>
      <xdr:row>108</xdr:row>
      <xdr:rowOff>152408</xdr:rowOff>
    </xdr:to>
    <xdr:sp macro="" textlink="">
      <xdr:nvSpPr>
        <xdr:cNvPr id="112" name="正方形/長方形 111">
          <a:extLst>
            <a:ext uri="{FF2B5EF4-FFF2-40B4-BE49-F238E27FC236}">
              <a16:creationId xmlns:a16="http://schemas.microsoft.com/office/drawing/2014/main" id="{9C426014-732E-438D-8171-4318722483F0}"/>
            </a:ext>
          </a:extLst>
        </xdr:cNvPr>
        <xdr:cNvSpPr/>
      </xdr:nvSpPr>
      <xdr:spPr>
        <a:xfrm>
          <a:off x="3659991" y="26020860"/>
          <a:ext cx="662020" cy="31663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3</a:t>
          </a:r>
        </a:p>
      </xdr:txBody>
    </xdr:sp>
    <xdr:clientData/>
  </xdr:twoCellAnchor>
  <xdr:twoCellAnchor>
    <xdr:from>
      <xdr:col>5</xdr:col>
      <xdr:colOff>134442</xdr:colOff>
      <xdr:row>109</xdr:row>
      <xdr:rowOff>95961</xdr:rowOff>
    </xdr:from>
    <xdr:to>
      <xdr:col>6</xdr:col>
      <xdr:colOff>157763</xdr:colOff>
      <xdr:row>110</xdr:row>
      <xdr:rowOff>170144</xdr:rowOff>
    </xdr:to>
    <xdr:sp macro="" textlink="">
      <xdr:nvSpPr>
        <xdr:cNvPr id="113" name="正方形/長方形 112">
          <a:extLst>
            <a:ext uri="{FF2B5EF4-FFF2-40B4-BE49-F238E27FC236}">
              <a16:creationId xmlns:a16="http://schemas.microsoft.com/office/drawing/2014/main" id="{C3620449-9814-460C-9518-DB123AA53B4E}"/>
            </a:ext>
          </a:extLst>
        </xdr:cNvPr>
        <xdr:cNvSpPr/>
      </xdr:nvSpPr>
      <xdr:spPr>
        <a:xfrm>
          <a:off x="3598078" y="26523506"/>
          <a:ext cx="716049" cy="31663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4</a:t>
          </a:r>
        </a:p>
      </xdr:txBody>
    </xdr:sp>
    <xdr:clientData/>
  </xdr:twoCellAnchor>
  <xdr:twoCellAnchor>
    <xdr:from>
      <xdr:col>5</xdr:col>
      <xdr:colOff>124916</xdr:colOff>
      <xdr:row>111</xdr:row>
      <xdr:rowOff>83478</xdr:rowOff>
    </xdr:from>
    <xdr:to>
      <xdr:col>6</xdr:col>
      <xdr:colOff>159076</xdr:colOff>
      <xdr:row>112</xdr:row>
      <xdr:rowOff>157663</xdr:rowOff>
    </xdr:to>
    <xdr:sp macro="" textlink="">
      <xdr:nvSpPr>
        <xdr:cNvPr id="114" name="正方形/長方形 113">
          <a:extLst>
            <a:ext uri="{FF2B5EF4-FFF2-40B4-BE49-F238E27FC236}">
              <a16:creationId xmlns:a16="http://schemas.microsoft.com/office/drawing/2014/main" id="{47FD61A6-0B51-4441-9BDE-F1ACAB17F660}"/>
            </a:ext>
          </a:extLst>
        </xdr:cNvPr>
        <xdr:cNvSpPr/>
      </xdr:nvSpPr>
      <xdr:spPr>
        <a:xfrm>
          <a:off x="3588552" y="26995933"/>
          <a:ext cx="726888" cy="31663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5</a:t>
          </a:r>
        </a:p>
      </xdr:txBody>
    </xdr:sp>
    <xdr:clientData/>
  </xdr:twoCellAnchor>
  <xdr:twoCellAnchor>
    <xdr:from>
      <xdr:col>5</xdr:col>
      <xdr:colOff>134442</xdr:colOff>
      <xdr:row>113</xdr:row>
      <xdr:rowOff>109098</xdr:rowOff>
    </xdr:from>
    <xdr:to>
      <xdr:col>6</xdr:col>
      <xdr:colOff>159077</xdr:colOff>
      <xdr:row>114</xdr:row>
      <xdr:rowOff>183282</xdr:rowOff>
    </xdr:to>
    <xdr:sp macro="" textlink="">
      <xdr:nvSpPr>
        <xdr:cNvPr id="115" name="正方形/長方形 114">
          <a:extLst>
            <a:ext uri="{FF2B5EF4-FFF2-40B4-BE49-F238E27FC236}">
              <a16:creationId xmlns:a16="http://schemas.microsoft.com/office/drawing/2014/main" id="{D9EF0315-EC0D-4BE4-B4AF-45EC7B11D13D}"/>
            </a:ext>
          </a:extLst>
        </xdr:cNvPr>
        <xdr:cNvSpPr/>
      </xdr:nvSpPr>
      <xdr:spPr>
        <a:xfrm>
          <a:off x="3598078" y="27506462"/>
          <a:ext cx="717363" cy="31663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6</a:t>
          </a:r>
        </a:p>
      </xdr:txBody>
    </xdr:sp>
    <xdr:clientData/>
  </xdr:twoCellAnchor>
  <xdr:twoCellAnchor>
    <xdr:from>
      <xdr:col>5</xdr:col>
      <xdr:colOff>124916</xdr:colOff>
      <xdr:row>115</xdr:row>
      <xdr:rowOff>94974</xdr:rowOff>
    </xdr:from>
    <xdr:to>
      <xdr:col>6</xdr:col>
      <xdr:colOff>160390</xdr:colOff>
      <xdr:row>116</xdr:row>
      <xdr:rowOff>170801</xdr:rowOff>
    </xdr:to>
    <xdr:sp macro="" textlink="">
      <xdr:nvSpPr>
        <xdr:cNvPr id="116" name="正方形/長方形 115">
          <a:extLst>
            <a:ext uri="{FF2B5EF4-FFF2-40B4-BE49-F238E27FC236}">
              <a16:creationId xmlns:a16="http://schemas.microsoft.com/office/drawing/2014/main" id="{7192ED61-D824-4EE4-B22C-122F1C497DA9}"/>
            </a:ext>
          </a:extLst>
        </xdr:cNvPr>
        <xdr:cNvSpPr/>
      </xdr:nvSpPr>
      <xdr:spPr>
        <a:xfrm>
          <a:off x="3588552" y="27977247"/>
          <a:ext cx="728202" cy="31828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7</a:t>
          </a:r>
        </a:p>
      </xdr:txBody>
    </xdr:sp>
    <xdr:clientData/>
  </xdr:twoCellAnchor>
  <xdr:twoCellAnchor>
    <xdr:from>
      <xdr:col>8</xdr:col>
      <xdr:colOff>217602</xdr:colOff>
      <xdr:row>102</xdr:row>
      <xdr:rowOff>5453</xdr:rowOff>
    </xdr:from>
    <xdr:to>
      <xdr:col>8</xdr:col>
      <xdr:colOff>496025</xdr:colOff>
      <xdr:row>102</xdr:row>
      <xdr:rowOff>5453</xdr:rowOff>
    </xdr:to>
    <xdr:cxnSp macro="">
      <xdr:nvCxnSpPr>
        <xdr:cNvPr id="117" name="直線コネクタ 116">
          <a:extLst>
            <a:ext uri="{FF2B5EF4-FFF2-40B4-BE49-F238E27FC236}">
              <a16:creationId xmlns:a16="http://schemas.microsoft.com/office/drawing/2014/main" id="{2C33961B-EAEB-4496-A854-3CA7667CA5F8}"/>
            </a:ext>
          </a:extLst>
        </xdr:cNvPr>
        <xdr:cNvCxnSpPr/>
      </xdr:nvCxnSpPr>
      <xdr:spPr>
        <a:xfrm>
          <a:off x="5759420" y="24735817"/>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223463</xdr:colOff>
      <xdr:row>104</xdr:row>
      <xdr:rowOff>12046</xdr:rowOff>
    </xdr:from>
    <xdr:to>
      <xdr:col>8</xdr:col>
      <xdr:colOff>501886</xdr:colOff>
      <xdr:row>104</xdr:row>
      <xdr:rowOff>12046</xdr:rowOff>
    </xdr:to>
    <xdr:cxnSp macro="">
      <xdr:nvCxnSpPr>
        <xdr:cNvPr id="118" name="直線コネクタ 117">
          <a:extLst>
            <a:ext uri="{FF2B5EF4-FFF2-40B4-BE49-F238E27FC236}">
              <a16:creationId xmlns:a16="http://schemas.microsoft.com/office/drawing/2014/main" id="{76AA5356-A971-4EF9-A90F-C7B6214E26CF}"/>
            </a:ext>
          </a:extLst>
        </xdr:cNvPr>
        <xdr:cNvCxnSpPr/>
      </xdr:nvCxnSpPr>
      <xdr:spPr>
        <a:xfrm>
          <a:off x="5765281" y="25227319"/>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223464</xdr:colOff>
      <xdr:row>106</xdr:row>
      <xdr:rowOff>1789</xdr:rowOff>
    </xdr:from>
    <xdr:to>
      <xdr:col>8</xdr:col>
      <xdr:colOff>501887</xdr:colOff>
      <xdr:row>106</xdr:row>
      <xdr:rowOff>1789</xdr:rowOff>
    </xdr:to>
    <xdr:cxnSp macro="">
      <xdr:nvCxnSpPr>
        <xdr:cNvPr id="119" name="直線コネクタ 118">
          <a:extLst>
            <a:ext uri="{FF2B5EF4-FFF2-40B4-BE49-F238E27FC236}">
              <a16:creationId xmlns:a16="http://schemas.microsoft.com/office/drawing/2014/main" id="{B0070639-D936-42B0-B3A3-828869282E39}"/>
            </a:ext>
          </a:extLst>
        </xdr:cNvPr>
        <xdr:cNvCxnSpPr/>
      </xdr:nvCxnSpPr>
      <xdr:spPr>
        <a:xfrm>
          <a:off x="5765282" y="25701971"/>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229325</xdr:colOff>
      <xdr:row>108</xdr:row>
      <xdr:rowOff>4719</xdr:rowOff>
    </xdr:from>
    <xdr:to>
      <xdr:col>8</xdr:col>
      <xdr:colOff>507748</xdr:colOff>
      <xdr:row>108</xdr:row>
      <xdr:rowOff>4719</xdr:rowOff>
    </xdr:to>
    <xdr:cxnSp macro="">
      <xdr:nvCxnSpPr>
        <xdr:cNvPr id="120" name="直線コネクタ 119">
          <a:extLst>
            <a:ext uri="{FF2B5EF4-FFF2-40B4-BE49-F238E27FC236}">
              <a16:creationId xmlns:a16="http://schemas.microsoft.com/office/drawing/2014/main" id="{2F80A0AD-8CB3-4040-93AE-EB585062E327}"/>
            </a:ext>
          </a:extLst>
        </xdr:cNvPr>
        <xdr:cNvCxnSpPr/>
      </xdr:nvCxnSpPr>
      <xdr:spPr>
        <a:xfrm>
          <a:off x="5771143" y="26189810"/>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214671</xdr:colOff>
      <xdr:row>110</xdr:row>
      <xdr:rowOff>9116</xdr:rowOff>
    </xdr:from>
    <xdr:to>
      <xdr:col>8</xdr:col>
      <xdr:colOff>493094</xdr:colOff>
      <xdr:row>110</xdr:row>
      <xdr:rowOff>9116</xdr:rowOff>
    </xdr:to>
    <xdr:cxnSp macro="">
      <xdr:nvCxnSpPr>
        <xdr:cNvPr id="121" name="直線コネクタ 120">
          <a:extLst>
            <a:ext uri="{FF2B5EF4-FFF2-40B4-BE49-F238E27FC236}">
              <a16:creationId xmlns:a16="http://schemas.microsoft.com/office/drawing/2014/main" id="{E046B38F-2A96-44F9-8833-16032974D3F6}"/>
            </a:ext>
          </a:extLst>
        </xdr:cNvPr>
        <xdr:cNvCxnSpPr/>
      </xdr:nvCxnSpPr>
      <xdr:spPr>
        <a:xfrm>
          <a:off x="5756489" y="26679116"/>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220532</xdr:colOff>
      <xdr:row>112</xdr:row>
      <xdr:rowOff>12047</xdr:rowOff>
    </xdr:from>
    <xdr:to>
      <xdr:col>8</xdr:col>
      <xdr:colOff>498955</xdr:colOff>
      <xdr:row>112</xdr:row>
      <xdr:rowOff>12047</xdr:rowOff>
    </xdr:to>
    <xdr:cxnSp macro="">
      <xdr:nvCxnSpPr>
        <xdr:cNvPr id="122" name="直線コネクタ 121">
          <a:extLst>
            <a:ext uri="{FF2B5EF4-FFF2-40B4-BE49-F238E27FC236}">
              <a16:creationId xmlns:a16="http://schemas.microsoft.com/office/drawing/2014/main" id="{59311F03-0234-4692-960F-32952845D62F}"/>
            </a:ext>
          </a:extLst>
        </xdr:cNvPr>
        <xdr:cNvCxnSpPr/>
      </xdr:nvCxnSpPr>
      <xdr:spPr>
        <a:xfrm>
          <a:off x="5762350" y="27166956"/>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220532</xdr:colOff>
      <xdr:row>114</xdr:row>
      <xdr:rowOff>31098</xdr:rowOff>
    </xdr:from>
    <xdr:to>
      <xdr:col>8</xdr:col>
      <xdr:colOff>498955</xdr:colOff>
      <xdr:row>114</xdr:row>
      <xdr:rowOff>31098</xdr:rowOff>
    </xdr:to>
    <xdr:cxnSp macro="">
      <xdr:nvCxnSpPr>
        <xdr:cNvPr id="123" name="直線コネクタ 122">
          <a:extLst>
            <a:ext uri="{FF2B5EF4-FFF2-40B4-BE49-F238E27FC236}">
              <a16:creationId xmlns:a16="http://schemas.microsoft.com/office/drawing/2014/main" id="{CC3AB84A-2ADB-4B47-BE95-13690767B7A7}"/>
            </a:ext>
          </a:extLst>
        </xdr:cNvPr>
        <xdr:cNvCxnSpPr/>
      </xdr:nvCxnSpPr>
      <xdr:spPr>
        <a:xfrm>
          <a:off x="5762350" y="27670916"/>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226393</xdr:colOff>
      <xdr:row>116</xdr:row>
      <xdr:rowOff>34028</xdr:rowOff>
    </xdr:from>
    <xdr:to>
      <xdr:col>8</xdr:col>
      <xdr:colOff>504816</xdr:colOff>
      <xdr:row>116</xdr:row>
      <xdr:rowOff>34028</xdr:rowOff>
    </xdr:to>
    <xdr:cxnSp macro="">
      <xdr:nvCxnSpPr>
        <xdr:cNvPr id="124" name="直線コネクタ 123">
          <a:extLst>
            <a:ext uri="{FF2B5EF4-FFF2-40B4-BE49-F238E27FC236}">
              <a16:creationId xmlns:a16="http://schemas.microsoft.com/office/drawing/2014/main" id="{D94903C1-6208-4140-8F7C-D56375141151}"/>
            </a:ext>
          </a:extLst>
        </xdr:cNvPr>
        <xdr:cNvCxnSpPr/>
      </xdr:nvCxnSpPr>
      <xdr:spPr>
        <a:xfrm>
          <a:off x="5768211" y="28158755"/>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498646</xdr:colOff>
      <xdr:row>101</xdr:row>
      <xdr:rowOff>33787</xdr:rowOff>
    </xdr:from>
    <xdr:to>
      <xdr:col>10</xdr:col>
      <xdr:colOff>416745</xdr:colOff>
      <xdr:row>117</xdr:row>
      <xdr:rowOff>69273</xdr:rowOff>
    </xdr:to>
    <xdr:sp macro="" textlink="">
      <xdr:nvSpPr>
        <xdr:cNvPr id="125" name="正方形/長方形 124">
          <a:extLst>
            <a:ext uri="{FF2B5EF4-FFF2-40B4-BE49-F238E27FC236}">
              <a16:creationId xmlns:a16="http://schemas.microsoft.com/office/drawing/2014/main" id="{C334299C-97C6-4859-8332-8E096A4CA697}"/>
            </a:ext>
          </a:extLst>
        </xdr:cNvPr>
        <xdr:cNvSpPr/>
      </xdr:nvSpPr>
      <xdr:spPr>
        <a:xfrm>
          <a:off x="6040464" y="24521696"/>
          <a:ext cx="1303554" cy="3914759"/>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オシロスコープ</a:t>
          </a:r>
        </a:p>
      </xdr:txBody>
    </xdr:sp>
    <xdr:clientData/>
  </xdr:twoCellAnchor>
  <xdr:twoCellAnchor>
    <xdr:from>
      <xdr:col>4</xdr:col>
      <xdr:colOff>446441</xdr:colOff>
      <xdr:row>123</xdr:row>
      <xdr:rowOff>126288</xdr:rowOff>
    </xdr:from>
    <xdr:to>
      <xdr:col>7</xdr:col>
      <xdr:colOff>107674</xdr:colOff>
      <xdr:row>123</xdr:row>
      <xdr:rowOff>126288</xdr:rowOff>
    </xdr:to>
    <xdr:cxnSp macro="">
      <xdr:nvCxnSpPr>
        <xdr:cNvPr id="141" name="直線コネクタ 140">
          <a:extLst>
            <a:ext uri="{FF2B5EF4-FFF2-40B4-BE49-F238E27FC236}">
              <a16:creationId xmlns:a16="http://schemas.microsoft.com/office/drawing/2014/main" id="{B507FAEC-84AA-44FB-95DE-091AEC6595BA}"/>
            </a:ext>
          </a:extLst>
        </xdr:cNvPr>
        <xdr:cNvCxnSpPr/>
      </xdr:nvCxnSpPr>
      <xdr:spPr>
        <a:xfrm>
          <a:off x="3196267" y="29670353"/>
          <a:ext cx="172360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547014</xdr:colOff>
      <xdr:row>125</xdr:row>
      <xdr:rowOff>156124</xdr:rowOff>
    </xdr:from>
    <xdr:to>
      <xdr:col>7</xdr:col>
      <xdr:colOff>66261</xdr:colOff>
      <xdr:row>125</xdr:row>
      <xdr:rowOff>156124</xdr:rowOff>
    </xdr:to>
    <xdr:cxnSp macro="">
      <xdr:nvCxnSpPr>
        <xdr:cNvPr id="142" name="直線コネクタ 141">
          <a:extLst>
            <a:ext uri="{FF2B5EF4-FFF2-40B4-BE49-F238E27FC236}">
              <a16:creationId xmlns:a16="http://schemas.microsoft.com/office/drawing/2014/main" id="{05118901-0A22-4B04-97B9-148C71A24019}"/>
            </a:ext>
          </a:extLst>
        </xdr:cNvPr>
        <xdr:cNvCxnSpPr/>
      </xdr:nvCxnSpPr>
      <xdr:spPr>
        <a:xfrm>
          <a:off x="3296840" y="30180581"/>
          <a:ext cx="1581617"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64922</xdr:colOff>
      <xdr:row>122</xdr:row>
      <xdr:rowOff>165948</xdr:rowOff>
    </xdr:from>
    <xdr:to>
      <xdr:col>5</xdr:col>
      <xdr:colOff>126832</xdr:colOff>
      <xdr:row>124</xdr:row>
      <xdr:rowOff>85787</xdr:rowOff>
    </xdr:to>
    <xdr:sp macro="" textlink="">
      <xdr:nvSpPr>
        <xdr:cNvPr id="127" name="正方形/長方形 126">
          <a:extLst>
            <a:ext uri="{FF2B5EF4-FFF2-40B4-BE49-F238E27FC236}">
              <a16:creationId xmlns:a16="http://schemas.microsoft.com/office/drawing/2014/main" id="{C1189A9A-36F3-4342-A93A-2975BED2A8FF}"/>
            </a:ext>
          </a:extLst>
        </xdr:cNvPr>
        <xdr:cNvSpPr/>
      </xdr:nvSpPr>
      <xdr:spPr>
        <a:xfrm>
          <a:off x="2122322" y="29217198"/>
          <a:ext cx="1433510" cy="396089"/>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DAC229_T1_CH2</a:t>
          </a:r>
          <a:endParaRPr kumimoji="1" lang="ja-JP" altLang="en-US" sz="1100">
            <a:solidFill>
              <a:schemeClr val="tx1"/>
            </a:solidFill>
          </a:endParaRPr>
        </a:p>
      </xdr:txBody>
    </xdr:sp>
    <xdr:clientData/>
  </xdr:twoCellAnchor>
  <xdr:twoCellAnchor>
    <xdr:from>
      <xdr:col>3</xdr:col>
      <xdr:colOff>71214</xdr:colOff>
      <xdr:row>124</xdr:row>
      <xdr:rowOff>195719</xdr:rowOff>
    </xdr:from>
    <xdr:to>
      <xdr:col>5</xdr:col>
      <xdr:colOff>133124</xdr:colOff>
      <xdr:row>126</xdr:row>
      <xdr:rowOff>114409</xdr:rowOff>
    </xdr:to>
    <xdr:sp macro="" textlink="">
      <xdr:nvSpPr>
        <xdr:cNvPr id="128" name="正方形/長方形 127">
          <a:extLst>
            <a:ext uri="{FF2B5EF4-FFF2-40B4-BE49-F238E27FC236}">
              <a16:creationId xmlns:a16="http://schemas.microsoft.com/office/drawing/2014/main" id="{463821B3-CAA3-460F-B90E-413E13777FFB}"/>
            </a:ext>
          </a:extLst>
        </xdr:cNvPr>
        <xdr:cNvSpPr/>
      </xdr:nvSpPr>
      <xdr:spPr>
        <a:xfrm>
          <a:off x="2121890" y="29375837"/>
          <a:ext cx="1429028" cy="389337"/>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DAC229_T1_CH3</a:t>
          </a:r>
          <a:endParaRPr kumimoji="1" lang="ja-JP" altLang="en-US" sz="1100">
            <a:solidFill>
              <a:schemeClr val="tx1"/>
            </a:solidFill>
          </a:endParaRPr>
        </a:p>
      </xdr:txBody>
    </xdr:sp>
    <xdr:clientData/>
  </xdr:twoCellAnchor>
  <xdr:twoCellAnchor>
    <xdr:from>
      <xdr:col>2</xdr:col>
      <xdr:colOff>44387</xdr:colOff>
      <xdr:row>122</xdr:row>
      <xdr:rowOff>211275</xdr:rowOff>
    </xdr:from>
    <xdr:to>
      <xdr:col>3</xdr:col>
      <xdr:colOff>69023</xdr:colOff>
      <xdr:row>124</xdr:row>
      <xdr:rowOff>43004</xdr:rowOff>
    </xdr:to>
    <xdr:sp macro="" textlink="">
      <xdr:nvSpPr>
        <xdr:cNvPr id="130" name="正方形/長方形 129">
          <a:extLst>
            <a:ext uri="{FF2B5EF4-FFF2-40B4-BE49-F238E27FC236}">
              <a16:creationId xmlns:a16="http://schemas.microsoft.com/office/drawing/2014/main" id="{21BF1508-2BF8-4F94-90A7-2E335C4C472C}"/>
            </a:ext>
          </a:extLst>
        </xdr:cNvPr>
        <xdr:cNvSpPr/>
      </xdr:nvSpPr>
      <xdr:spPr>
        <a:xfrm>
          <a:off x="1415987" y="29262525"/>
          <a:ext cx="710436" cy="30797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6</a:t>
          </a:r>
        </a:p>
      </xdr:txBody>
    </xdr:sp>
    <xdr:clientData/>
  </xdr:twoCellAnchor>
  <xdr:twoCellAnchor>
    <xdr:from>
      <xdr:col>2</xdr:col>
      <xdr:colOff>34861</xdr:colOff>
      <xdr:row>124</xdr:row>
      <xdr:rowOff>229088</xdr:rowOff>
    </xdr:from>
    <xdr:to>
      <xdr:col>3</xdr:col>
      <xdr:colOff>70336</xdr:colOff>
      <xdr:row>126</xdr:row>
      <xdr:rowOff>62460</xdr:rowOff>
    </xdr:to>
    <xdr:sp macro="" textlink="">
      <xdr:nvSpPr>
        <xdr:cNvPr id="131" name="正方形/長方形 130">
          <a:extLst>
            <a:ext uri="{FF2B5EF4-FFF2-40B4-BE49-F238E27FC236}">
              <a16:creationId xmlns:a16="http://schemas.microsoft.com/office/drawing/2014/main" id="{FA694906-7C07-4B2D-BA87-BE8437537270}"/>
            </a:ext>
          </a:extLst>
        </xdr:cNvPr>
        <xdr:cNvSpPr/>
      </xdr:nvSpPr>
      <xdr:spPr>
        <a:xfrm>
          <a:off x="1401979" y="29409206"/>
          <a:ext cx="719033" cy="30401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7</a:t>
          </a:r>
        </a:p>
      </xdr:txBody>
    </xdr:sp>
    <xdr:clientData/>
  </xdr:twoCellAnchor>
  <xdr:twoCellAnchor>
    <xdr:from>
      <xdr:col>6</xdr:col>
      <xdr:colOff>543942</xdr:colOff>
      <xdr:row>122</xdr:row>
      <xdr:rowOff>164964</xdr:rowOff>
    </xdr:from>
    <xdr:to>
      <xdr:col>8</xdr:col>
      <xdr:colOff>605852</xdr:colOff>
      <xdr:row>124</xdr:row>
      <xdr:rowOff>84803</xdr:rowOff>
    </xdr:to>
    <xdr:sp macro="" textlink="">
      <xdr:nvSpPr>
        <xdr:cNvPr id="133" name="正方形/長方形 132">
          <a:extLst>
            <a:ext uri="{FF2B5EF4-FFF2-40B4-BE49-F238E27FC236}">
              <a16:creationId xmlns:a16="http://schemas.microsoft.com/office/drawing/2014/main" id="{2DA0E03D-8E15-4198-9527-8E8AC4404B0F}"/>
            </a:ext>
          </a:extLst>
        </xdr:cNvPr>
        <xdr:cNvSpPr/>
      </xdr:nvSpPr>
      <xdr:spPr>
        <a:xfrm>
          <a:off x="4668681" y="29468834"/>
          <a:ext cx="1436823" cy="400230"/>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ADC224_T0_CH0</a:t>
          </a:r>
          <a:endParaRPr kumimoji="1" lang="ja-JP" altLang="en-US" sz="1100">
            <a:solidFill>
              <a:schemeClr val="tx1"/>
            </a:solidFill>
          </a:endParaRPr>
        </a:p>
      </xdr:txBody>
    </xdr:sp>
    <xdr:clientData/>
  </xdr:twoCellAnchor>
  <xdr:twoCellAnchor>
    <xdr:from>
      <xdr:col>6</xdr:col>
      <xdr:colOff>550234</xdr:colOff>
      <xdr:row>124</xdr:row>
      <xdr:rowOff>188782</xdr:rowOff>
    </xdr:from>
    <xdr:to>
      <xdr:col>8</xdr:col>
      <xdr:colOff>616041</xdr:colOff>
      <xdr:row>126</xdr:row>
      <xdr:rowOff>107472</xdr:rowOff>
    </xdr:to>
    <xdr:sp macro="" textlink="">
      <xdr:nvSpPr>
        <xdr:cNvPr id="134" name="正方形/長方形 133">
          <a:extLst>
            <a:ext uri="{FF2B5EF4-FFF2-40B4-BE49-F238E27FC236}">
              <a16:creationId xmlns:a16="http://schemas.microsoft.com/office/drawing/2014/main" id="{5576E592-71A9-4A32-918A-A7658E5BCCE1}"/>
            </a:ext>
          </a:extLst>
        </xdr:cNvPr>
        <xdr:cNvSpPr/>
      </xdr:nvSpPr>
      <xdr:spPr>
        <a:xfrm>
          <a:off x="4674973" y="29973043"/>
          <a:ext cx="1440720" cy="399081"/>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ADC224_T0_CH1</a:t>
          </a:r>
          <a:endParaRPr kumimoji="1" lang="ja-JP" altLang="en-US" sz="1100">
            <a:solidFill>
              <a:schemeClr val="tx1"/>
            </a:solidFill>
          </a:endParaRPr>
        </a:p>
      </xdr:txBody>
    </xdr:sp>
    <xdr:clientData/>
  </xdr:twoCellAnchor>
  <xdr:twoCellAnchor>
    <xdr:from>
      <xdr:col>8</xdr:col>
      <xdr:colOff>616252</xdr:colOff>
      <xdr:row>122</xdr:row>
      <xdr:rowOff>210291</xdr:rowOff>
    </xdr:from>
    <xdr:to>
      <xdr:col>10</xdr:col>
      <xdr:colOff>384192</xdr:colOff>
      <xdr:row>124</xdr:row>
      <xdr:rowOff>42020</xdr:rowOff>
    </xdr:to>
    <xdr:sp macro="" textlink="">
      <xdr:nvSpPr>
        <xdr:cNvPr id="136" name="正方形/長方形 135">
          <a:extLst>
            <a:ext uri="{FF2B5EF4-FFF2-40B4-BE49-F238E27FC236}">
              <a16:creationId xmlns:a16="http://schemas.microsoft.com/office/drawing/2014/main" id="{4725324F-C649-430F-AF24-6D7D6B73687F}"/>
            </a:ext>
          </a:extLst>
        </xdr:cNvPr>
        <xdr:cNvSpPr/>
      </xdr:nvSpPr>
      <xdr:spPr>
        <a:xfrm>
          <a:off x="6115904" y="29514161"/>
          <a:ext cx="1142853" cy="31212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a:solidFill>
                <a:schemeClr val="tx1"/>
              </a:solidFill>
            </a:rPr>
            <a:t>Capture Unit 0</a:t>
          </a:r>
        </a:p>
      </xdr:txBody>
    </xdr:sp>
    <xdr:clientData/>
  </xdr:twoCellAnchor>
  <xdr:twoCellAnchor>
    <xdr:from>
      <xdr:col>8</xdr:col>
      <xdr:colOff>618632</xdr:colOff>
      <xdr:row>124</xdr:row>
      <xdr:rowOff>222151</xdr:rowOff>
    </xdr:from>
    <xdr:to>
      <xdr:col>10</xdr:col>
      <xdr:colOff>452127</xdr:colOff>
      <xdr:row>126</xdr:row>
      <xdr:rowOff>55523</xdr:rowOff>
    </xdr:to>
    <xdr:sp macro="" textlink="">
      <xdr:nvSpPr>
        <xdr:cNvPr id="137" name="正方形/長方形 136">
          <a:extLst>
            <a:ext uri="{FF2B5EF4-FFF2-40B4-BE49-F238E27FC236}">
              <a16:creationId xmlns:a16="http://schemas.microsoft.com/office/drawing/2014/main" id="{C2D2F0E1-7684-4755-A8DF-05115C93B659}"/>
            </a:ext>
          </a:extLst>
        </xdr:cNvPr>
        <xdr:cNvSpPr/>
      </xdr:nvSpPr>
      <xdr:spPr>
        <a:xfrm>
          <a:off x="6118284" y="30006412"/>
          <a:ext cx="1208408" cy="31376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a:solidFill>
                <a:schemeClr val="tx1"/>
              </a:solidFill>
            </a:rPr>
            <a:t>Capture Unit 1</a:t>
          </a:r>
        </a:p>
      </xdr:txBody>
    </xdr:sp>
    <xdr:clientData/>
  </xdr:twoCellAnchor>
  <xdr:twoCellAnchor>
    <xdr:from>
      <xdr:col>5</xdr:col>
      <xdr:colOff>425725</xdr:colOff>
      <xdr:row>122</xdr:row>
      <xdr:rowOff>226943</xdr:rowOff>
    </xdr:from>
    <xdr:to>
      <xdr:col>6</xdr:col>
      <xdr:colOff>260073</xdr:colOff>
      <xdr:row>124</xdr:row>
      <xdr:rowOff>28160</xdr:rowOff>
    </xdr:to>
    <xdr:sp macro="" textlink="">
      <xdr:nvSpPr>
        <xdr:cNvPr id="147" name="正方形/長方形 146">
          <a:extLst>
            <a:ext uri="{FF2B5EF4-FFF2-40B4-BE49-F238E27FC236}">
              <a16:creationId xmlns:a16="http://schemas.microsoft.com/office/drawing/2014/main" id="{C3984E72-25BF-4739-8E30-EF14F724918C}"/>
            </a:ext>
          </a:extLst>
        </xdr:cNvPr>
        <xdr:cNvSpPr/>
      </xdr:nvSpPr>
      <xdr:spPr>
        <a:xfrm>
          <a:off x="3863008" y="29530813"/>
          <a:ext cx="521804" cy="281608"/>
        </a:xfrm>
        <a:prstGeom prst="rect">
          <a:avLst/>
        </a:prstGeom>
        <a:solidFill>
          <a:schemeClr val="accent6">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-3dB</a:t>
          </a:r>
          <a:endParaRPr kumimoji="1" lang="ja-JP" altLang="en-US" sz="1100">
            <a:solidFill>
              <a:schemeClr val="tx1"/>
            </a:solidFill>
          </a:endParaRPr>
        </a:p>
      </xdr:txBody>
    </xdr:sp>
    <xdr:clientData/>
  </xdr:twoCellAnchor>
  <xdr:twoCellAnchor>
    <xdr:from>
      <xdr:col>5</xdr:col>
      <xdr:colOff>420754</xdr:colOff>
      <xdr:row>125</xdr:row>
      <xdr:rowOff>23194</xdr:rowOff>
    </xdr:from>
    <xdr:to>
      <xdr:col>6</xdr:col>
      <xdr:colOff>255102</xdr:colOff>
      <xdr:row>126</xdr:row>
      <xdr:rowOff>64607</xdr:rowOff>
    </xdr:to>
    <xdr:sp macro="" textlink="">
      <xdr:nvSpPr>
        <xdr:cNvPr id="148" name="正方形/長方形 147">
          <a:extLst>
            <a:ext uri="{FF2B5EF4-FFF2-40B4-BE49-F238E27FC236}">
              <a16:creationId xmlns:a16="http://schemas.microsoft.com/office/drawing/2014/main" id="{B5213D5B-169A-4917-BDB4-1C63A18F3F59}"/>
            </a:ext>
          </a:extLst>
        </xdr:cNvPr>
        <xdr:cNvSpPr/>
      </xdr:nvSpPr>
      <xdr:spPr>
        <a:xfrm>
          <a:off x="3858037" y="30047651"/>
          <a:ext cx="521804" cy="281608"/>
        </a:xfrm>
        <a:prstGeom prst="rect">
          <a:avLst/>
        </a:prstGeom>
        <a:solidFill>
          <a:schemeClr val="accent6">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-3dB</a:t>
          </a:r>
          <a:endParaRPr kumimoji="1" lang="ja-JP" altLang="en-US" sz="1100">
            <a:solidFill>
              <a:schemeClr val="tx1"/>
            </a:solidFill>
          </a:endParaRPr>
        </a:p>
      </xdr:txBody>
    </xdr:sp>
    <xdr:clientData/>
  </xdr:twoCellAnchor>
  <xdr:twoCellAnchor>
    <xdr:from>
      <xdr:col>4</xdr:col>
      <xdr:colOff>463494</xdr:colOff>
      <xdr:row>132</xdr:row>
      <xdr:rowOff>103257</xdr:rowOff>
    </xdr:from>
    <xdr:to>
      <xdr:col>7</xdr:col>
      <xdr:colOff>124727</xdr:colOff>
      <xdr:row>132</xdr:row>
      <xdr:rowOff>103257</xdr:rowOff>
    </xdr:to>
    <xdr:cxnSp macro="">
      <xdr:nvCxnSpPr>
        <xdr:cNvPr id="149" name="直線コネクタ 148">
          <a:extLst>
            <a:ext uri="{FF2B5EF4-FFF2-40B4-BE49-F238E27FC236}">
              <a16:creationId xmlns:a16="http://schemas.microsoft.com/office/drawing/2014/main" id="{7E6F8045-6740-428E-861E-CAC2C124B365}"/>
            </a:ext>
          </a:extLst>
        </xdr:cNvPr>
        <xdr:cNvCxnSpPr/>
      </xdr:nvCxnSpPr>
      <xdr:spPr>
        <a:xfrm>
          <a:off x="3218417" y="32019334"/>
          <a:ext cx="1727425"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564067</xdr:colOff>
      <xdr:row>134</xdr:row>
      <xdr:rowOff>133093</xdr:rowOff>
    </xdr:from>
    <xdr:to>
      <xdr:col>7</xdr:col>
      <xdr:colOff>83314</xdr:colOff>
      <xdr:row>134</xdr:row>
      <xdr:rowOff>133093</xdr:rowOff>
    </xdr:to>
    <xdr:cxnSp macro="">
      <xdr:nvCxnSpPr>
        <xdr:cNvPr id="150" name="直線コネクタ 149">
          <a:extLst>
            <a:ext uri="{FF2B5EF4-FFF2-40B4-BE49-F238E27FC236}">
              <a16:creationId xmlns:a16="http://schemas.microsoft.com/office/drawing/2014/main" id="{B5E8291E-62F5-482D-86A6-B096D43C622A}"/>
            </a:ext>
          </a:extLst>
        </xdr:cNvPr>
        <xdr:cNvCxnSpPr/>
      </xdr:nvCxnSpPr>
      <xdr:spPr>
        <a:xfrm>
          <a:off x="3318990" y="32532747"/>
          <a:ext cx="1585439"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81975</xdr:colOff>
      <xdr:row>131</xdr:row>
      <xdr:rowOff>142918</xdr:rowOff>
    </xdr:from>
    <xdr:to>
      <xdr:col>5</xdr:col>
      <xdr:colOff>143885</xdr:colOff>
      <xdr:row>133</xdr:row>
      <xdr:rowOff>62757</xdr:rowOff>
    </xdr:to>
    <xdr:sp macro="" textlink="">
      <xdr:nvSpPr>
        <xdr:cNvPr id="151" name="正方形/長方形 150">
          <a:extLst>
            <a:ext uri="{FF2B5EF4-FFF2-40B4-BE49-F238E27FC236}">
              <a16:creationId xmlns:a16="http://schemas.microsoft.com/office/drawing/2014/main" id="{16DE2937-219D-4B6A-93F9-573CFC6DF892}"/>
            </a:ext>
          </a:extLst>
        </xdr:cNvPr>
        <xdr:cNvSpPr/>
      </xdr:nvSpPr>
      <xdr:spPr>
        <a:xfrm>
          <a:off x="2148167" y="31817206"/>
          <a:ext cx="1439372" cy="403416"/>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DAC229_T1_CH2</a:t>
          </a:r>
          <a:endParaRPr kumimoji="1" lang="ja-JP" altLang="en-US" sz="1100">
            <a:solidFill>
              <a:schemeClr val="tx1"/>
            </a:solidFill>
          </a:endParaRPr>
        </a:p>
      </xdr:txBody>
    </xdr:sp>
    <xdr:clientData/>
  </xdr:twoCellAnchor>
  <xdr:twoCellAnchor>
    <xdr:from>
      <xdr:col>3</xdr:col>
      <xdr:colOff>88267</xdr:colOff>
      <xdr:row>133</xdr:row>
      <xdr:rowOff>172689</xdr:rowOff>
    </xdr:from>
    <xdr:to>
      <xdr:col>5</xdr:col>
      <xdr:colOff>150177</xdr:colOff>
      <xdr:row>135</xdr:row>
      <xdr:rowOff>91379</xdr:rowOff>
    </xdr:to>
    <xdr:sp macro="" textlink="">
      <xdr:nvSpPr>
        <xdr:cNvPr id="152" name="正方形/長方形 151">
          <a:extLst>
            <a:ext uri="{FF2B5EF4-FFF2-40B4-BE49-F238E27FC236}">
              <a16:creationId xmlns:a16="http://schemas.microsoft.com/office/drawing/2014/main" id="{1EB94EB9-98A7-4404-9514-9F0D0C9AD52A}"/>
            </a:ext>
          </a:extLst>
        </xdr:cNvPr>
        <xdr:cNvSpPr/>
      </xdr:nvSpPr>
      <xdr:spPr>
        <a:xfrm>
          <a:off x="2154459" y="32330554"/>
          <a:ext cx="1439372" cy="402267"/>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DAC229_T1_CH3</a:t>
          </a:r>
          <a:endParaRPr kumimoji="1" lang="ja-JP" altLang="en-US" sz="1100">
            <a:solidFill>
              <a:schemeClr val="tx1"/>
            </a:solidFill>
          </a:endParaRPr>
        </a:p>
      </xdr:txBody>
    </xdr:sp>
    <xdr:clientData/>
  </xdr:twoCellAnchor>
  <xdr:twoCellAnchor>
    <xdr:from>
      <xdr:col>2</xdr:col>
      <xdr:colOff>61440</xdr:colOff>
      <xdr:row>129</xdr:row>
      <xdr:rowOff>118563</xdr:rowOff>
    </xdr:from>
    <xdr:to>
      <xdr:col>3</xdr:col>
      <xdr:colOff>84762</xdr:colOff>
      <xdr:row>130</xdr:row>
      <xdr:rowOff>190488</xdr:rowOff>
    </xdr:to>
    <xdr:sp macro="" textlink="">
      <xdr:nvSpPr>
        <xdr:cNvPr id="153" name="正方形/長方形 152">
          <a:extLst>
            <a:ext uri="{FF2B5EF4-FFF2-40B4-BE49-F238E27FC236}">
              <a16:creationId xmlns:a16="http://schemas.microsoft.com/office/drawing/2014/main" id="{568B5D97-93CD-4671-8897-9719DADDFB4E}"/>
            </a:ext>
          </a:extLst>
        </xdr:cNvPr>
        <xdr:cNvSpPr/>
      </xdr:nvSpPr>
      <xdr:spPr>
        <a:xfrm>
          <a:off x="1438902" y="31309275"/>
          <a:ext cx="712052" cy="31371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0</a:t>
          </a:r>
        </a:p>
      </xdr:txBody>
    </xdr:sp>
    <xdr:clientData/>
  </xdr:twoCellAnchor>
  <xdr:twoCellAnchor>
    <xdr:from>
      <xdr:col>2</xdr:col>
      <xdr:colOff>61440</xdr:colOff>
      <xdr:row>131</xdr:row>
      <xdr:rowOff>194710</xdr:rowOff>
    </xdr:from>
    <xdr:to>
      <xdr:col>3</xdr:col>
      <xdr:colOff>86076</xdr:colOff>
      <xdr:row>133</xdr:row>
      <xdr:rowOff>19974</xdr:rowOff>
    </xdr:to>
    <xdr:sp macro="" textlink="">
      <xdr:nvSpPr>
        <xdr:cNvPr id="154" name="正方形/長方形 153">
          <a:extLst>
            <a:ext uri="{FF2B5EF4-FFF2-40B4-BE49-F238E27FC236}">
              <a16:creationId xmlns:a16="http://schemas.microsoft.com/office/drawing/2014/main" id="{FAADDD7C-5278-419A-AADD-846B9440585B}"/>
            </a:ext>
          </a:extLst>
        </xdr:cNvPr>
        <xdr:cNvSpPr/>
      </xdr:nvSpPr>
      <xdr:spPr>
        <a:xfrm>
          <a:off x="1438902" y="31868998"/>
          <a:ext cx="713366" cy="30884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6</a:t>
          </a:r>
        </a:p>
      </xdr:txBody>
    </xdr:sp>
    <xdr:clientData/>
  </xdr:twoCellAnchor>
  <xdr:twoCellAnchor>
    <xdr:from>
      <xdr:col>2</xdr:col>
      <xdr:colOff>51914</xdr:colOff>
      <xdr:row>133</xdr:row>
      <xdr:rowOff>212523</xdr:rowOff>
    </xdr:from>
    <xdr:to>
      <xdr:col>3</xdr:col>
      <xdr:colOff>87389</xdr:colOff>
      <xdr:row>135</xdr:row>
      <xdr:rowOff>39430</xdr:rowOff>
    </xdr:to>
    <xdr:sp macro="" textlink="">
      <xdr:nvSpPr>
        <xdr:cNvPr id="155" name="正方形/長方形 154">
          <a:extLst>
            <a:ext uri="{FF2B5EF4-FFF2-40B4-BE49-F238E27FC236}">
              <a16:creationId xmlns:a16="http://schemas.microsoft.com/office/drawing/2014/main" id="{92A6F36A-971E-4684-BD91-D765D3480F14}"/>
            </a:ext>
          </a:extLst>
        </xdr:cNvPr>
        <xdr:cNvSpPr/>
      </xdr:nvSpPr>
      <xdr:spPr>
        <a:xfrm>
          <a:off x="1429376" y="32370388"/>
          <a:ext cx="724205" cy="31048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7</a:t>
          </a:r>
        </a:p>
      </xdr:txBody>
    </xdr:sp>
    <xdr:clientData/>
  </xdr:twoCellAnchor>
  <xdr:twoCellAnchor>
    <xdr:from>
      <xdr:col>6</xdr:col>
      <xdr:colOff>560995</xdr:colOff>
      <xdr:row>131</xdr:row>
      <xdr:rowOff>141934</xdr:rowOff>
    </xdr:from>
    <xdr:to>
      <xdr:col>8</xdr:col>
      <xdr:colOff>622905</xdr:colOff>
      <xdr:row>133</xdr:row>
      <xdr:rowOff>61773</xdr:rowOff>
    </xdr:to>
    <xdr:sp macro="" textlink="">
      <xdr:nvSpPr>
        <xdr:cNvPr id="156" name="正方形/長方形 155">
          <a:extLst>
            <a:ext uri="{FF2B5EF4-FFF2-40B4-BE49-F238E27FC236}">
              <a16:creationId xmlns:a16="http://schemas.microsoft.com/office/drawing/2014/main" id="{AFC1C0EC-1791-4CED-85B7-C56822BBAD00}"/>
            </a:ext>
          </a:extLst>
        </xdr:cNvPr>
        <xdr:cNvSpPr/>
      </xdr:nvSpPr>
      <xdr:spPr>
        <a:xfrm>
          <a:off x="4693380" y="31816222"/>
          <a:ext cx="1439371" cy="403416"/>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ADC224_T0_CH0</a:t>
          </a:r>
        </a:p>
      </xdr:txBody>
    </xdr:sp>
    <xdr:clientData/>
  </xdr:twoCellAnchor>
  <xdr:twoCellAnchor>
    <xdr:from>
      <xdr:col>6</xdr:col>
      <xdr:colOff>567287</xdr:colOff>
      <xdr:row>133</xdr:row>
      <xdr:rowOff>165752</xdr:rowOff>
    </xdr:from>
    <xdr:to>
      <xdr:col>8</xdr:col>
      <xdr:colOff>633094</xdr:colOff>
      <xdr:row>135</xdr:row>
      <xdr:rowOff>84442</xdr:rowOff>
    </xdr:to>
    <xdr:sp macro="" textlink="">
      <xdr:nvSpPr>
        <xdr:cNvPr id="157" name="正方形/長方形 156">
          <a:extLst>
            <a:ext uri="{FF2B5EF4-FFF2-40B4-BE49-F238E27FC236}">
              <a16:creationId xmlns:a16="http://schemas.microsoft.com/office/drawing/2014/main" id="{B8B6AC99-00D8-4ABA-83A7-69EE9C33B4DC}"/>
            </a:ext>
          </a:extLst>
        </xdr:cNvPr>
        <xdr:cNvSpPr/>
      </xdr:nvSpPr>
      <xdr:spPr>
        <a:xfrm>
          <a:off x="4699672" y="32323617"/>
          <a:ext cx="1443268" cy="402267"/>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ADC224_T0_CH1</a:t>
          </a:r>
        </a:p>
      </xdr:txBody>
    </xdr:sp>
    <xdr:clientData/>
  </xdr:twoCellAnchor>
  <xdr:twoCellAnchor>
    <xdr:from>
      <xdr:col>8</xdr:col>
      <xdr:colOff>645211</xdr:colOff>
      <xdr:row>129</xdr:row>
      <xdr:rowOff>111626</xdr:rowOff>
    </xdr:from>
    <xdr:to>
      <xdr:col>10</xdr:col>
      <xdr:colOff>390739</xdr:colOff>
      <xdr:row>130</xdr:row>
      <xdr:rowOff>183551</xdr:rowOff>
    </xdr:to>
    <xdr:sp macro="" textlink="">
      <xdr:nvSpPr>
        <xdr:cNvPr id="158" name="正方形/長方形 157">
          <a:extLst>
            <a:ext uri="{FF2B5EF4-FFF2-40B4-BE49-F238E27FC236}">
              <a16:creationId xmlns:a16="http://schemas.microsoft.com/office/drawing/2014/main" id="{F8C6C4DE-2B0D-4206-A3D3-D33D8D37114F}"/>
            </a:ext>
          </a:extLst>
        </xdr:cNvPr>
        <xdr:cNvSpPr/>
      </xdr:nvSpPr>
      <xdr:spPr>
        <a:xfrm>
          <a:off x="6155057" y="31302338"/>
          <a:ext cx="1122990" cy="31371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a:solidFill>
                <a:schemeClr val="tx1"/>
              </a:solidFill>
            </a:rPr>
            <a:t>Capture Unit 5</a:t>
          </a:r>
        </a:p>
      </xdr:txBody>
    </xdr:sp>
    <xdr:clientData/>
  </xdr:twoCellAnchor>
  <xdr:twoCellAnchor>
    <xdr:from>
      <xdr:col>8</xdr:col>
      <xdr:colOff>633305</xdr:colOff>
      <xdr:row>131</xdr:row>
      <xdr:rowOff>193726</xdr:rowOff>
    </xdr:from>
    <xdr:to>
      <xdr:col>10</xdr:col>
      <xdr:colOff>401245</xdr:colOff>
      <xdr:row>133</xdr:row>
      <xdr:rowOff>18990</xdr:rowOff>
    </xdr:to>
    <xdr:sp macro="" textlink="">
      <xdr:nvSpPr>
        <xdr:cNvPr id="159" name="正方形/長方形 158">
          <a:extLst>
            <a:ext uri="{FF2B5EF4-FFF2-40B4-BE49-F238E27FC236}">
              <a16:creationId xmlns:a16="http://schemas.microsoft.com/office/drawing/2014/main" id="{A43D6756-5E7D-47DD-A949-14038CCDDD0E}"/>
            </a:ext>
          </a:extLst>
        </xdr:cNvPr>
        <xdr:cNvSpPr/>
      </xdr:nvSpPr>
      <xdr:spPr>
        <a:xfrm>
          <a:off x="6143151" y="31868014"/>
          <a:ext cx="1145402" cy="30884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a:solidFill>
                <a:schemeClr val="tx1"/>
              </a:solidFill>
            </a:rPr>
            <a:t>Capture Unit 0</a:t>
          </a:r>
        </a:p>
      </xdr:txBody>
    </xdr:sp>
    <xdr:clientData/>
  </xdr:twoCellAnchor>
  <xdr:twoCellAnchor>
    <xdr:from>
      <xdr:col>8</xdr:col>
      <xdr:colOff>635685</xdr:colOff>
      <xdr:row>133</xdr:row>
      <xdr:rowOff>205586</xdr:rowOff>
    </xdr:from>
    <xdr:to>
      <xdr:col>10</xdr:col>
      <xdr:colOff>469180</xdr:colOff>
      <xdr:row>135</xdr:row>
      <xdr:rowOff>32493</xdr:rowOff>
    </xdr:to>
    <xdr:sp macro="" textlink="">
      <xdr:nvSpPr>
        <xdr:cNvPr id="160" name="正方形/長方形 159">
          <a:extLst>
            <a:ext uri="{FF2B5EF4-FFF2-40B4-BE49-F238E27FC236}">
              <a16:creationId xmlns:a16="http://schemas.microsoft.com/office/drawing/2014/main" id="{6E33C548-BEAC-4E81-B1E8-985AA919C61F}"/>
            </a:ext>
          </a:extLst>
        </xdr:cNvPr>
        <xdr:cNvSpPr/>
      </xdr:nvSpPr>
      <xdr:spPr>
        <a:xfrm>
          <a:off x="6145531" y="32363451"/>
          <a:ext cx="1210957" cy="31048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a:solidFill>
                <a:schemeClr val="tx1"/>
              </a:solidFill>
            </a:rPr>
            <a:t>Capture Unit 1</a:t>
          </a:r>
        </a:p>
      </xdr:txBody>
    </xdr:sp>
    <xdr:clientData/>
  </xdr:twoCellAnchor>
  <xdr:twoCellAnchor>
    <xdr:from>
      <xdr:col>4</xdr:col>
      <xdr:colOff>523094</xdr:colOff>
      <xdr:row>129</xdr:row>
      <xdr:rowOff>129539</xdr:rowOff>
    </xdr:from>
    <xdr:to>
      <xdr:col>6</xdr:col>
      <xdr:colOff>571988</xdr:colOff>
      <xdr:row>129</xdr:row>
      <xdr:rowOff>129539</xdr:rowOff>
    </xdr:to>
    <xdr:cxnSp macro="">
      <xdr:nvCxnSpPr>
        <xdr:cNvPr id="161" name="直線コネクタ 160">
          <a:extLst>
            <a:ext uri="{FF2B5EF4-FFF2-40B4-BE49-F238E27FC236}">
              <a16:creationId xmlns:a16="http://schemas.microsoft.com/office/drawing/2014/main" id="{B7C6F7D3-72A3-4CC0-BD5B-B3588568DBE0}"/>
            </a:ext>
          </a:extLst>
        </xdr:cNvPr>
        <xdr:cNvCxnSpPr/>
      </xdr:nvCxnSpPr>
      <xdr:spPr>
        <a:xfrm>
          <a:off x="3278017" y="31320251"/>
          <a:ext cx="1426356"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431183</xdr:colOff>
      <xdr:row>129</xdr:row>
      <xdr:rowOff>33769</xdr:rowOff>
    </xdr:from>
    <xdr:to>
      <xdr:col>6</xdr:col>
      <xdr:colOff>265531</xdr:colOff>
      <xdr:row>129</xdr:row>
      <xdr:rowOff>234462</xdr:rowOff>
    </xdr:to>
    <xdr:sp macro="" textlink="">
      <xdr:nvSpPr>
        <xdr:cNvPr id="164" name="正方形/長方形 163">
          <a:extLst>
            <a:ext uri="{FF2B5EF4-FFF2-40B4-BE49-F238E27FC236}">
              <a16:creationId xmlns:a16="http://schemas.microsoft.com/office/drawing/2014/main" id="{7B7CEEE7-0229-406E-A264-B0B22E1C3123}"/>
            </a:ext>
          </a:extLst>
        </xdr:cNvPr>
        <xdr:cNvSpPr/>
      </xdr:nvSpPr>
      <xdr:spPr>
        <a:xfrm>
          <a:off x="3874837" y="31224481"/>
          <a:ext cx="523079" cy="200693"/>
        </a:xfrm>
        <a:prstGeom prst="rect">
          <a:avLst/>
        </a:prstGeom>
        <a:solidFill>
          <a:schemeClr val="accent6">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-3dB</a:t>
          </a:r>
          <a:endParaRPr kumimoji="1" lang="ja-JP" altLang="en-US" sz="1100">
            <a:solidFill>
              <a:schemeClr val="tx1"/>
            </a:solidFill>
          </a:endParaRPr>
        </a:p>
      </xdr:txBody>
    </xdr:sp>
    <xdr:clientData/>
  </xdr:twoCellAnchor>
  <xdr:twoCellAnchor>
    <xdr:from>
      <xdr:col>5</xdr:col>
      <xdr:colOff>442778</xdr:colOff>
      <xdr:row>131</xdr:row>
      <xdr:rowOff>210378</xdr:rowOff>
    </xdr:from>
    <xdr:to>
      <xdr:col>6</xdr:col>
      <xdr:colOff>277126</xdr:colOff>
      <xdr:row>133</xdr:row>
      <xdr:rowOff>5130</xdr:rowOff>
    </xdr:to>
    <xdr:sp macro="" textlink="">
      <xdr:nvSpPr>
        <xdr:cNvPr id="165" name="正方形/長方形 164">
          <a:extLst>
            <a:ext uri="{FF2B5EF4-FFF2-40B4-BE49-F238E27FC236}">
              <a16:creationId xmlns:a16="http://schemas.microsoft.com/office/drawing/2014/main" id="{BCF57D82-032B-4883-9FBA-9B8A68FA53AF}"/>
            </a:ext>
          </a:extLst>
        </xdr:cNvPr>
        <xdr:cNvSpPr/>
      </xdr:nvSpPr>
      <xdr:spPr>
        <a:xfrm>
          <a:off x="3886432" y="31884666"/>
          <a:ext cx="523079" cy="278329"/>
        </a:xfrm>
        <a:prstGeom prst="rect">
          <a:avLst/>
        </a:prstGeom>
        <a:solidFill>
          <a:schemeClr val="accent6">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-3dB</a:t>
          </a:r>
          <a:endParaRPr kumimoji="1" lang="ja-JP" altLang="en-US" sz="1100">
            <a:solidFill>
              <a:schemeClr val="tx1"/>
            </a:solidFill>
          </a:endParaRPr>
        </a:p>
      </xdr:txBody>
    </xdr:sp>
    <xdr:clientData/>
  </xdr:twoCellAnchor>
  <xdr:twoCellAnchor>
    <xdr:from>
      <xdr:col>5</xdr:col>
      <xdr:colOff>437807</xdr:colOff>
      <xdr:row>134</xdr:row>
      <xdr:rowOff>163</xdr:rowOff>
    </xdr:from>
    <xdr:to>
      <xdr:col>6</xdr:col>
      <xdr:colOff>272155</xdr:colOff>
      <xdr:row>135</xdr:row>
      <xdr:rowOff>41577</xdr:rowOff>
    </xdr:to>
    <xdr:sp macro="" textlink="">
      <xdr:nvSpPr>
        <xdr:cNvPr id="166" name="正方形/長方形 165">
          <a:extLst>
            <a:ext uri="{FF2B5EF4-FFF2-40B4-BE49-F238E27FC236}">
              <a16:creationId xmlns:a16="http://schemas.microsoft.com/office/drawing/2014/main" id="{AA66A4F1-514D-44A9-BA11-03BB198B6F37}"/>
            </a:ext>
          </a:extLst>
        </xdr:cNvPr>
        <xdr:cNvSpPr/>
      </xdr:nvSpPr>
      <xdr:spPr>
        <a:xfrm>
          <a:off x="3881461" y="32399817"/>
          <a:ext cx="523079" cy="283202"/>
        </a:xfrm>
        <a:prstGeom prst="rect">
          <a:avLst/>
        </a:prstGeom>
        <a:solidFill>
          <a:schemeClr val="accent6">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-3dB</a:t>
          </a:r>
          <a:endParaRPr kumimoji="1" lang="ja-JP" altLang="en-US" sz="1100">
            <a:solidFill>
              <a:schemeClr val="tx1"/>
            </a:solidFill>
          </a:endParaRPr>
        </a:p>
      </xdr:txBody>
    </xdr:sp>
    <xdr:clientData/>
  </xdr:twoCellAnchor>
  <xdr:twoCellAnchor>
    <xdr:from>
      <xdr:col>4</xdr:col>
      <xdr:colOff>528955</xdr:colOff>
      <xdr:row>130</xdr:row>
      <xdr:rowOff>164708</xdr:rowOff>
    </xdr:from>
    <xdr:to>
      <xdr:col>6</xdr:col>
      <xdr:colOff>577849</xdr:colOff>
      <xdr:row>130</xdr:row>
      <xdr:rowOff>164708</xdr:rowOff>
    </xdr:to>
    <xdr:cxnSp macro="">
      <xdr:nvCxnSpPr>
        <xdr:cNvPr id="145" name="直線コネクタ 144">
          <a:extLst>
            <a:ext uri="{FF2B5EF4-FFF2-40B4-BE49-F238E27FC236}">
              <a16:creationId xmlns:a16="http://schemas.microsoft.com/office/drawing/2014/main" id="{85EF9679-9977-4496-839B-954AC24C17A1}"/>
            </a:ext>
          </a:extLst>
        </xdr:cNvPr>
        <xdr:cNvCxnSpPr/>
      </xdr:nvCxnSpPr>
      <xdr:spPr>
        <a:xfrm>
          <a:off x="3283878" y="31597208"/>
          <a:ext cx="1426356"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437044</xdr:colOff>
      <xdr:row>130</xdr:row>
      <xdr:rowOff>68938</xdr:rowOff>
    </xdr:from>
    <xdr:to>
      <xdr:col>6</xdr:col>
      <xdr:colOff>271392</xdr:colOff>
      <xdr:row>131</xdr:row>
      <xdr:rowOff>27843</xdr:rowOff>
    </xdr:to>
    <xdr:sp macro="" textlink="">
      <xdr:nvSpPr>
        <xdr:cNvPr id="168" name="正方形/長方形 167">
          <a:extLst>
            <a:ext uri="{FF2B5EF4-FFF2-40B4-BE49-F238E27FC236}">
              <a16:creationId xmlns:a16="http://schemas.microsoft.com/office/drawing/2014/main" id="{C81A8F56-053B-41F1-A27E-F1AC19E306C7}"/>
            </a:ext>
          </a:extLst>
        </xdr:cNvPr>
        <xdr:cNvSpPr/>
      </xdr:nvSpPr>
      <xdr:spPr>
        <a:xfrm>
          <a:off x="3880698" y="31501438"/>
          <a:ext cx="523079" cy="200693"/>
        </a:xfrm>
        <a:prstGeom prst="rect">
          <a:avLst/>
        </a:prstGeom>
        <a:solidFill>
          <a:schemeClr val="accent6">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-3dB</a:t>
          </a:r>
          <a:endParaRPr kumimoji="1" lang="ja-JP" altLang="en-US" sz="1100">
            <a:solidFill>
              <a:schemeClr val="tx1"/>
            </a:solidFill>
          </a:endParaRPr>
        </a:p>
      </xdr:txBody>
    </xdr:sp>
    <xdr:clientData/>
  </xdr:twoCellAnchor>
  <xdr:twoCellAnchor>
    <xdr:from>
      <xdr:col>6</xdr:col>
      <xdr:colOff>563932</xdr:colOff>
      <xdr:row>128</xdr:row>
      <xdr:rowOff>232866</xdr:rowOff>
    </xdr:from>
    <xdr:to>
      <xdr:col>8</xdr:col>
      <xdr:colOff>625843</xdr:colOff>
      <xdr:row>131</xdr:row>
      <xdr:rowOff>57151</xdr:rowOff>
    </xdr:to>
    <xdr:sp macro="" textlink="">
      <xdr:nvSpPr>
        <xdr:cNvPr id="169" name="正方形/長方形 168">
          <a:extLst>
            <a:ext uri="{FF2B5EF4-FFF2-40B4-BE49-F238E27FC236}">
              <a16:creationId xmlns:a16="http://schemas.microsoft.com/office/drawing/2014/main" id="{2CA272EC-CDD4-4F3A-B8EE-4657CA50B006}"/>
            </a:ext>
          </a:extLst>
        </xdr:cNvPr>
        <xdr:cNvSpPr/>
      </xdr:nvSpPr>
      <xdr:spPr>
        <a:xfrm>
          <a:off x="4696317" y="31181789"/>
          <a:ext cx="1439372" cy="549650"/>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ADC226_T2_CH1</a:t>
          </a:r>
          <a:r>
            <a:rPr kumimoji="1" lang="en-US" altLang="ja-JP" sz="1100" baseline="0">
              <a:solidFill>
                <a:schemeClr val="tx1"/>
              </a:solidFill>
            </a:rPr>
            <a:t> / </a:t>
          </a:r>
          <a:r>
            <a:rPr kumimoji="1" lang="en-US" altLang="ja-JP" sz="1100">
              <a:solidFill>
                <a:schemeClr val="tx1"/>
              </a:solidFill>
            </a:rPr>
            <a:t>P</a:t>
          </a:r>
        </a:p>
        <a:p>
          <a:pPr algn="ctr"/>
          <a:endParaRPr kumimoji="1" lang="en-US" altLang="ja-JP" sz="500">
            <a:solidFill>
              <a:schemeClr val="tx1"/>
            </a:solidFill>
          </a:endParaRPr>
        </a:p>
        <a:p>
          <a:pPr algn="ctr"/>
          <a:r>
            <a:rPr kumimoji="1" lang="en-US" altLang="ja-JP" sz="1100">
              <a:solidFill>
                <a:schemeClr val="tx1"/>
              </a:solidFill>
            </a:rPr>
            <a:t>ADC226_T2_CH1</a:t>
          </a:r>
          <a:r>
            <a:rPr kumimoji="1" lang="en-US" altLang="ja-JP" sz="1100" baseline="0">
              <a:solidFill>
                <a:schemeClr val="tx1"/>
              </a:solidFill>
            </a:rPr>
            <a:t> / </a:t>
          </a:r>
          <a:r>
            <a:rPr kumimoji="1" lang="en-US" altLang="ja-JP" sz="1100">
              <a:solidFill>
                <a:schemeClr val="tx1"/>
              </a:solidFill>
            </a:rPr>
            <a:t>N</a:t>
          </a:r>
        </a:p>
      </xdr:txBody>
    </xdr:sp>
    <xdr:clientData/>
  </xdr:twoCellAnchor>
  <xdr:twoCellAnchor>
    <xdr:from>
      <xdr:col>3</xdr:col>
      <xdr:colOff>89148</xdr:colOff>
      <xdr:row>128</xdr:row>
      <xdr:rowOff>227005</xdr:rowOff>
    </xdr:from>
    <xdr:to>
      <xdr:col>5</xdr:col>
      <xdr:colOff>151058</xdr:colOff>
      <xdr:row>131</xdr:row>
      <xdr:rowOff>51290</xdr:rowOff>
    </xdr:to>
    <xdr:sp macro="" textlink="">
      <xdr:nvSpPr>
        <xdr:cNvPr id="162" name="正方形/長方形 161">
          <a:extLst>
            <a:ext uri="{FF2B5EF4-FFF2-40B4-BE49-F238E27FC236}">
              <a16:creationId xmlns:a16="http://schemas.microsoft.com/office/drawing/2014/main" id="{75CA5EB7-7F7E-477C-97EC-451B5C65D0A6}"/>
            </a:ext>
          </a:extLst>
        </xdr:cNvPr>
        <xdr:cNvSpPr/>
      </xdr:nvSpPr>
      <xdr:spPr>
        <a:xfrm>
          <a:off x="2155340" y="31175928"/>
          <a:ext cx="1439372" cy="549650"/>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DAC228_T0_CH0 / P</a:t>
          </a:r>
        </a:p>
        <a:p>
          <a:pPr algn="ctr"/>
          <a:endParaRPr kumimoji="1" lang="en-US" altLang="ja-JP" sz="500">
            <a:solidFill>
              <a:schemeClr val="tx1"/>
            </a:solidFill>
          </a:endParaRPr>
        </a:p>
        <a:p>
          <a:pPr algn="ctr"/>
          <a:r>
            <a:rPr kumimoji="1" lang="en-US" altLang="ja-JP" sz="1100">
              <a:solidFill>
                <a:schemeClr val="tx1"/>
              </a:solidFill>
            </a:rPr>
            <a:t>DAC228_T0_CH0 /</a:t>
          </a:r>
          <a:r>
            <a:rPr kumimoji="1" lang="en-US" altLang="ja-JP" sz="1100" baseline="0">
              <a:solidFill>
                <a:schemeClr val="tx1"/>
              </a:solidFill>
            </a:rPr>
            <a:t> </a:t>
          </a:r>
          <a:r>
            <a:rPr kumimoji="1" lang="en-US" altLang="ja-JP" sz="1100">
              <a:solidFill>
                <a:schemeClr val="tx1"/>
              </a:solidFill>
            </a:rPr>
            <a:t>N</a:t>
          </a:r>
        </a:p>
      </xdr:txBody>
    </xdr:sp>
    <xdr:clientData/>
  </xdr:twoCellAnchor>
  <xdr:twoCellAnchor>
    <xdr:from>
      <xdr:col>2</xdr:col>
      <xdr:colOff>37993</xdr:colOff>
      <xdr:row>120</xdr:row>
      <xdr:rowOff>102444</xdr:rowOff>
    </xdr:from>
    <xdr:to>
      <xdr:col>3</xdr:col>
      <xdr:colOff>61315</xdr:colOff>
      <xdr:row>121</xdr:row>
      <xdr:rowOff>174368</xdr:rowOff>
    </xdr:to>
    <xdr:sp macro="" textlink="">
      <xdr:nvSpPr>
        <xdr:cNvPr id="170" name="正方形/長方形 169">
          <a:extLst>
            <a:ext uri="{FF2B5EF4-FFF2-40B4-BE49-F238E27FC236}">
              <a16:creationId xmlns:a16="http://schemas.microsoft.com/office/drawing/2014/main" id="{9FC12919-6F2D-452D-A58F-F37D05CF208B}"/>
            </a:ext>
          </a:extLst>
        </xdr:cNvPr>
        <xdr:cNvSpPr/>
      </xdr:nvSpPr>
      <xdr:spPr>
        <a:xfrm>
          <a:off x="1415455" y="29117059"/>
          <a:ext cx="712052" cy="31371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0</a:t>
          </a:r>
        </a:p>
      </xdr:txBody>
    </xdr:sp>
    <xdr:clientData/>
  </xdr:twoCellAnchor>
  <xdr:twoCellAnchor>
    <xdr:from>
      <xdr:col>8</xdr:col>
      <xdr:colOff>621764</xdr:colOff>
      <xdr:row>120</xdr:row>
      <xdr:rowOff>95507</xdr:rowOff>
    </xdr:from>
    <xdr:to>
      <xdr:col>10</xdr:col>
      <xdr:colOff>367292</xdr:colOff>
      <xdr:row>121</xdr:row>
      <xdr:rowOff>167431</xdr:rowOff>
    </xdr:to>
    <xdr:sp macro="" textlink="">
      <xdr:nvSpPr>
        <xdr:cNvPr id="171" name="正方形/長方形 170">
          <a:extLst>
            <a:ext uri="{FF2B5EF4-FFF2-40B4-BE49-F238E27FC236}">
              <a16:creationId xmlns:a16="http://schemas.microsoft.com/office/drawing/2014/main" id="{6AD03808-7BAE-46E5-8B22-54632546BCAE}"/>
            </a:ext>
          </a:extLst>
        </xdr:cNvPr>
        <xdr:cNvSpPr/>
      </xdr:nvSpPr>
      <xdr:spPr>
        <a:xfrm>
          <a:off x="6131610" y="29110122"/>
          <a:ext cx="1122990" cy="31371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a:solidFill>
                <a:schemeClr val="tx1"/>
              </a:solidFill>
            </a:rPr>
            <a:t>Capture Unit 4</a:t>
          </a:r>
        </a:p>
      </xdr:txBody>
    </xdr:sp>
    <xdr:clientData/>
  </xdr:twoCellAnchor>
  <xdr:twoCellAnchor>
    <xdr:from>
      <xdr:col>4</xdr:col>
      <xdr:colOff>499647</xdr:colOff>
      <xdr:row>120</xdr:row>
      <xdr:rowOff>113420</xdr:rowOff>
    </xdr:from>
    <xdr:to>
      <xdr:col>6</xdr:col>
      <xdr:colOff>548541</xdr:colOff>
      <xdr:row>120</xdr:row>
      <xdr:rowOff>113420</xdr:rowOff>
    </xdr:to>
    <xdr:cxnSp macro="">
      <xdr:nvCxnSpPr>
        <xdr:cNvPr id="172" name="直線コネクタ 171">
          <a:extLst>
            <a:ext uri="{FF2B5EF4-FFF2-40B4-BE49-F238E27FC236}">
              <a16:creationId xmlns:a16="http://schemas.microsoft.com/office/drawing/2014/main" id="{A723AB7F-789B-477E-90DC-AB8D291B824C}"/>
            </a:ext>
          </a:extLst>
        </xdr:cNvPr>
        <xdr:cNvCxnSpPr/>
      </xdr:nvCxnSpPr>
      <xdr:spPr>
        <a:xfrm>
          <a:off x="3254570" y="29128035"/>
          <a:ext cx="1426356"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407736</xdr:colOff>
      <xdr:row>120</xdr:row>
      <xdr:rowOff>17650</xdr:rowOff>
    </xdr:from>
    <xdr:to>
      <xdr:col>6</xdr:col>
      <xdr:colOff>242084</xdr:colOff>
      <xdr:row>120</xdr:row>
      <xdr:rowOff>218343</xdr:rowOff>
    </xdr:to>
    <xdr:sp macro="" textlink="">
      <xdr:nvSpPr>
        <xdr:cNvPr id="173" name="正方形/長方形 172">
          <a:extLst>
            <a:ext uri="{FF2B5EF4-FFF2-40B4-BE49-F238E27FC236}">
              <a16:creationId xmlns:a16="http://schemas.microsoft.com/office/drawing/2014/main" id="{F60742C0-5961-45D8-9000-6AB7C7CC3E2F}"/>
            </a:ext>
          </a:extLst>
        </xdr:cNvPr>
        <xdr:cNvSpPr/>
      </xdr:nvSpPr>
      <xdr:spPr>
        <a:xfrm>
          <a:off x="3851390" y="29032265"/>
          <a:ext cx="523079" cy="200693"/>
        </a:xfrm>
        <a:prstGeom prst="rect">
          <a:avLst/>
        </a:prstGeom>
        <a:solidFill>
          <a:schemeClr val="accent6">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-3dB</a:t>
          </a:r>
          <a:endParaRPr kumimoji="1" lang="ja-JP" altLang="en-US" sz="1100">
            <a:solidFill>
              <a:schemeClr val="tx1"/>
            </a:solidFill>
          </a:endParaRPr>
        </a:p>
      </xdr:txBody>
    </xdr:sp>
    <xdr:clientData/>
  </xdr:twoCellAnchor>
  <xdr:twoCellAnchor>
    <xdr:from>
      <xdr:col>4</xdr:col>
      <xdr:colOff>505508</xdr:colOff>
      <xdr:row>121</xdr:row>
      <xdr:rowOff>148588</xdr:rowOff>
    </xdr:from>
    <xdr:to>
      <xdr:col>6</xdr:col>
      <xdr:colOff>554402</xdr:colOff>
      <xdr:row>121</xdr:row>
      <xdr:rowOff>148588</xdr:rowOff>
    </xdr:to>
    <xdr:cxnSp macro="">
      <xdr:nvCxnSpPr>
        <xdr:cNvPr id="174" name="直線コネクタ 173">
          <a:extLst>
            <a:ext uri="{FF2B5EF4-FFF2-40B4-BE49-F238E27FC236}">
              <a16:creationId xmlns:a16="http://schemas.microsoft.com/office/drawing/2014/main" id="{27130123-3B84-434B-AC6B-26B039658670}"/>
            </a:ext>
          </a:extLst>
        </xdr:cNvPr>
        <xdr:cNvCxnSpPr/>
      </xdr:nvCxnSpPr>
      <xdr:spPr>
        <a:xfrm>
          <a:off x="3260431" y="29404992"/>
          <a:ext cx="1426356"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413597</xdr:colOff>
      <xdr:row>121</xdr:row>
      <xdr:rowOff>52818</xdr:rowOff>
    </xdr:from>
    <xdr:to>
      <xdr:col>6</xdr:col>
      <xdr:colOff>247945</xdr:colOff>
      <xdr:row>122</xdr:row>
      <xdr:rowOff>11723</xdr:rowOff>
    </xdr:to>
    <xdr:sp macro="" textlink="">
      <xdr:nvSpPr>
        <xdr:cNvPr id="175" name="正方形/長方形 174">
          <a:extLst>
            <a:ext uri="{FF2B5EF4-FFF2-40B4-BE49-F238E27FC236}">
              <a16:creationId xmlns:a16="http://schemas.microsoft.com/office/drawing/2014/main" id="{4C66BFD2-FD5F-4DBC-8BDC-06BA231B0A8D}"/>
            </a:ext>
          </a:extLst>
        </xdr:cNvPr>
        <xdr:cNvSpPr/>
      </xdr:nvSpPr>
      <xdr:spPr>
        <a:xfrm>
          <a:off x="3857251" y="29309222"/>
          <a:ext cx="523079" cy="200693"/>
        </a:xfrm>
        <a:prstGeom prst="rect">
          <a:avLst/>
        </a:prstGeom>
        <a:solidFill>
          <a:schemeClr val="accent6">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-3dB</a:t>
          </a:r>
          <a:endParaRPr kumimoji="1" lang="ja-JP" altLang="en-US" sz="1100">
            <a:solidFill>
              <a:schemeClr val="tx1"/>
            </a:solidFill>
          </a:endParaRPr>
        </a:p>
      </xdr:txBody>
    </xdr:sp>
    <xdr:clientData/>
  </xdr:twoCellAnchor>
  <xdr:twoCellAnchor>
    <xdr:from>
      <xdr:col>6</xdr:col>
      <xdr:colOff>540485</xdr:colOff>
      <xdr:row>119</xdr:row>
      <xdr:rowOff>216746</xdr:rowOff>
    </xdr:from>
    <xdr:to>
      <xdr:col>8</xdr:col>
      <xdr:colOff>602396</xdr:colOff>
      <xdr:row>122</xdr:row>
      <xdr:rowOff>41031</xdr:rowOff>
    </xdr:to>
    <xdr:sp macro="" textlink="">
      <xdr:nvSpPr>
        <xdr:cNvPr id="176" name="正方形/長方形 175">
          <a:extLst>
            <a:ext uri="{FF2B5EF4-FFF2-40B4-BE49-F238E27FC236}">
              <a16:creationId xmlns:a16="http://schemas.microsoft.com/office/drawing/2014/main" id="{0443F769-482E-495A-A7F2-80749E374DF9}"/>
            </a:ext>
          </a:extLst>
        </xdr:cNvPr>
        <xdr:cNvSpPr/>
      </xdr:nvSpPr>
      <xdr:spPr>
        <a:xfrm>
          <a:off x="4672870" y="28989573"/>
          <a:ext cx="1439372" cy="549650"/>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ADC226_T2_CH0</a:t>
          </a:r>
          <a:r>
            <a:rPr kumimoji="1" lang="en-US" altLang="ja-JP" sz="1100" baseline="0">
              <a:solidFill>
                <a:schemeClr val="tx1"/>
              </a:solidFill>
            </a:rPr>
            <a:t> / </a:t>
          </a:r>
          <a:r>
            <a:rPr kumimoji="1" lang="en-US" altLang="ja-JP" sz="1100">
              <a:solidFill>
                <a:schemeClr val="tx1"/>
              </a:solidFill>
            </a:rPr>
            <a:t>P</a:t>
          </a:r>
        </a:p>
        <a:p>
          <a:pPr algn="ctr"/>
          <a:endParaRPr kumimoji="1" lang="en-US" altLang="ja-JP" sz="500">
            <a:solidFill>
              <a:schemeClr val="tx1"/>
            </a:solidFill>
          </a:endParaRPr>
        </a:p>
        <a:p>
          <a:pPr algn="ctr"/>
          <a:r>
            <a:rPr kumimoji="1" lang="en-US" altLang="ja-JP" sz="1100">
              <a:solidFill>
                <a:schemeClr val="tx1"/>
              </a:solidFill>
            </a:rPr>
            <a:t>ADC226_T2_CH0</a:t>
          </a:r>
          <a:r>
            <a:rPr kumimoji="1" lang="en-US" altLang="ja-JP" sz="1100" baseline="0">
              <a:solidFill>
                <a:schemeClr val="tx1"/>
              </a:solidFill>
            </a:rPr>
            <a:t> / </a:t>
          </a:r>
          <a:r>
            <a:rPr kumimoji="1" lang="en-US" altLang="ja-JP" sz="1100">
              <a:solidFill>
                <a:schemeClr val="tx1"/>
              </a:solidFill>
            </a:rPr>
            <a:t>N</a:t>
          </a:r>
        </a:p>
      </xdr:txBody>
    </xdr:sp>
    <xdr:clientData/>
  </xdr:twoCellAnchor>
  <xdr:twoCellAnchor>
    <xdr:from>
      <xdr:col>3</xdr:col>
      <xdr:colOff>65701</xdr:colOff>
      <xdr:row>119</xdr:row>
      <xdr:rowOff>210885</xdr:rowOff>
    </xdr:from>
    <xdr:to>
      <xdr:col>5</xdr:col>
      <xdr:colOff>127611</xdr:colOff>
      <xdr:row>122</xdr:row>
      <xdr:rowOff>35170</xdr:rowOff>
    </xdr:to>
    <xdr:sp macro="" textlink="">
      <xdr:nvSpPr>
        <xdr:cNvPr id="177" name="正方形/長方形 176">
          <a:extLst>
            <a:ext uri="{FF2B5EF4-FFF2-40B4-BE49-F238E27FC236}">
              <a16:creationId xmlns:a16="http://schemas.microsoft.com/office/drawing/2014/main" id="{38E30002-D191-491A-B312-7836DB32D646}"/>
            </a:ext>
          </a:extLst>
        </xdr:cNvPr>
        <xdr:cNvSpPr/>
      </xdr:nvSpPr>
      <xdr:spPr>
        <a:xfrm>
          <a:off x="2131893" y="28983712"/>
          <a:ext cx="1439372" cy="549650"/>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DAC228_T0_CH0</a:t>
          </a:r>
          <a:r>
            <a:rPr kumimoji="1" lang="en-US" altLang="ja-JP" sz="1100" baseline="0">
              <a:solidFill>
                <a:schemeClr val="tx1"/>
              </a:solidFill>
            </a:rPr>
            <a:t> / </a:t>
          </a:r>
          <a:r>
            <a:rPr kumimoji="1" lang="en-US" altLang="ja-JP" sz="1100">
              <a:solidFill>
                <a:schemeClr val="tx1"/>
              </a:solidFill>
            </a:rPr>
            <a:t>P</a:t>
          </a:r>
        </a:p>
        <a:p>
          <a:pPr algn="ctr"/>
          <a:endParaRPr kumimoji="1" lang="en-US" altLang="ja-JP" sz="500">
            <a:solidFill>
              <a:schemeClr val="tx1"/>
            </a:solidFill>
          </a:endParaRPr>
        </a:p>
        <a:p>
          <a:pPr algn="ctr"/>
          <a:r>
            <a:rPr kumimoji="1" lang="en-US" altLang="ja-JP" sz="1100">
              <a:solidFill>
                <a:schemeClr val="tx1"/>
              </a:solidFill>
            </a:rPr>
            <a:t>DAC228_T0_CH0</a:t>
          </a:r>
          <a:r>
            <a:rPr kumimoji="1" lang="en-US" altLang="ja-JP" sz="1100" baseline="0">
              <a:solidFill>
                <a:schemeClr val="tx1"/>
              </a:solidFill>
            </a:rPr>
            <a:t> / </a:t>
          </a:r>
          <a:r>
            <a:rPr kumimoji="1" lang="en-US" altLang="ja-JP" sz="1100">
              <a:solidFill>
                <a:schemeClr val="tx1"/>
              </a:solidFill>
            </a:rPr>
            <a:t>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6</xdr:col>
      <xdr:colOff>266700</xdr:colOff>
      <xdr:row>75</xdr:row>
      <xdr:rowOff>0</xdr:rowOff>
    </xdr:from>
    <xdr:to>
      <xdr:col>8</xdr:col>
      <xdr:colOff>108697</xdr:colOff>
      <xdr:row>75</xdr:row>
      <xdr:rowOff>0</xdr:rowOff>
    </xdr:to>
    <xdr:sp macro="" textlink="">
      <xdr:nvSpPr>
        <xdr:cNvPr id="9" name="正方形/長方形 8">
          <a:extLst>
            <a:ext uri="{FF2B5EF4-FFF2-40B4-BE49-F238E27FC236}">
              <a16:creationId xmlns:a16="http://schemas.microsoft.com/office/drawing/2014/main" id="{D244BE82-A99B-4107-9825-7C31C6F4209F}"/>
            </a:ext>
          </a:extLst>
        </xdr:cNvPr>
        <xdr:cNvSpPr/>
      </xdr:nvSpPr>
      <xdr:spPr>
        <a:xfrm>
          <a:off x="1924050" y="24041100"/>
          <a:ext cx="394447" cy="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57</xdr:col>
      <xdr:colOff>153761</xdr:colOff>
      <xdr:row>119</xdr:row>
      <xdr:rowOff>43543</xdr:rowOff>
    </xdr:from>
    <xdr:to>
      <xdr:col>58</xdr:col>
      <xdr:colOff>271983</xdr:colOff>
      <xdr:row>119</xdr:row>
      <xdr:rowOff>195943</xdr:rowOff>
    </xdr:to>
    <xdr:sp macro="" textlink="">
      <xdr:nvSpPr>
        <xdr:cNvPr id="18" name="正方形/長方形 17">
          <a:extLst>
            <a:ext uri="{FF2B5EF4-FFF2-40B4-BE49-F238E27FC236}">
              <a16:creationId xmlns:a16="http://schemas.microsoft.com/office/drawing/2014/main" id="{A0D39E67-E480-416B-9EB3-FACFCE9DE5FC}"/>
            </a:ext>
          </a:extLst>
        </xdr:cNvPr>
        <xdr:cNvSpPr/>
      </xdr:nvSpPr>
      <xdr:spPr>
        <a:xfrm>
          <a:off x="15898586" y="61708393"/>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2</xdr:row>
      <xdr:rowOff>37729</xdr:rowOff>
    </xdr:from>
    <xdr:to>
      <xdr:col>8</xdr:col>
      <xdr:colOff>119583</xdr:colOff>
      <xdr:row>2</xdr:row>
      <xdr:rowOff>190129</xdr:rowOff>
    </xdr:to>
    <xdr:sp macro="" textlink="">
      <xdr:nvSpPr>
        <xdr:cNvPr id="21" name="正方形/長方形 20">
          <a:extLst>
            <a:ext uri="{FF2B5EF4-FFF2-40B4-BE49-F238E27FC236}">
              <a16:creationId xmlns:a16="http://schemas.microsoft.com/office/drawing/2014/main" id="{DC5511A4-2E63-4DEA-B0D0-C266F51F0B52}"/>
            </a:ext>
          </a:extLst>
        </xdr:cNvPr>
        <xdr:cNvSpPr/>
      </xdr:nvSpPr>
      <xdr:spPr>
        <a:xfrm>
          <a:off x="1934936" y="6228979"/>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xdr:colOff>
      <xdr:row>2</xdr:row>
      <xdr:rowOff>113929</xdr:rowOff>
    </xdr:from>
    <xdr:to>
      <xdr:col>7</xdr:col>
      <xdr:colOff>1362</xdr:colOff>
      <xdr:row>119</xdr:row>
      <xdr:rowOff>76200</xdr:rowOff>
    </xdr:to>
    <xdr:cxnSp macro="">
      <xdr:nvCxnSpPr>
        <xdr:cNvPr id="22" name="コネクタ: カギ線 21">
          <a:extLst>
            <a:ext uri="{FF2B5EF4-FFF2-40B4-BE49-F238E27FC236}">
              <a16:creationId xmlns:a16="http://schemas.microsoft.com/office/drawing/2014/main" id="{EDF53D9E-FFCD-433D-81EF-9EA9A337F36A}"/>
            </a:ext>
          </a:extLst>
        </xdr:cNvPr>
        <xdr:cNvCxnSpPr>
          <a:stCxn id="21" idx="1"/>
          <a:endCxn id="23" idx="1"/>
        </xdr:cNvCxnSpPr>
      </xdr:nvCxnSpPr>
      <xdr:spPr>
        <a:xfrm rot="10800000" flipV="1">
          <a:off x="1933576" y="6305179"/>
          <a:ext cx="1361" cy="55435871"/>
        </a:xfrm>
        <a:prstGeom prst="bentConnector3">
          <a:avLst>
            <a:gd name="adj1" fmla="val 39848935"/>
          </a:avLst>
        </a:prstGeom>
        <a:ln>
          <a:solidFill>
            <a:schemeClr val="tx1"/>
          </a:solidFill>
          <a:tailEnd type="triangle" w="lg" len="lg"/>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0</xdr:colOff>
      <xdr:row>119</xdr:row>
      <xdr:rowOff>0</xdr:rowOff>
    </xdr:from>
    <xdr:to>
      <xdr:col>8</xdr:col>
      <xdr:colOff>118222</xdr:colOff>
      <xdr:row>119</xdr:row>
      <xdr:rowOff>152400</xdr:rowOff>
    </xdr:to>
    <xdr:sp macro="" textlink="">
      <xdr:nvSpPr>
        <xdr:cNvPr id="23" name="正方形/長方形 22">
          <a:extLst>
            <a:ext uri="{FF2B5EF4-FFF2-40B4-BE49-F238E27FC236}">
              <a16:creationId xmlns:a16="http://schemas.microsoft.com/office/drawing/2014/main" id="{8C30D397-D030-4391-A12A-C782A5C73EF0}"/>
            </a:ext>
          </a:extLst>
        </xdr:cNvPr>
        <xdr:cNvSpPr/>
      </xdr:nvSpPr>
      <xdr:spPr>
        <a:xfrm>
          <a:off x="1933575" y="61664850"/>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57</xdr:col>
      <xdr:colOff>153761</xdr:colOff>
      <xdr:row>147</xdr:row>
      <xdr:rowOff>43543</xdr:rowOff>
    </xdr:from>
    <xdr:to>
      <xdr:col>58</xdr:col>
      <xdr:colOff>271983</xdr:colOff>
      <xdr:row>147</xdr:row>
      <xdr:rowOff>195943</xdr:rowOff>
    </xdr:to>
    <xdr:sp macro="" textlink="">
      <xdr:nvSpPr>
        <xdr:cNvPr id="24" name="正方形/長方形 23">
          <a:extLst>
            <a:ext uri="{FF2B5EF4-FFF2-40B4-BE49-F238E27FC236}">
              <a16:creationId xmlns:a16="http://schemas.microsoft.com/office/drawing/2014/main" id="{01215634-5B8F-4F80-8087-0A086B5DDB4B}"/>
            </a:ext>
          </a:extLst>
        </xdr:cNvPr>
        <xdr:cNvSpPr/>
      </xdr:nvSpPr>
      <xdr:spPr>
        <a:xfrm>
          <a:off x="15898586" y="68375893"/>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0</xdr:colOff>
      <xdr:row>147</xdr:row>
      <xdr:rowOff>0</xdr:rowOff>
    </xdr:from>
    <xdr:to>
      <xdr:col>8</xdr:col>
      <xdr:colOff>118222</xdr:colOff>
      <xdr:row>147</xdr:row>
      <xdr:rowOff>152400</xdr:rowOff>
    </xdr:to>
    <xdr:sp macro="" textlink="">
      <xdr:nvSpPr>
        <xdr:cNvPr id="25" name="正方形/長方形 24">
          <a:extLst>
            <a:ext uri="{FF2B5EF4-FFF2-40B4-BE49-F238E27FC236}">
              <a16:creationId xmlns:a16="http://schemas.microsoft.com/office/drawing/2014/main" id="{936140F0-65DC-4AE3-84BE-57BED4493C83}"/>
            </a:ext>
          </a:extLst>
        </xdr:cNvPr>
        <xdr:cNvSpPr/>
      </xdr:nvSpPr>
      <xdr:spPr>
        <a:xfrm>
          <a:off x="1933575" y="68332350"/>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252350</xdr:colOff>
      <xdr:row>147</xdr:row>
      <xdr:rowOff>49479</xdr:rowOff>
    </xdr:from>
    <xdr:to>
      <xdr:col>8</xdr:col>
      <xdr:colOff>98429</xdr:colOff>
      <xdr:row>147</xdr:row>
      <xdr:rowOff>201879</xdr:rowOff>
    </xdr:to>
    <xdr:sp macro="" textlink="">
      <xdr:nvSpPr>
        <xdr:cNvPr id="26" name="正方形/長方形 25">
          <a:extLst>
            <a:ext uri="{FF2B5EF4-FFF2-40B4-BE49-F238E27FC236}">
              <a16:creationId xmlns:a16="http://schemas.microsoft.com/office/drawing/2014/main" id="{034DDB07-EDF7-493E-B0CE-23D4A7073E56}"/>
            </a:ext>
          </a:extLst>
        </xdr:cNvPr>
        <xdr:cNvSpPr/>
      </xdr:nvSpPr>
      <xdr:spPr>
        <a:xfrm>
          <a:off x="1909700" y="68381829"/>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252351</xdr:colOff>
      <xdr:row>40</xdr:row>
      <xdr:rowOff>79292</xdr:rowOff>
    </xdr:from>
    <xdr:to>
      <xdr:col>6</xdr:col>
      <xdr:colOff>253712</xdr:colOff>
      <xdr:row>147</xdr:row>
      <xdr:rowOff>125678</xdr:rowOff>
    </xdr:to>
    <xdr:cxnSp macro="">
      <xdr:nvCxnSpPr>
        <xdr:cNvPr id="27" name="コネクタ: カギ線 26">
          <a:extLst>
            <a:ext uri="{FF2B5EF4-FFF2-40B4-BE49-F238E27FC236}">
              <a16:creationId xmlns:a16="http://schemas.microsoft.com/office/drawing/2014/main" id="{636075FB-6FDF-44DC-8CBE-9094BF9A1514}"/>
            </a:ext>
          </a:extLst>
        </xdr:cNvPr>
        <xdr:cNvCxnSpPr>
          <a:stCxn id="28" idx="1"/>
          <a:endCxn id="26" idx="1"/>
        </xdr:cNvCxnSpPr>
      </xdr:nvCxnSpPr>
      <xdr:spPr>
        <a:xfrm rot="10800000" flipV="1">
          <a:off x="1909701" y="15309767"/>
          <a:ext cx="1361" cy="53148261"/>
        </a:xfrm>
        <a:prstGeom prst="bentConnector3">
          <a:avLst>
            <a:gd name="adj1" fmla="val 57487950"/>
          </a:avLst>
        </a:prstGeom>
        <a:ln>
          <a:solidFill>
            <a:schemeClr val="tx1"/>
          </a:solidFill>
          <a:tailEnd type="triangle" w="lg" len="lg"/>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253711</xdr:colOff>
      <xdr:row>40</xdr:row>
      <xdr:rowOff>3093</xdr:rowOff>
    </xdr:from>
    <xdr:to>
      <xdr:col>8</xdr:col>
      <xdr:colOff>99790</xdr:colOff>
      <xdr:row>40</xdr:row>
      <xdr:rowOff>155493</xdr:rowOff>
    </xdr:to>
    <xdr:sp macro="" textlink="">
      <xdr:nvSpPr>
        <xdr:cNvPr id="28" name="正方形/長方形 27">
          <a:extLst>
            <a:ext uri="{FF2B5EF4-FFF2-40B4-BE49-F238E27FC236}">
              <a16:creationId xmlns:a16="http://schemas.microsoft.com/office/drawing/2014/main" id="{F0DBD3ED-7F26-4815-85F4-1E1A23436294}"/>
            </a:ext>
          </a:extLst>
        </xdr:cNvPr>
        <xdr:cNvSpPr/>
      </xdr:nvSpPr>
      <xdr:spPr>
        <a:xfrm>
          <a:off x="1911061" y="15233568"/>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1</xdr:row>
      <xdr:rowOff>37729</xdr:rowOff>
    </xdr:from>
    <xdr:to>
      <xdr:col>8</xdr:col>
      <xdr:colOff>119583</xdr:colOff>
      <xdr:row>1</xdr:row>
      <xdr:rowOff>190129</xdr:rowOff>
    </xdr:to>
    <xdr:sp macro="" textlink="">
      <xdr:nvSpPr>
        <xdr:cNvPr id="29" name="正方形/長方形 28">
          <a:extLst>
            <a:ext uri="{FF2B5EF4-FFF2-40B4-BE49-F238E27FC236}">
              <a16:creationId xmlns:a16="http://schemas.microsoft.com/office/drawing/2014/main" id="{6EC1D971-6B9E-4436-AEC4-FBD68E4E3C62}"/>
            </a:ext>
          </a:extLst>
        </xdr:cNvPr>
        <xdr:cNvSpPr/>
      </xdr:nvSpPr>
      <xdr:spPr>
        <a:xfrm>
          <a:off x="1934936" y="5990854"/>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0</xdr:colOff>
      <xdr:row>77</xdr:row>
      <xdr:rowOff>47625</xdr:rowOff>
    </xdr:from>
    <xdr:to>
      <xdr:col>8</xdr:col>
      <xdr:colOff>118222</xdr:colOff>
      <xdr:row>77</xdr:row>
      <xdr:rowOff>200025</xdr:rowOff>
    </xdr:to>
    <xdr:sp macro="" textlink="">
      <xdr:nvSpPr>
        <xdr:cNvPr id="30" name="正方形/長方形 29">
          <a:extLst>
            <a:ext uri="{FF2B5EF4-FFF2-40B4-BE49-F238E27FC236}">
              <a16:creationId xmlns:a16="http://schemas.microsoft.com/office/drawing/2014/main" id="{A6EC08D3-375B-44F6-80BE-203449A0B167}"/>
            </a:ext>
          </a:extLst>
        </xdr:cNvPr>
        <xdr:cNvSpPr/>
      </xdr:nvSpPr>
      <xdr:spPr>
        <a:xfrm>
          <a:off x="1933575" y="51711225"/>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xdr:colOff>
      <xdr:row>1</xdr:row>
      <xdr:rowOff>113929</xdr:rowOff>
    </xdr:from>
    <xdr:to>
      <xdr:col>7</xdr:col>
      <xdr:colOff>1362</xdr:colOff>
      <xdr:row>77</xdr:row>
      <xdr:rowOff>123825</xdr:rowOff>
    </xdr:to>
    <xdr:cxnSp macro="">
      <xdr:nvCxnSpPr>
        <xdr:cNvPr id="31" name="コネクタ: カギ線 30">
          <a:extLst>
            <a:ext uri="{FF2B5EF4-FFF2-40B4-BE49-F238E27FC236}">
              <a16:creationId xmlns:a16="http://schemas.microsoft.com/office/drawing/2014/main" id="{A28EF64C-242D-4828-9DFD-C3DDBAE6CFC8}"/>
            </a:ext>
          </a:extLst>
        </xdr:cNvPr>
        <xdr:cNvCxnSpPr>
          <a:stCxn id="29" idx="1"/>
          <a:endCxn id="30" idx="1"/>
        </xdr:cNvCxnSpPr>
      </xdr:nvCxnSpPr>
      <xdr:spPr>
        <a:xfrm rot="10800000" flipV="1">
          <a:off x="1933576" y="6067054"/>
          <a:ext cx="1361" cy="45720371"/>
        </a:xfrm>
        <a:prstGeom prst="bentConnector3">
          <a:avLst>
            <a:gd name="adj1" fmla="val 21366128"/>
          </a:avLst>
        </a:prstGeom>
        <a:ln>
          <a:solidFill>
            <a:schemeClr val="tx1"/>
          </a:solidFill>
          <a:tailEnd type="triangle" w="lg" len="lg"/>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253711</xdr:colOff>
      <xdr:row>42</xdr:row>
      <xdr:rowOff>3093</xdr:rowOff>
    </xdr:from>
    <xdr:to>
      <xdr:col>8</xdr:col>
      <xdr:colOff>99790</xdr:colOff>
      <xdr:row>42</xdr:row>
      <xdr:rowOff>155493</xdr:rowOff>
    </xdr:to>
    <xdr:sp macro="" textlink="">
      <xdr:nvSpPr>
        <xdr:cNvPr id="32" name="正方形/長方形 31">
          <a:extLst>
            <a:ext uri="{FF2B5EF4-FFF2-40B4-BE49-F238E27FC236}">
              <a16:creationId xmlns:a16="http://schemas.microsoft.com/office/drawing/2014/main" id="{0ED3D642-A92B-4924-A4F1-BFD2F0FCA3E7}"/>
            </a:ext>
          </a:extLst>
        </xdr:cNvPr>
        <xdr:cNvSpPr/>
      </xdr:nvSpPr>
      <xdr:spPr>
        <a:xfrm>
          <a:off x="1911061" y="15709818"/>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253711</xdr:colOff>
      <xdr:row>44</xdr:row>
      <xdr:rowOff>3093</xdr:rowOff>
    </xdr:from>
    <xdr:to>
      <xdr:col>8</xdr:col>
      <xdr:colOff>99790</xdr:colOff>
      <xdr:row>44</xdr:row>
      <xdr:rowOff>155493</xdr:rowOff>
    </xdr:to>
    <xdr:sp macro="" textlink="">
      <xdr:nvSpPr>
        <xdr:cNvPr id="33" name="正方形/長方形 32">
          <a:extLst>
            <a:ext uri="{FF2B5EF4-FFF2-40B4-BE49-F238E27FC236}">
              <a16:creationId xmlns:a16="http://schemas.microsoft.com/office/drawing/2014/main" id="{2A3DAB57-A244-46A1-A557-D6B786683430}"/>
            </a:ext>
          </a:extLst>
        </xdr:cNvPr>
        <xdr:cNvSpPr/>
      </xdr:nvSpPr>
      <xdr:spPr>
        <a:xfrm>
          <a:off x="1911061" y="16186068"/>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253711</xdr:colOff>
      <xdr:row>46</xdr:row>
      <xdr:rowOff>3093</xdr:rowOff>
    </xdr:from>
    <xdr:to>
      <xdr:col>8</xdr:col>
      <xdr:colOff>99790</xdr:colOff>
      <xdr:row>46</xdr:row>
      <xdr:rowOff>155493</xdr:rowOff>
    </xdr:to>
    <xdr:sp macro="" textlink="">
      <xdr:nvSpPr>
        <xdr:cNvPr id="34" name="正方形/長方形 33">
          <a:extLst>
            <a:ext uri="{FF2B5EF4-FFF2-40B4-BE49-F238E27FC236}">
              <a16:creationId xmlns:a16="http://schemas.microsoft.com/office/drawing/2014/main" id="{281DAFD8-F032-4EE4-9ACB-B56D97D7A661}"/>
            </a:ext>
          </a:extLst>
        </xdr:cNvPr>
        <xdr:cNvSpPr/>
      </xdr:nvSpPr>
      <xdr:spPr>
        <a:xfrm>
          <a:off x="1911061" y="16662318"/>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253711</xdr:colOff>
      <xdr:row>48</xdr:row>
      <xdr:rowOff>3093</xdr:rowOff>
    </xdr:from>
    <xdr:to>
      <xdr:col>8</xdr:col>
      <xdr:colOff>99790</xdr:colOff>
      <xdr:row>48</xdr:row>
      <xdr:rowOff>155493</xdr:rowOff>
    </xdr:to>
    <xdr:sp macro="" textlink="">
      <xdr:nvSpPr>
        <xdr:cNvPr id="35" name="正方形/長方形 34">
          <a:extLst>
            <a:ext uri="{FF2B5EF4-FFF2-40B4-BE49-F238E27FC236}">
              <a16:creationId xmlns:a16="http://schemas.microsoft.com/office/drawing/2014/main" id="{B5006034-149F-4F94-A5B6-D513A3B93550}"/>
            </a:ext>
          </a:extLst>
        </xdr:cNvPr>
        <xdr:cNvSpPr/>
      </xdr:nvSpPr>
      <xdr:spPr>
        <a:xfrm>
          <a:off x="1911061" y="17138568"/>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253711</xdr:colOff>
      <xdr:row>50</xdr:row>
      <xdr:rowOff>3093</xdr:rowOff>
    </xdr:from>
    <xdr:to>
      <xdr:col>8</xdr:col>
      <xdr:colOff>99790</xdr:colOff>
      <xdr:row>50</xdr:row>
      <xdr:rowOff>155493</xdr:rowOff>
    </xdr:to>
    <xdr:sp macro="" textlink="">
      <xdr:nvSpPr>
        <xdr:cNvPr id="36" name="正方形/長方形 35">
          <a:extLst>
            <a:ext uri="{FF2B5EF4-FFF2-40B4-BE49-F238E27FC236}">
              <a16:creationId xmlns:a16="http://schemas.microsoft.com/office/drawing/2014/main" id="{5535BA33-16F9-4CCD-9301-FE0AF548A474}"/>
            </a:ext>
          </a:extLst>
        </xdr:cNvPr>
        <xdr:cNvSpPr/>
      </xdr:nvSpPr>
      <xdr:spPr>
        <a:xfrm>
          <a:off x="1911061" y="17614818"/>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253711</xdr:colOff>
      <xdr:row>52</xdr:row>
      <xdr:rowOff>3093</xdr:rowOff>
    </xdr:from>
    <xdr:to>
      <xdr:col>8</xdr:col>
      <xdr:colOff>99790</xdr:colOff>
      <xdr:row>52</xdr:row>
      <xdr:rowOff>155493</xdr:rowOff>
    </xdr:to>
    <xdr:sp macro="" textlink="">
      <xdr:nvSpPr>
        <xdr:cNvPr id="37" name="正方形/長方形 36">
          <a:extLst>
            <a:ext uri="{FF2B5EF4-FFF2-40B4-BE49-F238E27FC236}">
              <a16:creationId xmlns:a16="http://schemas.microsoft.com/office/drawing/2014/main" id="{AD1AFBD5-6D1B-4163-9048-EA073468ACD1}"/>
            </a:ext>
          </a:extLst>
        </xdr:cNvPr>
        <xdr:cNvSpPr/>
      </xdr:nvSpPr>
      <xdr:spPr>
        <a:xfrm>
          <a:off x="1911061" y="18091068"/>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253711</xdr:colOff>
      <xdr:row>54</xdr:row>
      <xdr:rowOff>3093</xdr:rowOff>
    </xdr:from>
    <xdr:to>
      <xdr:col>8</xdr:col>
      <xdr:colOff>99790</xdr:colOff>
      <xdr:row>54</xdr:row>
      <xdr:rowOff>155493</xdr:rowOff>
    </xdr:to>
    <xdr:sp macro="" textlink="">
      <xdr:nvSpPr>
        <xdr:cNvPr id="38" name="正方形/長方形 37">
          <a:extLst>
            <a:ext uri="{FF2B5EF4-FFF2-40B4-BE49-F238E27FC236}">
              <a16:creationId xmlns:a16="http://schemas.microsoft.com/office/drawing/2014/main" id="{627376EC-2275-4324-9330-5AE19193A746}"/>
            </a:ext>
          </a:extLst>
        </xdr:cNvPr>
        <xdr:cNvSpPr/>
      </xdr:nvSpPr>
      <xdr:spPr>
        <a:xfrm>
          <a:off x="1911061" y="18567318"/>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4</xdr:row>
      <xdr:rowOff>37729</xdr:rowOff>
    </xdr:from>
    <xdr:to>
      <xdr:col>8</xdr:col>
      <xdr:colOff>119583</xdr:colOff>
      <xdr:row>4</xdr:row>
      <xdr:rowOff>190129</xdr:rowOff>
    </xdr:to>
    <xdr:sp macro="" textlink="">
      <xdr:nvSpPr>
        <xdr:cNvPr id="39" name="正方形/長方形 38">
          <a:extLst>
            <a:ext uri="{FF2B5EF4-FFF2-40B4-BE49-F238E27FC236}">
              <a16:creationId xmlns:a16="http://schemas.microsoft.com/office/drawing/2014/main" id="{9CA1476D-9F81-4AEC-8E3A-051B1B8EF1AB}"/>
            </a:ext>
          </a:extLst>
        </xdr:cNvPr>
        <xdr:cNvSpPr/>
      </xdr:nvSpPr>
      <xdr:spPr>
        <a:xfrm>
          <a:off x="1934936" y="6705229"/>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6</xdr:row>
      <xdr:rowOff>37729</xdr:rowOff>
    </xdr:from>
    <xdr:to>
      <xdr:col>8</xdr:col>
      <xdr:colOff>119583</xdr:colOff>
      <xdr:row>6</xdr:row>
      <xdr:rowOff>190129</xdr:rowOff>
    </xdr:to>
    <xdr:sp macro="" textlink="">
      <xdr:nvSpPr>
        <xdr:cNvPr id="40" name="正方形/長方形 39">
          <a:extLst>
            <a:ext uri="{FF2B5EF4-FFF2-40B4-BE49-F238E27FC236}">
              <a16:creationId xmlns:a16="http://schemas.microsoft.com/office/drawing/2014/main" id="{F9302D7C-E118-4E01-B929-22200BF02BE3}"/>
            </a:ext>
          </a:extLst>
        </xdr:cNvPr>
        <xdr:cNvSpPr/>
      </xdr:nvSpPr>
      <xdr:spPr>
        <a:xfrm>
          <a:off x="1934936" y="7181479"/>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8</xdr:row>
      <xdr:rowOff>37729</xdr:rowOff>
    </xdr:from>
    <xdr:to>
      <xdr:col>8</xdr:col>
      <xdr:colOff>119583</xdr:colOff>
      <xdr:row>8</xdr:row>
      <xdr:rowOff>190129</xdr:rowOff>
    </xdr:to>
    <xdr:sp macro="" textlink="">
      <xdr:nvSpPr>
        <xdr:cNvPr id="41" name="正方形/長方形 40">
          <a:extLst>
            <a:ext uri="{FF2B5EF4-FFF2-40B4-BE49-F238E27FC236}">
              <a16:creationId xmlns:a16="http://schemas.microsoft.com/office/drawing/2014/main" id="{C17B1288-D5C3-4C34-95C3-2F066B632425}"/>
            </a:ext>
          </a:extLst>
        </xdr:cNvPr>
        <xdr:cNvSpPr/>
      </xdr:nvSpPr>
      <xdr:spPr>
        <a:xfrm>
          <a:off x="1934936" y="7657729"/>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10</xdr:row>
      <xdr:rowOff>37729</xdr:rowOff>
    </xdr:from>
    <xdr:to>
      <xdr:col>8</xdr:col>
      <xdr:colOff>119583</xdr:colOff>
      <xdr:row>10</xdr:row>
      <xdr:rowOff>190129</xdr:rowOff>
    </xdr:to>
    <xdr:sp macro="" textlink="">
      <xdr:nvSpPr>
        <xdr:cNvPr id="42" name="正方形/長方形 41">
          <a:extLst>
            <a:ext uri="{FF2B5EF4-FFF2-40B4-BE49-F238E27FC236}">
              <a16:creationId xmlns:a16="http://schemas.microsoft.com/office/drawing/2014/main" id="{FB5D1AED-2787-4E16-B058-8BB433C4A674}"/>
            </a:ext>
          </a:extLst>
        </xdr:cNvPr>
        <xdr:cNvSpPr/>
      </xdr:nvSpPr>
      <xdr:spPr>
        <a:xfrm>
          <a:off x="1934936" y="8133979"/>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12</xdr:row>
      <xdr:rowOff>37729</xdr:rowOff>
    </xdr:from>
    <xdr:to>
      <xdr:col>8</xdr:col>
      <xdr:colOff>119583</xdr:colOff>
      <xdr:row>12</xdr:row>
      <xdr:rowOff>190129</xdr:rowOff>
    </xdr:to>
    <xdr:sp macro="" textlink="">
      <xdr:nvSpPr>
        <xdr:cNvPr id="43" name="正方形/長方形 42">
          <a:extLst>
            <a:ext uri="{FF2B5EF4-FFF2-40B4-BE49-F238E27FC236}">
              <a16:creationId xmlns:a16="http://schemas.microsoft.com/office/drawing/2014/main" id="{4BA5421D-C034-491A-81AC-A7E231BF10AE}"/>
            </a:ext>
          </a:extLst>
        </xdr:cNvPr>
        <xdr:cNvSpPr/>
      </xdr:nvSpPr>
      <xdr:spPr>
        <a:xfrm>
          <a:off x="1934936" y="8610229"/>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14</xdr:row>
      <xdr:rowOff>37729</xdr:rowOff>
    </xdr:from>
    <xdr:to>
      <xdr:col>8</xdr:col>
      <xdr:colOff>119583</xdr:colOff>
      <xdr:row>14</xdr:row>
      <xdr:rowOff>190129</xdr:rowOff>
    </xdr:to>
    <xdr:sp macro="" textlink="">
      <xdr:nvSpPr>
        <xdr:cNvPr id="44" name="正方形/長方形 43">
          <a:extLst>
            <a:ext uri="{FF2B5EF4-FFF2-40B4-BE49-F238E27FC236}">
              <a16:creationId xmlns:a16="http://schemas.microsoft.com/office/drawing/2014/main" id="{0AE9C685-961E-41D2-BBF1-992838DC1862}"/>
            </a:ext>
          </a:extLst>
        </xdr:cNvPr>
        <xdr:cNvSpPr/>
      </xdr:nvSpPr>
      <xdr:spPr>
        <a:xfrm>
          <a:off x="1934936" y="9086479"/>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16</xdr:row>
      <xdr:rowOff>37729</xdr:rowOff>
    </xdr:from>
    <xdr:to>
      <xdr:col>8</xdr:col>
      <xdr:colOff>119583</xdr:colOff>
      <xdr:row>16</xdr:row>
      <xdr:rowOff>190129</xdr:rowOff>
    </xdr:to>
    <xdr:sp macro="" textlink="">
      <xdr:nvSpPr>
        <xdr:cNvPr id="45" name="正方形/長方形 44">
          <a:extLst>
            <a:ext uri="{FF2B5EF4-FFF2-40B4-BE49-F238E27FC236}">
              <a16:creationId xmlns:a16="http://schemas.microsoft.com/office/drawing/2014/main" id="{EC4DD2A2-F816-4AB6-8C3A-479600726CB1}"/>
            </a:ext>
          </a:extLst>
        </xdr:cNvPr>
        <xdr:cNvSpPr/>
      </xdr:nvSpPr>
      <xdr:spPr>
        <a:xfrm>
          <a:off x="1934936" y="9562729"/>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19</xdr:row>
      <xdr:rowOff>37729</xdr:rowOff>
    </xdr:from>
    <xdr:to>
      <xdr:col>8</xdr:col>
      <xdr:colOff>119583</xdr:colOff>
      <xdr:row>19</xdr:row>
      <xdr:rowOff>190129</xdr:rowOff>
    </xdr:to>
    <xdr:sp macro="" textlink="">
      <xdr:nvSpPr>
        <xdr:cNvPr id="46" name="正方形/長方形 45">
          <a:extLst>
            <a:ext uri="{FF2B5EF4-FFF2-40B4-BE49-F238E27FC236}">
              <a16:creationId xmlns:a16="http://schemas.microsoft.com/office/drawing/2014/main" id="{55E71464-4602-41D9-A4D8-42D982DFC144}"/>
            </a:ext>
          </a:extLst>
        </xdr:cNvPr>
        <xdr:cNvSpPr/>
      </xdr:nvSpPr>
      <xdr:spPr>
        <a:xfrm>
          <a:off x="1934936" y="10277104"/>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21</xdr:row>
      <xdr:rowOff>37729</xdr:rowOff>
    </xdr:from>
    <xdr:to>
      <xdr:col>8</xdr:col>
      <xdr:colOff>119583</xdr:colOff>
      <xdr:row>21</xdr:row>
      <xdr:rowOff>190129</xdr:rowOff>
    </xdr:to>
    <xdr:sp macro="" textlink="">
      <xdr:nvSpPr>
        <xdr:cNvPr id="47" name="正方形/長方形 46">
          <a:extLst>
            <a:ext uri="{FF2B5EF4-FFF2-40B4-BE49-F238E27FC236}">
              <a16:creationId xmlns:a16="http://schemas.microsoft.com/office/drawing/2014/main" id="{2A59DCC4-9E0F-4835-B1DD-C2A4E538F76B}"/>
            </a:ext>
          </a:extLst>
        </xdr:cNvPr>
        <xdr:cNvSpPr/>
      </xdr:nvSpPr>
      <xdr:spPr>
        <a:xfrm>
          <a:off x="1934936" y="10753354"/>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23</xdr:row>
      <xdr:rowOff>37729</xdr:rowOff>
    </xdr:from>
    <xdr:to>
      <xdr:col>8</xdr:col>
      <xdr:colOff>119583</xdr:colOff>
      <xdr:row>23</xdr:row>
      <xdr:rowOff>190129</xdr:rowOff>
    </xdr:to>
    <xdr:sp macro="" textlink="">
      <xdr:nvSpPr>
        <xdr:cNvPr id="48" name="正方形/長方形 47">
          <a:extLst>
            <a:ext uri="{FF2B5EF4-FFF2-40B4-BE49-F238E27FC236}">
              <a16:creationId xmlns:a16="http://schemas.microsoft.com/office/drawing/2014/main" id="{3F68259F-B7E4-49C6-B70E-2096F8337B61}"/>
            </a:ext>
          </a:extLst>
        </xdr:cNvPr>
        <xdr:cNvSpPr/>
      </xdr:nvSpPr>
      <xdr:spPr>
        <a:xfrm>
          <a:off x="1934936" y="11229604"/>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25</xdr:row>
      <xdr:rowOff>37729</xdr:rowOff>
    </xdr:from>
    <xdr:to>
      <xdr:col>8</xdr:col>
      <xdr:colOff>119583</xdr:colOff>
      <xdr:row>25</xdr:row>
      <xdr:rowOff>190129</xdr:rowOff>
    </xdr:to>
    <xdr:sp macro="" textlink="">
      <xdr:nvSpPr>
        <xdr:cNvPr id="49" name="正方形/長方形 48">
          <a:extLst>
            <a:ext uri="{FF2B5EF4-FFF2-40B4-BE49-F238E27FC236}">
              <a16:creationId xmlns:a16="http://schemas.microsoft.com/office/drawing/2014/main" id="{422B5D29-7C92-4896-B2D3-83D59E726E2A}"/>
            </a:ext>
          </a:extLst>
        </xdr:cNvPr>
        <xdr:cNvSpPr/>
      </xdr:nvSpPr>
      <xdr:spPr>
        <a:xfrm>
          <a:off x="1934936" y="11705854"/>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27</xdr:row>
      <xdr:rowOff>37729</xdr:rowOff>
    </xdr:from>
    <xdr:to>
      <xdr:col>8</xdr:col>
      <xdr:colOff>119583</xdr:colOff>
      <xdr:row>27</xdr:row>
      <xdr:rowOff>190129</xdr:rowOff>
    </xdr:to>
    <xdr:sp macro="" textlink="">
      <xdr:nvSpPr>
        <xdr:cNvPr id="50" name="正方形/長方形 49">
          <a:extLst>
            <a:ext uri="{FF2B5EF4-FFF2-40B4-BE49-F238E27FC236}">
              <a16:creationId xmlns:a16="http://schemas.microsoft.com/office/drawing/2014/main" id="{4D32886E-E4E1-4633-A414-8D77AC704F30}"/>
            </a:ext>
          </a:extLst>
        </xdr:cNvPr>
        <xdr:cNvSpPr/>
      </xdr:nvSpPr>
      <xdr:spPr>
        <a:xfrm>
          <a:off x="1934936" y="12182104"/>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29</xdr:row>
      <xdr:rowOff>37729</xdr:rowOff>
    </xdr:from>
    <xdr:to>
      <xdr:col>8</xdr:col>
      <xdr:colOff>119583</xdr:colOff>
      <xdr:row>29</xdr:row>
      <xdr:rowOff>190129</xdr:rowOff>
    </xdr:to>
    <xdr:sp macro="" textlink="">
      <xdr:nvSpPr>
        <xdr:cNvPr id="51" name="正方形/長方形 50">
          <a:extLst>
            <a:ext uri="{FF2B5EF4-FFF2-40B4-BE49-F238E27FC236}">
              <a16:creationId xmlns:a16="http://schemas.microsoft.com/office/drawing/2014/main" id="{2A96B75E-9B67-4E98-985F-FFDB1863AC8F}"/>
            </a:ext>
          </a:extLst>
        </xdr:cNvPr>
        <xdr:cNvSpPr/>
      </xdr:nvSpPr>
      <xdr:spPr>
        <a:xfrm>
          <a:off x="1934936" y="12658354"/>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31</xdr:row>
      <xdr:rowOff>37729</xdr:rowOff>
    </xdr:from>
    <xdr:to>
      <xdr:col>8</xdr:col>
      <xdr:colOff>119583</xdr:colOff>
      <xdr:row>31</xdr:row>
      <xdr:rowOff>190129</xdr:rowOff>
    </xdr:to>
    <xdr:sp macro="" textlink="">
      <xdr:nvSpPr>
        <xdr:cNvPr id="52" name="正方形/長方形 51">
          <a:extLst>
            <a:ext uri="{FF2B5EF4-FFF2-40B4-BE49-F238E27FC236}">
              <a16:creationId xmlns:a16="http://schemas.microsoft.com/office/drawing/2014/main" id="{19B54E54-B257-4FBC-AA11-738E2405CC63}"/>
            </a:ext>
          </a:extLst>
        </xdr:cNvPr>
        <xdr:cNvSpPr/>
      </xdr:nvSpPr>
      <xdr:spPr>
        <a:xfrm>
          <a:off x="1934936" y="13134604"/>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34</xdr:row>
      <xdr:rowOff>37729</xdr:rowOff>
    </xdr:from>
    <xdr:to>
      <xdr:col>8</xdr:col>
      <xdr:colOff>119583</xdr:colOff>
      <xdr:row>34</xdr:row>
      <xdr:rowOff>190129</xdr:rowOff>
    </xdr:to>
    <xdr:sp macro="" textlink="">
      <xdr:nvSpPr>
        <xdr:cNvPr id="53" name="正方形/長方形 52">
          <a:extLst>
            <a:ext uri="{FF2B5EF4-FFF2-40B4-BE49-F238E27FC236}">
              <a16:creationId xmlns:a16="http://schemas.microsoft.com/office/drawing/2014/main" id="{0F3402A7-6962-444D-9D73-93BC08EB0627}"/>
            </a:ext>
          </a:extLst>
        </xdr:cNvPr>
        <xdr:cNvSpPr/>
      </xdr:nvSpPr>
      <xdr:spPr>
        <a:xfrm>
          <a:off x="1934936" y="13848979"/>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253711</xdr:colOff>
      <xdr:row>57</xdr:row>
      <xdr:rowOff>3093</xdr:rowOff>
    </xdr:from>
    <xdr:to>
      <xdr:col>8</xdr:col>
      <xdr:colOff>99790</xdr:colOff>
      <xdr:row>57</xdr:row>
      <xdr:rowOff>155493</xdr:rowOff>
    </xdr:to>
    <xdr:sp macro="" textlink="">
      <xdr:nvSpPr>
        <xdr:cNvPr id="54" name="正方形/長方形 53">
          <a:extLst>
            <a:ext uri="{FF2B5EF4-FFF2-40B4-BE49-F238E27FC236}">
              <a16:creationId xmlns:a16="http://schemas.microsoft.com/office/drawing/2014/main" id="{1B983585-31FB-4D50-9AB7-E7D18119D05A}"/>
            </a:ext>
          </a:extLst>
        </xdr:cNvPr>
        <xdr:cNvSpPr/>
      </xdr:nvSpPr>
      <xdr:spPr>
        <a:xfrm>
          <a:off x="1911061" y="19281693"/>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253711</xdr:colOff>
      <xdr:row>59</xdr:row>
      <xdr:rowOff>3093</xdr:rowOff>
    </xdr:from>
    <xdr:to>
      <xdr:col>8</xdr:col>
      <xdr:colOff>99790</xdr:colOff>
      <xdr:row>59</xdr:row>
      <xdr:rowOff>155493</xdr:rowOff>
    </xdr:to>
    <xdr:sp macro="" textlink="">
      <xdr:nvSpPr>
        <xdr:cNvPr id="55" name="正方形/長方形 54">
          <a:extLst>
            <a:ext uri="{FF2B5EF4-FFF2-40B4-BE49-F238E27FC236}">
              <a16:creationId xmlns:a16="http://schemas.microsoft.com/office/drawing/2014/main" id="{538B9AE2-4907-4B62-B839-6B0C9AB1B326}"/>
            </a:ext>
          </a:extLst>
        </xdr:cNvPr>
        <xdr:cNvSpPr/>
      </xdr:nvSpPr>
      <xdr:spPr>
        <a:xfrm>
          <a:off x="1911061" y="19757943"/>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253711</xdr:colOff>
      <xdr:row>61</xdr:row>
      <xdr:rowOff>3093</xdr:rowOff>
    </xdr:from>
    <xdr:to>
      <xdr:col>8</xdr:col>
      <xdr:colOff>99790</xdr:colOff>
      <xdr:row>61</xdr:row>
      <xdr:rowOff>155493</xdr:rowOff>
    </xdr:to>
    <xdr:sp macro="" textlink="">
      <xdr:nvSpPr>
        <xdr:cNvPr id="56" name="正方形/長方形 55">
          <a:extLst>
            <a:ext uri="{FF2B5EF4-FFF2-40B4-BE49-F238E27FC236}">
              <a16:creationId xmlns:a16="http://schemas.microsoft.com/office/drawing/2014/main" id="{3EB65F46-1357-452E-8C76-5D39BCA8E69C}"/>
            </a:ext>
          </a:extLst>
        </xdr:cNvPr>
        <xdr:cNvSpPr/>
      </xdr:nvSpPr>
      <xdr:spPr>
        <a:xfrm>
          <a:off x="1911061" y="20234193"/>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253711</xdr:colOff>
      <xdr:row>63</xdr:row>
      <xdr:rowOff>3093</xdr:rowOff>
    </xdr:from>
    <xdr:to>
      <xdr:col>8</xdr:col>
      <xdr:colOff>99790</xdr:colOff>
      <xdr:row>63</xdr:row>
      <xdr:rowOff>155493</xdr:rowOff>
    </xdr:to>
    <xdr:sp macro="" textlink="">
      <xdr:nvSpPr>
        <xdr:cNvPr id="57" name="正方形/長方形 56">
          <a:extLst>
            <a:ext uri="{FF2B5EF4-FFF2-40B4-BE49-F238E27FC236}">
              <a16:creationId xmlns:a16="http://schemas.microsoft.com/office/drawing/2014/main" id="{0FA3DA7C-8702-408C-8D64-C2287FFEC16F}"/>
            </a:ext>
          </a:extLst>
        </xdr:cNvPr>
        <xdr:cNvSpPr/>
      </xdr:nvSpPr>
      <xdr:spPr>
        <a:xfrm>
          <a:off x="1911061" y="20710443"/>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253711</xdr:colOff>
      <xdr:row>65</xdr:row>
      <xdr:rowOff>3093</xdr:rowOff>
    </xdr:from>
    <xdr:to>
      <xdr:col>8</xdr:col>
      <xdr:colOff>99790</xdr:colOff>
      <xdr:row>65</xdr:row>
      <xdr:rowOff>155493</xdr:rowOff>
    </xdr:to>
    <xdr:sp macro="" textlink="">
      <xdr:nvSpPr>
        <xdr:cNvPr id="58" name="正方形/長方形 57">
          <a:extLst>
            <a:ext uri="{FF2B5EF4-FFF2-40B4-BE49-F238E27FC236}">
              <a16:creationId xmlns:a16="http://schemas.microsoft.com/office/drawing/2014/main" id="{F3D78213-DDBF-40EF-9D55-11CCF1F95B5C}"/>
            </a:ext>
          </a:extLst>
        </xdr:cNvPr>
        <xdr:cNvSpPr/>
      </xdr:nvSpPr>
      <xdr:spPr>
        <a:xfrm>
          <a:off x="1911061" y="21186693"/>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253711</xdr:colOff>
      <xdr:row>67</xdr:row>
      <xdr:rowOff>3093</xdr:rowOff>
    </xdr:from>
    <xdr:to>
      <xdr:col>8</xdr:col>
      <xdr:colOff>99790</xdr:colOff>
      <xdr:row>67</xdr:row>
      <xdr:rowOff>155493</xdr:rowOff>
    </xdr:to>
    <xdr:sp macro="" textlink="">
      <xdr:nvSpPr>
        <xdr:cNvPr id="59" name="正方形/長方形 58">
          <a:extLst>
            <a:ext uri="{FF2B5EF4-FFF2-40B4-BE49-F238E27FC236}">
              <a16:creationId xmlns:a16="http://schemas.microsoft.com/office/drawing/2014/main" id="{B306E5E6-7CF5-48F9-9CD2-8ADD27A63C8F}"/>
            </a:ext>
          </a:extLst>
        </xdr:cNvPr>
        <xdr:cNvSpPr/>
      </xdr:nvSpPr>
      <xdr:spPr>
        <a:xfrm>
          <a:off x="1911061" y="21662943"/>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253711</xdr:colOff>
      <xdr:row>69</xdr:row>
      <xdr:rowOff>3093</xdr:rowOff>
    </xdr:from>
    <xdr:to>
      <xdr:col>8</xdr:col>
      <xdr:colOff>99790</xdr:colOff>
      <xdr:row>69</xdr:row>
      <xdr:rowOff>155493</xdr:rowOff>
    </xdr:to>
    <xdr:sp macro="" textlink="">
      <xdr:nvSpPr>
        <xdr:cNvPr id="60" name="正方形/長方形 59">
          <a:extLst>
            <a:ext uri="{FF2B5EF4-FFF2-40B4-BE49-F238E27FC236}">
              <a16:creationId xmlns:a16="http://schemas.microsoft.com/office/drawing/2014/main" id="{EFB604D5-BC96-4806-8F05-5B2652CE63C1}"/>
            </a:ext>
          </a:extLst>
        </xdr:cNvPr>
        <xdr:cNvSpPr/>
      </xdr:nvSpPr>
      <xdr:spPr>
        <a:xfrm>
          <a:off x="1911061" y="22139193"/>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253711</xdr:colOff>
      <xdr:row>72</xdr:row>
      <xdr:rowOff>3093</xdr:rowOff>
    </xdr:from>
    <xdr:to>
      <xdr:col>8</xdr:col>
      <xdr:colOff>99790</xdr:colOff>
      <xdr:row>72</xdr:row>
      <xdr:rowOff>155493</xdr:rowOff>
    </xdr:to>
    <xdr:sp macro="" textlink="">
      <xdr:nvSpPr>
        <xdr:cNvPr id="61" name="正方形/長方形 60">
          <a:extLst>
            <a:ext uri="{FF2B5EF4-FFF2-40B4-BE49-F238E27FC236}">
              <a16:creationId xmlns:a16="http://schemas.microsoft.com/office/drawing/2014/main" id="{2EC6B4BB-0F1F-48EC-8F09-190BD9729DCF}"/>
            </a:ext>
          </a:extLst>
        </xdr:cNvPr>
        <xdr:cNvSpPr/>
      </xdr:nvSpPr>
      <xdr:spPr>
        <a:xfrm>
          <a:off x="1911061" y="22853568"/>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7</xdr:col>
      <xdr:colOff>0</xdr:colOff>
      <xdr:row>2</xdr:row>
      <xdr:rowOff>123824</xdr:rowOff>
    </xdr:from>
    <xdr:to>
      <xdr:col>7</xdr:col>
      <xdr:colOff>12700</xdr:colOff>
      <xdr:row>24</xdr:row>
      <xdr:rowOff>123824</xdr:rowOff>
    </xdr:to>
    <xdr:cxnSp macro="">
      <xdr:nvCxnSpPr>
        <xdr:cNvPr id="2" name="コネクタ: カギ線 1">
          <a:extLst>
            <a:ext uri="{FF2B5EF4-FFF2-40B4-BE49-F238E27FC236}">
              <a16:creationId xmlns:a16="http://schemas.microsoft.com/office/drawing/2014/main" id="{6FE6DF07-F4E7-411C-9A21-0E8D25D7F457}"/>
            </a:ext>
          </a:extLst>
        </xdr:cNvPr>
        <xdr:cNvCxnSpPr>
          <a:stCxn id="3" idx="1"/>
          <a:endCxn id="5" idx="1"/>
        </xdr:cNvCxnSpPr>
      </xdr:nvCxnSpPr>
      <xdr:spPr>
        <a:xfrm rot="10800000" flipV="1">
          <a:off x="1933575" y="600074"/>
          <a:ext cx="12700" cy="8334375"/>
        </a:xfrm>
        <a:prstGeom prst="bentConnector3">
          <a:avLst>
            <a:gd name="adj1" fmla="val 2282142"/>
          </a:avLst>
        </a:prstGeom>
        <a:ln>
          <a:solidFill>
            <a:schemeClr val="tx1"/>
          </a:solidFill>
          <a:tailEnd type="triangle" w="lg" len="lg"/>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0</xdr:colOff>
      <xdr:row>2</xdr:row>
      <xdr:rowOff>47625</xdr:rowOff>
    </xdr:from>
    <xdr:to>
      <xdr:col>8</xdr:col>
      <xdr:colOff>118222</xdr:colOff>
      <xdr:row>2</xdr:row>
      <xdr:rowOff>200025</xdr:rowOff>
    </xdr:to>
    <xdr:sp macro="" textlink="">
      <xdr:nvSpPr>
        <xdr:cNvPr id="3" name="正方形/長方形 2">
          <a:extLst>
            <a:ext uri="{FF2B5EF4-FFF2-40B4-BE49-F238E27FC236}">
              <a16:creationId xmlns:a16="http://schemas.microsoft.com/office/drawing/2014/main" id="{45E2D6CE-E4F1-4AD3-A058-9C776DDA6C19}"/>
            </a:ext>
          </a:extLst>
        </xdr:cNvPr>
        <xdr:cNvSpPr/>
      </xdr:nvSpPr>
      <xdr:spPr>
        <a:xfrm>
          <a:off x="1933575" y="523875"/>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0</xdr:colOff>
      <xdr:row>3</xdr:row>
      <xdr:rowOff>44823</xdr:rowOff>
    </xdr:from>
    <xdr:to>
      <xdr:col>8</xdr:col>
      <xdr:colOff>118222</xdr:colOff>
      <xdr:row>3</xdr:row>
      <xdr:rowOff>197223</xdr:rowOff>
    </xdr:to>
    <xdr:sp macro="" textlink="">
      <xdr:nvSpPr>
        <xdr:cNvPr id="4" name="正方形/長方形 3">
          <a:extLst>
            <a:ext uri="{FF2B5EF4-FFF2-40B4-BE49-F238E27FC236}">
              <a16:creationId xmlns:a16="http://schemas.microsoft.com/office/drawing/2014/main" id="{3BBCA5BF-CDD6-491A-889F-33644A670041}"/>
            </a:ext>
          </a:extLst>
        </xdr:cNvPr>
        <xdr:cNvSpPr/>
      </xdr:nvSpPr>
      <xdr:spPr>
        <a:xfrm>
          <a:off x="1933575" y="759198"/>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0</xdr:colOff>
      <xdr:row>24</xdr:row>
      <xdr:rowOff>47625</xdr:rowOff>
    </xdr:from>
    <xdr:to>
      <xdr:col>8</xdr:col>
      <xdr:colOff>118222</xdr:colOff>
      <xdr:row>24</xdr:row>
      <xdr:rowOff>200025</xdr:rowOff>
    </xdr:to>
    <xdr:sp macro="" textlink="">
      <xdr:nvSpPr>
        <xdr:cNvPr id="5" name="正方形/長方形 4">
          <a:extLst>
            <a:ext uri="{FF2B5EF4-FFF2-40B4-BE49-F238E27FC236}">
              <a16:creationId xmlns:a16="http://schemas.microsoft.com/office/drawing/2014/main" id="{0BDB9607-0CE5-4216-8C19-CF0C5E1BC8F8}"/>
            </a:ext>
          </a:extLst>
        </xdr:cNvPr>
        <xdr:cNvSpPr/>
      </xdr:nvSpPr>
      <xdr:spPr>
        <a:xfrm>
          <a:off x="1933575" y="8858250"/>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0</xdr:colOff>
      <xdr:row>3</xdr:row>
      <xdr:rowOff>121023</xdr:rowOff>
    </xdr:from>
    <xdr:to>
      <xdr:col>7</xdr:col>
      <xdr:colOff>12700</xdr:colOff>
      <xdr:row>74</xdr:row>
      <xdr:rowOff>142875</xdr:rowOff>
    </xdr:to>
    <xdr:cxnSp macro="">
      <xdr:nvCxnSpPr>
        <xdr:cNvPr id="6" name="コネクタ: カギ線 5">
          <a:extLst>
            <a:ext uri="{FF2B5EF4-FFF2-40B4-BE49-F238E27FC236}">
              <a16:creationId xmlns:a16="http://schemas.microsoft.com/office/drawing/2014/main" id="{B055D70C-70D9-4B7F-A7BA-485085129018}"/>
            </a:ext>
          </a:extLst>
        </xdr:cNvPr>
        <xdr:cNvCxnSpPr>
          <a:stCxn id="4" idx="1"/>
          <a:endCxn id="7" idx="1"/>
        </xdr:cNvCxnSpPr>
      </xdr:nvCxnSpPr>
      <xdr:spPr>
        <a:xfrm rot="10800000" flipV="1">
          <a:off x="1933575" y="835398"/>
          <a:ext cx="12700" cy="18595602"/>
        </a:xfrm>
        <a:prstGeom prst="bentConnector3">
          <a:avLst>
            <a:gd name="adj1" fmla="val 4339283"/>
          </a:avLst>
        </a:prstGeom>
        <a:ln>
          <a:solidFill>
            <a:schemeClr val="tx1"/>
          </a:solidFill>
          <a:tailEnd type="triangle" w="lg" len="lg"/>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0</xdr:colOff>
      <xdr:row>74</xdr:row>
      <xdr:rowOff>66675</xdr:rowOff>
    </xdr:from>
    <xdr:to>
      <xdr:col>8</xdr:col>
      <xdr:colOff>118222</xdr:colOff>
      <xdr:row>74</xdr:row>
      <xdr:rowOff>219075</xdr:rowOff>
    </xdr:to>
    <xdr:sp macro="" textlink="">
      <xdr:nvSpPr>
        <xdr:cNvPr id="7" name="正方形/長方形 6">
          <a:extLst>
            <a:ext uri="{FF2B5EF4-FFF2-40B4-BE49-F238E27FC236}">
              <a16:creationId xmlns:a16="http://schemas.microsoft.com/office/drawing/2014/main" id="{3DE06188-60C7-4422-84BE-2963B8753337}"/>
            </a:ext>
          </a:extLst>
        </xdr:cNvPr>
        <xdr:cNvSpPr/>
      </xdr:nvSpPr>
      <xdr:spPr>
        <a:xfrm>
          <a:off x="1933575" y="19354800"/>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23</xdr:col>
      <xdr:colOff>149679</xdr:colOff>
      <xdr:row>14</xdr:row>
      <xdr:rowOff>51707</xdr:rowOff>
    </xdr:from>
    <xdr:to>
      <xdr:col>24</xdr:col>
      <xdr:colOff>267901</xdr:colOff>
      <xdr:row>14</xdr:row>
      <xdr:rowOff>204107</xdr:rowOff>
    </xdr:to>
    <xdr:sp macro="" textlink="">
      <xdr:nvSpPr>
        <xdr:cNvPr id="8" name="正方形/長方形 7">
          <a:extLst>
            <a:ext uri="{FF2B5EF4-FFF2-40B4-BE49-F238E27FC236}">
              <a16:creationId xmlns:a16="http://schemas.microsoft.com/office/drawing/2014/main" id="{5BB9CD43-732E-4E1A-8F48-E423C6BD9782}"/>
            </a:ext>
          </a:extLst>
        </xdr:cNvPr>
        <xdr:cNvSpPr/>
      </xdr:nvSpPr>
      <xdr:spPr>
        <a:xfrm>
          <a:off x="6502854" y="4576082"/>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266700</xdr:colOff>
      <xdr:row>24</xdr:row>
      <xdr:rowOff>0</xdr:rowOff>
    </xdr:from>
    <xdr:to>
      <xdr:col>8</xdr:col>
      <xdr:colOff>108697</xdr:colOff>
      <xdr:row>24</xdr:row>
      <xdr:rowOff>0</xdr:rowOff>
    </xdr:to>
    <xdr:sp macro="" textlink="">
      <xdr:nvSpPr>
        <xdr:cNvPr id="9" name="正方形/長方形 8">
          <a:extLst>
            <a:ext uri="{FF2B5EF4-FFF2-40B4-BE49-F238E27FC236}">
              <a16:creationId xmlns:a16="http://schemas.microsoft.com/office/drawing/2014/main" id="{9C2F447F-8FED-4AAB-AA88-66D972E3D7C8}"/>
            </a:ext>
          </a:extLst>
        </xdr:cNvPr>
        <xdr:cNvSpPr/>
      </xdr:nvSpPr>
      <xdr:spPr>
        <a:xfrm>
          <a:off x="1924050" y="8810625"/>
          <a:ext cx="394447" cy="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57</xdr:col>
      <xdr:colOff>269261</xdr:colOff>
      <xdr:row>6</xdr:row>
      <xdr:rowOff>130629</xdr:rowOff>
    </xdr:from>
    <xdr:to>
      <xdr:col>57</xdr:col>
      <xdr:colOff>271983</xdr:colOff>
      <xdr:row>122</xdr:row>
      <xdr:rowOff>119743</xdr:rowOff>
    </xdr:to>
    <xdr:cxnSp macro="">
      <xdr:nvCxnSpPr>
        <xdr:cNvPr id="10" name="コネクタ: カギ線 9">
          <a:extLst>
            <a:ext uri="{FF2B5EF4-FFF2-40B4-BE49-F238E27FC236}">
              <a16:creationId xmlns:a16="http://schemas.microsoft.com/office/drawing/2014/main" id="{D847C70B-F2E4-4298-8EF1-3D7954A052E1}"/>
            </a:ext>
          </a:extLst>
        </xdr:cNvPr>
        <xdr:cNvCxnSpPr>
          <a:cxnSpLocks/>
          <a:stCxn id="16" idx="3"/>
          <a:endCxn id="13" idx="3"/>
        </xdr:cNvCxnSpPr>
      </xdr:nvCxnSpPr>
      <xdr:spPr>
        <a:xfrm>
          <a:off x="15781404" y="1600200"/>
          <a:ext cx="2722" cy="28400829"/>
        </a:xfrm>
        <a:prstGeom prst="bentConnector3">
          <a:avLst>
            <a:gd name="adj1" fmla="val 19995812"/>
          </a:avLst>
        </a:prstGeom>
        <a:ln>
          <a:solidFill>
            <a:schemeClr val="tx1"/>
          </a:solidFill>
          <a:tailEnd type="triangle" w="lg" len="lg"/>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56</xdr:col>
      <xdr:colOff>137432</xdr:colOff>
      <xdr:row>107</xdr:row>
      <xdr:rowOff>27214</xdr:rowOff>
    </xdr:from>
    <xdr:to>
      <xdr:col>57</xdr:col>
      <xdr:colOff>255654</xdr:colOff>
      <xdr:row>107</xdr:row>
      <xdr:rowOff>179614</xdr:rowOff>
    </xdr:to>
    <xdr:sp macro="" textlink="">
      <xdr:nvSpPr>
        <xdr:cNvPr id="11" name="正方形/長方形 10">
          <a:extLst>
            <a:ext uri="{FF2B5EF4-FFF2-40B4-BE49-F238E27FC236}">
              <a16:creationId xmlns:a16="http://schemas.microsoft.com/office/drawing/2014/main" id="{619706C8-AAEF-4391-A8BA-D5BEE17F3C44}"/>
            </a:ext>
          </a:extLst>
        </xdr:cNvPr>
        <xdr:cNvSpPr/>
      </xdr:nvSpPr>
      <xdr:spPr>
        <a:xfrm>
          <a:off x="15606032" y="26220964"/>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57</xdr:col>
      <xdr:colOff>255654</xdr:colOff>
      <xdr:row>5</xdr:row>
      <xdr:rowOff>141515</xdr:rowOff>
    </xdr:from>
    <xdr:to>
      <xdr:col>57</xdr:col>
      <xdr:colOff>263818</xdr:colOff>
      <xdr:row>107</xdr:row>
      <xdr:rowOff>103414</xdr:rowOff>
    </xdr:to>
    <xdr:cxnSp macro="">
      <xdr:nvCxnSpPr>
        <xdr:cNvPr id="12" name="コネクタ: カギ線 11">
          <a:extLst>
            <a:ext uri="{FF2B5EF4-FFF2-40B4-BE49-F238E27FC236}">
              <a16:creationId xmlns:a16="http://schemas.microsoft.com/office/drawing/2014/main" id="{78DB750F-853A-4F51-9B19-16F8502EF6B5}"/>
            </a:ext>
          </a:extLst>
        </xdr:cNvPr>
        <xdr:cNvCxnSpPr>
          <a:cxnSpLocks/>
          <a:stCxn id="28" idx="3"/>
          <a:endCxn id="11" idx="3"/>
        </xdr:cNvCxnSpPr>
      </xdr:nvCxnSpPr>
      <xdr:spPr>
        <a:xfrm flipH="1">
          <a:off x="15767797" y="1366158"/>
          <a:ext cx="8164" cy="24944613"/>
        </a:xfrm>
        <a:prstGeom prst="bentConnector3">
          <a:avLst>
            <a:gd name="adj1" fmla="val -3300110"/>
          </a:avLst>
        </a:prstGeom>
        <a:ln>
          <a:solidFill>
            <a:schemeClr val="tx1"/>
          </a:solidFill>
          <a:tailEnd type="triangle" w="lg" len="lg"/>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56</xdr:col>
      <xdr:colOff>153761</xdr:colOff>
      <xdr:row>122</xdr:row>
      <xdr:rowOff>43543</xdr:rowOff>
    </xdr:from>
    <xdr:to>
      <xdr:col>57</xdr:col>
      <xdr:colOff>271983</xdr:colOff>
      <xdr:row>122</xdr:row>
      <xdr:rowOff>195943</xdr:rowOff>
    </xdr:to>
    <xdr:sp macro="" textlink="">
      <xdr:nvSpPr>
        <xdr:cNvPr id="13" name="正方形/長方形 12">
          <a:extLst>
            <a:ext uri="{FF2B5EF4-FFF2-40B4-BE49-F238E27FC236}">
              <a16:creationId xmlns:a16="http://schemas.microsoft.com/office/drawing/2014/main" id="{9984B9B1-4C7A-404F-B78A-A8513226347A}"/>
            </a:ext>
          </a:extLst>
        </xdr:cNvPr>
        <xdr:cNvSpPr/>
      </xdr:nvSpPr>
      <xdr:spPr>
        <a:xfrm>
          <a:off x="15622361" y="29809168"/>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56</xdr:col>
      <xdr:colOff>151040</xdr:colOff>
      <xdr:row>6</xdr:row>
      <xdr:rowOff>54429</xdr:rowOff>
    </xdr:from>
    <xdr:to>
      <xdr:col>57</xdr:col>
      <xdr:colOff>269261</xdr:colOff>
      <xdr:row>6</xdr:row>
      <xdr:rowOff>206829</xdr:rowOff>
    </xdr:to>
    <xdr:sp macro="" textlink="">
      <xdr:nvSpPr>
        <xdr:cNvPr id="16" name="正方形/長方形 15">
          <a:extLst>
            <a:ext uri="{FF2B5EF4-FFF2-40B4-BE49-F238E27FC236}">
              <a16:creationId xmlns:a16="http://schemas.microsoft.com/office/drawing/2014/main" id="{4BB9E211-2A0C-4617-ABCB-2160889A7F32}"/>
            </a:ext>
          </a:extLst>
        </xdr:cNvPr>
        <xdr:cNvSpPr/>
      </xdr:nvSpPr>
      <xdr:spPr>
        <a:xfrm>
          <a:off x="15391040" y="1524000"/>
          <a:ext cx="390364"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24</xdr:col>
      <xdr:colOff>267901</xdr:colOff>
      <xdr:row>4</xdr:row>
      <xdr:rowOff>123825</xdr:rowOff>
    </xdr:from>
    <xdr:to>
      <xdr:col>31</xdr:col>
      <xdr:colOff>0</xdr:colOff>
      <xdr:row>14</xdr:row>
      <xdr:rowOff>127907</xdr:rowOff>
    </xdr:to>
    <xdr:cxnSp macro="">
      <xdr:nvCxnSpPr>
        <xdr:cNvPr id="17" name="直線矢印コネクタ 16">
          <a:extLst>
            <a:ext uri="{FF2B5EF4-FFF2-40B4-BE49-F238E27FC236}">
              <a16:creationId xmlns:a16="http://schemas.microsoft.com/office/drawing/2014/main" id="{ADE584D6-C8EA-4145-9A0B-813FD5A27C00}"/>
            </a:ext>
          </a:extLst>
        </xdr:cNvPr>
        <xdr:cNvCxnSpPr>
          <a:cxnSpLocks/>
          <a:stCxn id="8" idx="3"/>
          <a:endCxn id="27" idx="1"/>
        </xdr:cNvCxnSpPr>
      </xdr:nvCxnSpPr>
      <xdr:spPr>
        <a:xfrm flipV="1">
          <a:off x="6799330" y="1103539"/>
          <a:ext cx="1637099" cy="2453368"/>
        </a:xfrm>
        <a:prstGeom prst="straightConnector1">
          <a:avLst/>
        </a:prstGeom>
        <a:ln>
          <a:solidFill>
            <a:schemeClr val="tx1"/>
          </a:solidFill>
          <a:tailEnd type="triangle" w="lg" len="lg"/>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98</xdr:col>
      <xdr:colOff>145597</xdr:colOff>
      <xdr:row>149</xdr:row>
      <xdr:rowOff>65315</xdr:rowOff>
    </xdr:from>
    <xdr:to>
      <xdr:col>99</xdr:col>
      <xdr:colOff>263818</xdr:colOff>
      <xdr:row>149</xdr:row>
      <xdr:rowOff>217715</xdr:rowOff>
    </xdr:to>
    <xdr:sp macro="" textlink="">
      <xdr:nvSpPr>
        <xdr:cNvPr id="19" name="正方形/長方形 18">
          <a:extLst>
            <a:ext uri="{FF2B5EF4-FFF2-40B4-BE49-F238E27FC236}">
              <a16:creationId xmlns:a16="http://schemas.microsoft.com/office/drawing/2014/main" id="{DE1CE454-DDAB-4A81-A8E5-222341341C42}"/>
            </a:ext>
          </a:extLst>
        </xdr:cNvPr>
        <xdr:cNvSpPr/>
      </xdr:nvSpPr>
      <xdr:spPr>
        <a:xfrm>
          <a:off x="15080797" y="4180115"/>
          <a:ext cx="384921"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98</xdr:col>
      <xdr:colOff>137433</xdr:colOff>
      <xdr:row>150</xdr:row>
      <xdr:rowOff>40822</xdr:rowOff>
    </xdr:from>
    <xdr:to>
      <xdr:col>99</xdr:col>
      <xdr:colOff>255654</xdr:colOff>
      <xdr:row>150</xdr:row>
      <xdr:rowOff>193222</xdr:rowOff>
    </xdr:to>
    <xdr:sp macro="" textlink="">
      <xdr:nvSpPr>
        <xdr:cNvPr id="20" name="正方形/長方形 19">
          <a:extLst>
            <a:ext uri="{FF2B5EF4-FFF2-40B4-BE49-F238E27FC236}">
              <a16:creationId xmlns:a16="http://schemas.microsoft.com/office/drawing/2014/main" id="{C7967CF7-EA5F-42C0-A08F-601404941A09}"/>
            </a:ext>
          </a:extLst>
        </xdr:cNvPr>
        <xdr:cNvSpPr/>
      </xdr:nvSpPr>
      <xdr:spPr>
        <a:xfrm>
          <a:off x="15072633" y="4384222"/>
          <a:ext cx="384921"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0</xdr:colOff>
      <xdr:row>4</xdr:row>
      <xdr:rowOff>47625</xdr:rowOff>
    </xdr:from>
    <xdr:to>
      <xdr:col>32</xdr:col>
      <xdr:colOff>118222</xdr:colOff>
      <xdr:row>4</xdr:row>
      <xdr:rowOff>200025</xdr:rowOff>
    </xdr:to>
    <xdr:sp macro="" textlink="">
      <xdr:nvSpPr>
        <xdr:cNvPr id="27" name="正方形/長方形 26">
          <a:extLst>
            <a:ext uri="{FF2B5EF4-FFF2-40B4-BE49-F238E27FC236}">
              <a16:creationId xmlns:a16="http://schemas.microsoft.com/office/drawing/2014/main" id="{597E3B19-5DB1-44E8-9675-3630ED9BE43A}"/>
            </a:ext>
          </a:extLst>
        </xdr:cNvPr>
        <xdr:cNvSpPr/>
      </xdr:nvSpPr>
      <xdr:spPr>
        <a:xfrm>
          <a:off x="19866429" y="33602839"/>
          <a:ext cx="390364"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56</xdr:col>
      <xdr:colOff>145597</xdr:colOff>
      <xdr:row>5</xdr:row>
      <xdr:rowOff>65315</xdr:rowOff>
    </xdr:from>
    <xdr:to>
      <xdr:col>57</xdr:col>
      <xdr:colOff>263818</xdr:colOff>
      <xdr:row>5</xdr:row>
      <xdr:rowOff>217715</xdr:rowOff>
    </xdr:to>
    <xdr:sp macro="" textlink="">
      <xdr:nvSpPr>
        <xdr:cNvPr id="28" name="正方形/長方形 27">
          <a:extLst>
            <a:ext uri="{FF2B5EF4-FFF2-40B4-BE49-F238E27FC236}">
              <a16:creationId xmlns:a16="http://schemas.microsoft.com/office/drawing/2014/main" id="{6781E7E4-D93A-4691-9EBD-DACFC86E47DF}"/>
            </a:ext>
          </a:extLst>
        </xdr:cNvPr>
        <xdr:cNvSpPr/>
      </xdr:nvSpPr>
      <xdr:spPr>
        <a:xfrm>
          <a:off x="26815597" y="33865458"/>
          <a:ext cx="390364"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56</xdr:col>
      <xdr:colOff>137433</xdr:colOff>
      <xdr:row>6</xdr:row>
      <xdr:rowOff>40822</xdr:rowOff>
    </xdr:from>
    <xdr:to>
      <xdr:col>57</xdr:col>
      <xdr:colOff>255654</xdr:colOff>
      <xdr:row>6</xdr:row>
      <xdr:rowOff>193222</xdr:rowOff>
    </xdr:to>
    <xdr:sp macro="" textlink="">
      <xdr:nvSpPr>
        <xdr:cNvPr id="29" name="正方形/長方形 28">
          <a:extLst>
            <a:ext uri="{FF2B5EF4-FFF2-40B4-BE49-F238E27FC236}">
              <a16:creationId xmlns:a16="http://schemas.microsoft.com/office/drawing/2014/main" id="{55097C1B-E7FC-423D-A0D1-9E1FD2A18893}"/>
            </a:ext>
          </a:extLst>
        </xdr:cNvPr>
        <xdr:cNvSpPr/>
      </xdr:nvSpPr>
      <xdr:spPr>
        <a:xfrm>
          <a:off x="26807433" y="34085893"/>
          <a:ext cx="390364"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5</xdr:col>
      <xdr:colOff>257176</xdr:colOff>
      <xdr:row>3</xdr:row>
      <xdr:rowOff>104776</xdr:rowOff>
    </xdr:from>
    <xdr:to>
      <xdr:col>6</xdr:col>
      <xdr:colOff>9526</xdr:colOff>
      <xdr:row>22</xdr:row>
      <xdr:rowOff>176213</xdr:rowOff>
    </xdr:to>
    <xdr:cxnSp macro="">
      <xdr:nvCxnSpPr>
        <xdr:cNvPr id="2" name="コネクタ: カギ線 1">
          <a:extLst>
            <a:ext uri="{FF2B5EF4-FFF2-40B4-BE49-F238E27FC236}">
              <a16:creationId xmlns:a16="http://schemas.microsoft.com/office/drawing/2014/main" id="{300956A5-E158-47B4-B40F-08EC9A821E7A}"/>
            </a:ext>
          </a:extLst>
        </xdr:cNvPr>
        <xdr:cNvCxnSpPr>
          <a:stCxn id="4" idx="1"/>
          <a:endCxn id="3" idx="1"/>
        </xdr:cNvCxnSpPr>
      </xdr:nvCxnSpPr>
      <xdr:spPr>
        <a:xfrm rot="10800000" flipV="1">
          <a:off x="1638301" y="819151"/>
          <a:ext cx="28575" cy="4576762"/>
        </a:xfrm>
        <a:prstGeom prst="bentConnector3">
          <a:avLst>
            <a:gd name="adj1" fmla="val 945050"/>
          </a:avLst>
        </a:prstGeom>
        <a:ln>
          <a:solidFill>
            <a:schemeClr val="tx1"/>
          </a:solidFill>
          <a:tailEnd type="triangle" w="lg" len="lg"/>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257175</xdr:colOff>
      <xdr:row>21</xdr:row>
      <xdr:rowOff>228600</xdr:rowOff>
    </xdr:from>
    <xdr:to>
      <xdr:col>7</xdr:col>
      <xdr:colOff>95250</xdr:colOff>
      <xdr:row>23</xdr:row>
      <xdr:rowOff>123825</xdr:rowOff>
    </xdr:to>
    <xdr:sp macro="" textlink="">
      <xdr:nvSpPr>
        <xdr:cNvPr id="3" name="正方形/長方形 2">
          <a:extLst>
            <a:ext uri="{FF2B5EF4-FFF2-40B4-BE49-F238E27FC236}">
              <a16:creationId xmlns:a16="http://schemas.microsoft.com/office/drawing/2014/main" id="{C95B94E2-83EC-4466-AC97-5AB98227FDE7}"/>
            </a:ext>
          </a:extLst>
        </xdr:cNvPr>
        <xdr:cNvSpPr/>
      </xdr:nvSpPr>
      <xdr:spPr>
        <a:xfrm>
          <a:off x="1638300" y="5210175"/>
          <a:ext cx="390525"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9525</xdr:colOff>
      <xdr:row>3</xdr:row>
      <xdr:rowOff>28576</xdr:rowOff>
    </xdr:from>
    <xdr:to>
      <xdr:col>7</xdr:col>
      <xdr:colOff>123825</xdr:colOff>
      <xdr:row>3</xdr:row>
      <xdr:rowOff>180976</xdr:rowOff>
    </xdr:to>
    <xdr:sp macro="" textlink="">
      <xdr:nvSpPr>
        <xdr:cNvPr id="4" name="正方形/長方形 3">
          <a:extLst>
            <a:ext uri="{FF2B5EF4-FFF2-40B4-BE49-F238E27FC236}">
              <a16:creationId xmlns:a16="http://schemas.microsoft.com/office/drawing/2014/main" id="{EE8702D5-CF5D-43CE-8209-F56DEC660015}"/>
            </a:ext>
          </a:extLst>
        </xdr:cNvPr>
        <xdr:cNvSpPr/>
      </xdr:nvSpPr>
      <xdr:spPr>
        <a:xfrm>
          <a:off x="1666875" y="742951"/>
          <a:ext cx="390525"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9525</xdr:colOff>
      <xdr:row>4</xdr:row>
      <xdr:rowOff>28576</xdr:rowOff>
    </xdr:from>
    <xdr:to>
      <xdr:col>7</xdr:col>
      <xdr:colOff>123825</xdr:colOff>
      <xdr:row>4</xdr:row>
      <xdr:rowOff>180976</xdr:rowOff>
    </xdr:to>
    <xdr:sp macro="" textlink="">
      <xdr:nvSpPr>
        <xdr:cNvPr id="5" name="正方形/長方形 4">
          <a:extLst>
            <a:ext uri="{FF2B5EF4-FFF2-40B4-BE49-F238E27FC236}">
              <a16:creationId xmlns:a16="http://schemas.microsoft.com/office/drawing/2014/main" id="{9365242C-B993-430A-BB10-BEFF07FD559A}"/>
            </a:ext>
          </a:extLst>
        </xdr:cNvPr>
        <xdr:cNvSpPr/>
      </xdr:nvSpPr>
      <xdr:spPr>
        <a:xfrm>
          <a:off x="1666875" y="981076"/>
          <a:ext cx="390525"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15587</xdr:colOff>
      <xdr:row>80</xdr:row>
      <xdr:rowOff>241589</xdr:rowOff>
    </xdr:from>
    <xdr:to>
      <xdr:col>7</xdr:col>
      <xdr:colOff>130753</xdr:colOff>
      <xdr:row>84</xdr:row>
      <xdr:rowOff>136815</xdr:rowOff>
    </xdr:to>
    <xdr:sp macro="" textlink="">
      <xdr:nvSpPr>
        <xdr:cNvPr id="6" name="正方形/長方形 5">
          <a:extLst>
            <a:ext uri="{FF2B5EF4-FFF2-40B4-BE49-F238E27FC236}">
              <a16:creationId xmlns:a16="http://schemas.microsoft.com/office/drawing/2014/main" id="{86455499-6598-4E2A-93DB-122A164FA3E1}"/>
            </a:ext>
          </a:extLst>
        </xdr:cNvPr>
        <xdr:cNvSpPr/>
      </xdr:nvSpPr>
      <xdr:spPr>
        <a:xfrm>
          <a:off x="1672937" y="18558164"/>
          <a:ext cx="391391" cy="84772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13236</xdr:colOff>
      <xdr:row>12</xdr:row>
      <xdr:rowOff>50224</xdr:rowOff>
    </xdr:from>
    <xdr:to>
      <xdr:col>7</xdr:col>
      <xdr:colOff>127536</xdr:colOff>
      <xdr:row>12</xdr:row>
      <xdr:rowOff>202624</xdr:rowOff>
    </xdr:to>
    <xdr:sp macro="" textlink="">
      <xdr:nvSpPr>
        <xdr:cNvPr id="7" name="正方形/長方形 6">
          <a:extLst>
            <a:ext uri="{FF2B5EF4-FFF2-40B4-BE49-F238E27FC236}">
              <a16:creationId xmlns:a16="http://schemas.microsoft.com/office/drawing/2014/main" id="{4E3DB901-5364-4729-9BDA-FB39F093EBBF}"/>
            </a:ext>
          </a:extLst>
        </xdr:cNvPr>
        <xdr:cNvSpPr/>
      </xdr:nvSpPr>
      <xdr:spPr>
        <a:xfrm>
          <a:off x="1670586" y="2888674"/>
          <a:ext cx="390525"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xdr:col>
      <xdr:colOff>257176</xdr:colOff>
      <xdr:row>3</xdr:row>
      <xdr:rowOff>104776</xdr:rowOff>
    </xdr:from>
    <xdr:to>
      <xdr:col>6</xdr:col>
      <xdr:colOff>9526</xdr:colOff>
      <xdr:row>22</xdr:row>
      <xdr:rowOff>176213</xdr:rowOff>
    </xdr:to>
    <xdr:cxnSp macro="">
      <xdr:nvCxnSpPr>
        <xdr:cNvPr id="8" name="コネクタ: カギ線 7">
          <a:extLst>
            <a:ext uri="{FF2B5EF4-FFF2-40B4-BE49-F238E27FC236}">
              <a16:creationId xmlns:a16="http://schemas.microsoft.com/office/drawing/2014/main" id="{4F8214E4-C14F-455D-A6FB-9F724B511BAB}"/>
            </a:ext>
          </a:extLst>
        </xdr:cNvPr>
        <xdr:cNvCxnSpPr>
          <a:stCxn id="10" idx="1"/>
          <a:endCxn id="9" idx="1"/>
        </xdr:cNvCxnSpPr>
      </xdr:nvCxnSpPr>
      <xdr:spPr>
        <a:xfrm rot="10800000" flipV="1">
          <a:off x="1638301" y="819151"/>
          <a:ext cx="28575" cy="4576762"/>
        </a:xfrm>
        <a:prstGeom prst="bentConnector3">
          <a:avLst>
            <a:gd name="adj1" fmla="val 945050"/>
          </a:avLst>
        </a:prstGeom>
        <a:ln>
          <a:solidFill>
            <a:schemeClr val="tx1"/>
          </a:solidFill>
          <a:tailEnd type="triangle" w="lg" len="lg"/>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257175</xdr:colOff>
      <xdr:row>21</xdr:row>
      <xdr:rowOff>228600</xdr:rowOff>
    </xdr:from>
    <xdr:to>
      <xdr:col>7</xdr:col>
      <xdr:colOff>95250</xdr:colOff>
      <xdr:row>23</xdr:row>
      <xdr:rowOff>123825</xdr:rowOff>
    </xdr:to>
    <xdr:sp macro="" textlink="">
      <xdr:nvSpPr>
        <xdr:cNvPr id="9" name="正方形/長方形 8">
          <a:extLst>
            <a:ext uri="{FF2B5EF4-FFF2-40B4-BE49-F238E27FC236}">
              <a16:creationId xmlns:a16="http://schemas.microsoft.com/office/drawing/2014/main" id="{E86A033C-8BB3-4421-85FF-1A46C1753B0B}"/>
            </a:ext>
          </a:extLst>
        </xdr:cNvPr>
        <xdr:cNvSpPr/>
      </xdr:nvSpPr>
      <xdr:spPr>
        <a:xfrm>
          <a:off x="1638300" y="5210175"/>
          <a:ext cx="390525"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9525</xdr:colOff>
      <xdr:row>3</xdr:row>
      <xdr:rowOff>28576</xdr:rowOff>
    </xdr:from>
    <xdr:to>
      <xdr:col>7</xdr:col>
      <xdr:colOff>123825</xdr:colOff>
      <xdr:row>3</xdr:row>
      <xdr:rowOff>180976</xdr:rowOff>
    </xdr:to>
    <xdr:sp macro="" textlink="">
      <xdr:nvSpPr>
        <xdr:cNvPr id="10" name="正方形/長方形 9">
          <a:extLst>
            <a:ext uri="{FF2B5EF4-FFF2-40B4-BE49-F238E27FC236}">
              <a16:creationId xmlns:a16="http://schemas.microsoft.com/office/drawing/2014/main" id="{D4CFB7D8-FC3B-4452-A0A7-33C4488AA8D7}"/>
            </a:ext>
          </a:extLst>
        </xdr:cNvPr>
        <xdr:cNvSpPr/>
      </xdr:nvSpPr>
      <xdr:spPr>
        <a:xfrm>
          <a:off x="1666875" y="742951"/>
          <a:ext cx="390525"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9525</xdr:colOff>
      <xdr:row>4</xdr:row>
      <xdr:rowOff>28576</xdr:rowOff>
    </xdr:from>
    <xdr:to>
      <xdr:col>7</xdr:col>
      <xdr:colOff>123825</xdr:colOff>
      <xdr:row>4</xdr:row>
      <xdr:rowOff>180976</xdr:rowOff>
    </xdr:to>
    <xdr:sp macro="" textlink="">
      <xdr:nvSpPr>
        <xdr:cNvPr id="11" name="正方形/長方形 10">
          <a:extLst>
            <a:ext uri="{FF2B5EF4-FFF2-40B4-BE49-F238E27FC236}">
              <a16:creationId xmlns:a16="http://schemas.microsoft.com/office/drawing/2014/main" id="{E4A10518-851D-4D04-A957-2B24E08AE9CA}"/>
            </a:ext>
          </a:extLst>
        </xdr:cNvPr>
        <xdr:cNvSpPr/>
      </xdr:nvSpPr>
      <xdr:spPr>
        <a:xfrm>
          <a:off x="1666875" y="981076"/>
          <a:ext cx="390525"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1981</xdr:colOff>
      <xdr:row>4</xdr:row>
      <xdr:rowOff>104775</xdr:rowOff>
    </xdr:from>
    <xdr:to>
      <xdr:col>6</xdr:col>
      <xdr:colOff>9526</xdr:colOff>
      <xdr:row>40</xdr:row>
      <xdr:rowOff>202807</xdr:rowOff>
    </xdr:to>
    <xdr:cxnSp macro="">
      <xdr:nvCxnSpPr>
        <xdr:cNvPr id="12" name="コネクタ: カギ線 11">
          <a:extLst>
            <a:ext uri="{FF2B5EF4-FFF2-40B4-BE49-F238E27FC236}">
              <a16:creationId xmlns:a16="http://schemas.microsoft.com/office/drawing/2014/main" id="{10CCEA64-6AF2-4525-8907-25A2B95D5C5B}"/>
            </a:ext>
          </a:extLst>
        </xdr:cNvPr>
        <xdr:cNvCxnSpPr>
          <a:stCxn id="11" idx="1"/>
          <a:endCxn id="13" idx="1"/>
        </xdr:cNvCxnSpPr>
      </xdr:nvCxnSpPr>
      <xdr:spPr>
        <a:xfrm rot="10800000" flipV="1">
          <a:off x="1659331" y="1057275"/>
          <a:ext cx="7545" cy="8651482"/>
        </a:xfrm>
        <a:prstGeom prst="bentConnector3">
          <a:avLst>
            <a:gd name="adj1" fmla="val 6917097"/>
          </a:avLst>
        </a:prstGeom>
        <a:ln>
          <a:solidFill>
            <a:schemeClr val="tx1"/>
          </a:solidFill>
          <a:tailEnd type="triangle" w="lg" len="lg"/>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1980</xdr:colOff>
      <xdr:row>40</xdr:row>
      <xdr:rowOff>10266</xdr:rowOff>
    </xdr:from>
    <xdr:to>
      <xdr:col>7</xdr:col>
      <xdr:colOff>117146</xdr:colOff>
      <xdr:row>41</xdr:row>
      <xdr:rowOff>150422</xdr:rowOff>
    </xdr:to>
    <xdr:sp macro="" textlink="">
      <xdr:nvSpPr>
        <xdr:cNvPr id="13" name="正方形/長方形 12">
          <a:extLst>
            <a:ext uri="{FF2B5EF4-FFF2-40B4-BE49-F238E27FC236}">
              <a16:creationId xmlns:a16="http://schemas.microsoft.com/office/drawing/2014/main" id="{9E2309EA-2682-4FA9-A387-7D67F7D62B33}"/>
            </a:ext>
          </a:extLst>
        </xdr:cNvPr>
        <xdr:cNvSpPr/>
      </xdr:nvSpPr>
      <xdr:spPr>
        <a:xfrm>
          <a:off x="1659330" y="9516216"/>
          <a:ext cx="391391" cy="37828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13236</xdr:colOff>
      <xdr:row>12</xdr:row>
      <xdr:rowOff>50224</xdr:rowOff>
    </xdr:from>
    <xdr:to>
      <xdr:col>7</xdr:col>
      <xdr:colOff>127536</xdr:colOff>
      <xdr:row>12</xdr:row>
      <xdr:rowOff>202624</xdr:rowOff>
    </xdr:to>
    <xdr:sp macro="" textlink="">
      <xdr:nvSpPr>
        <xdr:cNvPr id="14" name="正方形/長方形 13">
          <a:extLst>
            <a:ext uri="{FF2B5EF4-FFF2-40B4-BE49-F238E27FC236}">
              <a16:creationId xmlns:a16="http://schemas.microsoft.com/office/drawing/2014/main" id="{D520E9C5-382B-4C66-B2D5-EF77B5639296}"/>
            </a:ext>
          </a:extLst>
        </xdr:cNvPr>
        <xdr:cNvSpPr/>
      </xdr:nvSpPr>
      <xdr:spPr>
        <a:xfrm>
          <a:off x="1670586" y="2888674"/>
          <a:ext cx="390525"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xdr:col>
      <xdr:colOff>28575</xdr:colOff>
      <xdr:row>174</xdr:row>
      <xdr:rowOff>47625</xdr:rowOff>
    </xdr:from>
    <xdr:to>
      <xdr:col>6</xdr:col>
      <xdr:colOff>152400</xdr:colOff>
      <xdr:row>175</xdr:row>
      <xdr:rowOff>180975</xdr:rowOff>
    </xdr:to>
    <xdr:sp macro="" textlink="">
      <xdr:nvSpPr>
        <xdr:cNvPr id="15" name="正方形/長方形 14">
          <a:extLst>
            <a:ext uri="{FF2B5EF4-FFF2-40B4-BE49-F238E27FC236}">
              <a16:creationId xmlns:a16="http://schemas.microsoft.com/office/drawing/2014/main" id="{1F1A0B65-DCE4-4C01-93B3-0EC0B4B9601A}"/>
            </a:ext>
          </a:extLst>
        </xdr:cNvPr>
        <xdr:cNvSpPr/>
      </xdr:nvSpPr>
      <xdr:spPr>
        <a:xfrm>
          <a:off x="1409700" y="40747950"/>
          <a:ext cx="400050"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xdr:col>
      <xdr:colOff>28575</xdr:colOff>
      <xdr:row>174</xdr:row>
      <xdr:rowOff>47625</xdr:rowOff>
    </xdr:from>
    <xdr:to>
      <xdr:col>6</xdr:col>
      <xdr:colOff>152400</xdr:colOff>
      <xdr:row>175</xdr:row>
      <xdr:rowOff>180975</xdr:rowOff>
    </xdr:to>
    <xdr:sp macro="" textlink="">
      <xdr:nvSpPr>
        <xdr:cNvPr id="16" name="正方形/長方形 15">
          <a:extLst>
            <a:ext uri="{FF2B5EF4-FFF2-40B4-BE49-F238E27FC236}">
              <a16:creationId xmlns:a16="http://schemas.microsoft.com/office/drawing/2014/main" id="{8B5F7938-104C-4232-BD61-EC29B7054A03}"/>
            </a:ext>
          </a:extLst>
        </xdr:cNvPr>
        <xdr:cNvSpPr/>
      </xdr:nvSpPr>
      <xdr:spPr>
        <a:xfrm>
          <a:off x="1409700" y="40747950"/>
          <a:ext cx="400050"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xdr:col>
      <xdr:colOff>267690</xdr:colOff>
      <xdr:row>20</xdr:row>
      <xdr:rowOff>0</xdr:rowOff>
    </xdr:from>
    <xdr:to>
      <xdr:col>7</xdr:col>
      <xdr:colOff>109847</xdr:colOff>
      <xdr:row>20</xdr:row>
      <xdr:rowOff>0</xdr:rowOff>
    </xdr:to>
    <xdr:sp macro="" textlink="">
      <xdr:nvSpPr>
        <xdr:cNvPr id="17" name="正方形/長方形 16">
          <a:extLst>
            <a:ext uri="{FF2B5EF4-FFF2-40B4-BE49-F238E27FC236}">
              <a16:creationId xmlns:a16="http://schemas.microsoft.com/office/drawing/2014/main" id="{E9FB311B-A7BF-46B8-BC82-107586703FF3}"/>
            </a:ext>
          </a:extLst>
        </xdr:cNvPr>
        <xdr:cNvSpPr/>
      </xdr:nvSpPr>
      <xdr:spPr>
        <a:xfrm>
          <a:off x="1648815" y="4743450"/>
          <a:ext cx="394607" cy="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xdr:col>
      <xdr:colOff>257176</xdr:colOff>
      <xdr:row>3</xdr:row>
      <xdr:rowOff>104776</xdr:rowOff>
    </xdr:from>
    <xdr:to>
      <xdr:col>6</xdr:col>
      <xdr:colOff>9526</xdr:colOff>
      <xdr:row>22</xdr:row>
      <xdr:rowOff>176213</xdr:rowOff>
    </xdr:to>
    <xdr:cxnSp macro="">
      <xdr:nvCxnSpPr>
        <xdr:cNvPr id="18" name="コネクタ: カギ線 17">
          <a:extLst>
            <a:ext uri="{FF2B5EF4-FFF2-40B4-BE49-F238E27FC236}">
              <a16:creationId xmlns:a16="http://schemas.microsoft.com/office/drawing/2014/main" id="{F44607B2-8E64-43E8-BAB7-E171B0FA20C7}"/>
            </a:ext>
          </a:extLst>
        </xdr:cNvPr>
        <xdr:cNvCxnSpPr>
          <a:stCxn id="20" idx="1"/>
          <a:endCxn id="19" idx="1"/>
        </xdr:cNvCxnSpPr>
      </xdr:nvCxnSpPr>
      <xdr:spPr>
        <a:xfrm rot="10800000" flipV="1">
          <a:off x="1638301" y="819151"/>
          <a:ext cx="28575" cy="4576762"/>
        </a:xfrm>
        <a:prstGeom prst="bentConnector3">
          <a:avLst>
            <a:gd name="adj1" fmla="val 945050"/>
          </a:avLst>
        </a:prstGeom>
        <a:ln>
          <a:solidFill>
            <a:schemeClr val="tx1"/>
          </a:solidFill>
          <a:tailEnd type="triangle" w="lg" len="lg"/>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257175</xdr:colOff>
      <xdr:row>21</xdr:row>
      <xdr:rowOff>228600</xdr:rowOff>
    </xdr:from>
    <xdr:to>
      <xdr:col>7</xdr:col>
      <xdr:colOff>95250</xdr:colOff>
      <xdr:row>23</xdr:row>
      <xdr:rowOff>123825</xdr:rowOff>
    </xdr:to>
    <xdr:sp macro="" textlink="">
      <xdr:nvSpPr>
        <xdr:cNvPr id="19" name="正方形/長方形 18">
          <a:extLst>
            <a:ext uri="{FF2B5EF4-FFF2-40B4-BE49-F238E27FC236}">
              <a16:creationId xmlns:a16="http://schemas.microsoft.com/office/drawing/2014/main" id="{88B1302C-4FAB-4BEC-BA40-C0E132DEDAA4}"/>
            </a:ext>
          </a:extLst>
        </xdr:cNvPr>
        <xdr:cNvSpPr/>
      </xdr:nvSpPr>
      <xdr:spPr>
        <a:xfrm>
          <a:off x="1638300" y="5210175"/>
          <a:ext cx="390525"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9525</xdr:colOff>
      <xdr:row>3</xdr:row>
      <xdr:rowOff>28576</xdr:rowOff>
    </xdr:from>
    <xdr:to>
      <xdr:col>7</xdr:col>
      <xdr:colOff>123825</xdr:colOff>
      <xdr:row>3</xdr:row>
      <xdr:rowOff>180976</xdr:rowOff>
    </xdr:to>
    <xdr:sp macro="" textlink="">
      <xdr:nvSpPr>
        <xdr:cNvPr id="20" name="正方形/長方形 19">
          <a:extLst>
            <a:ext uri="{FF2B5EF4-FFF2-40B4-BE49-F238E27FC236}">
              <a16:creationId xmlns:a16="http://schemas.microsoft.com/office/drawing/2014/main" id="{411A41D6-F1A9-4396-9B20-0AA8C30BE7D5}"/>
            </a:ext>
          </a:extLst>
        </xdr:cNvPr>
        <xdr:cNvSpPr/>
      </xdr:nvSpPr>
      <xdr:spPr>
        <a:xfrm>
          <a:off x="1666875" y="742951"/>
          <a:ext cx="390525"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9525</xdr:colOff>
      <xdr:row>4</xdr:row>
      <xdr:rowOff>28576</xdr:rowOff>
    </xdr:from>
    <xdr:to>
      <xdr:col>7</xdr:col>
      <xdr:colOff>123825</xdr:colOff>
      <xdr:row>4</xdr:row>
      <xdr:rowOff>180976</xdr:rowOff>
    </xdr:to>
    <xdr:sp macro="" textlink="">
      <xdr:nvSpPr>
        <xdr:cNvPr id="21" name="正方形/長方形 20">
          <a:extLst>
            <a:ext uri="{FF2B5EF4-FFF2-40B4-BE49-F238E27FC236}">
              <a16:creationId xmlns:a16="http://schemas.microsoft.com/office/drawing/2014/main" id="{A039C7AA-E59E-4C73-B864-27985E26AAAB}"/>
            </a:ext>
          </a:extLst>
        </xdr:cNvPr>
        <xdr:cNvSpPr/>
      </xdr:nvSpPr>
      <xdr:spPr>
        <a:xfrm>
          <a:off x="1666875" y="981076"/>
          <a:ext cx="390525"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15587</xdr:colOff>
      <xdr:row>39</xdr:row>
      <xdr:rowOff>241589</xdr:rowOff>
    </xdr:from>
    <xdr:to>
      <xdr:col>7</xdr:col>
      <xdr:colOff>130753</xdr:colOff>
      <xdr:row>41</xdr:row>
      <xdr:rowOff>136815</xdr:rowOff>
    </xdr:to>
    <xdr:sp macro="" textlink="">
      <xdr:nvSpPr>
        <xdr:cNvPr id="22" name="正方形/長方形 21">
          <a:extLst>
            <a:ext uri="{FF2B5EF4-FFF2-40B4-BE49-F238E27FC236}">
              <a16:creationId xmlns:a16="http://schemas.microsoft.com/office/drawing/2014/main" id="{7BC7A4CD-66A4-4D00-95E3-BF86D91D2518}"/>
            </a:ext>
          </a:extLst>
        </xdr:cNvPr>
        <xdr:cNvSpPr/>
      </xdr:nvSpPr>
      <xdr:spPr>
        <a:xfrm>
          <a:off x="1672937" y="9509414"/>
          <a:ext cx="391391" cy="37147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13236</xdr:colOff>
      <xdr:row>12</xdr:row>
      <xdr:rowOff>50224</xdr:rowOff>
    </xdr:from>
    <xdr:to>
      <xdr:col>7</xdr:col>
      <xdr:colOff>127536</xdr:colOff>
      <xdr:row>12</xdr:row>
      <xdr:rowOff>202624</xdr:rowOff>
    </xdr:to>
    <xdr:sp macro="" textlink="">
      <xdr:nvSpPr>
        <xdr:cNvPr id="23" name="正方形/長方形 22">
          <a:extLst>
            <a:ext uri="{FF2B5EF4-FFF2-40B4-BE49-F238E27FC236}">
              <a16:creationId xmlns:a16="http://schemas.microsoft.com/office/drawing/2014/main" id="{FBB2F76E-6616-488F-9CE4-C35CCE0C3635}"/>
            </a:ext>
          </a:extLst>
        </xdr:cNvPr>
        <xdr:cNvSpPr/>
      </xdr:nvSpPr>
      <xdr:spPr>
        <a:xfrm>
          <a:off x="1670586" y="2888674"/>
          <a:ext cx="390525"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28575</xdr:colOff>
      <xdr:row>69</xdr:row>
      <xdr:rowOff>47625</xdr:rowOff>
    </xdr:from>
    <xdr:to>
      <xdr:col>7</xdr:col>
      <xdr:colOff>152400</xdr:colOff>
      <xdr:row>70</xdr:row>
      <xdr:rowOff>180975</xdr:rowOff>
    </xdr:to>
    <xdr:sp macro="" textlink="">
      <xdr:nvSpPr>
        <xdr:cNvPr id="24" name="正方形/長方形 23">
          <a:extLst>
            <a:ext uri="{FF2B5EF4-FFF2-40B4-BE49-F238E27FC236}">
              <a16:creationId xmlns:a16="http://schemas.microsoft.com/office/drawing/2014/main" id="{C0E34D59-CF94-40C8-9E32-D250A8A5EC7A}"/>
            </a:ext>
          </a:extLst>
        </xdr:cNvPr>
        <xdr:cNvSpPr/>
      </xdr:nvSpPr>
      <xdr:spPr>
        <a:xfrm>
          <a:off x="1685925" y="16459200"/>
          <a:ext cx="400050"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xdr:col>
      <xdr:colOff>257176</xdr:colOff>
      <xdr:row>3</xdr:row>
      <xdr:rowOff>104776</xdr:rowOff>
    </xdr:from>
    <xdr:to>
      <xdr:col>6</xdr:col>
      <xdr:colOff>9526</xdr:colOff>
      <xdr:row>22</xdr:row>
      <xdr:rowOff>176213</xdr:rowOff>
    </xdr:to>
    <xdr:cxnSp macro="">
      <xdr:nvCxnSpPr>
        <xdr:cNvPr id="25" name="コネクタ: カギ線 24">
          <a:extLst>
            <a:ext uri="{FF2B5EF4-FFF2-40B4-BE49-F238E27FC236}">
              <a16:creationId xmlns:a16="http://schemas.microsoft.com/office/drawing/2014/main" id="{05938138-CD31-424C-BBC7-84BEF224B51F}"/>
            </a:ext>
          </a:extLst>
        </xdr:cNvPr>
        <xdr:cNvCxnSpPr>
          <a:stCxn id="27" idx="1"/>
          <a:endCxn id="26" idx="1"/>
        </xdr:cNvCxnSpPr>
      </xdr:nvCxnSpPr>
      <xdr:spPr>
        <a:xfrm rot="10800000" flipV="1">
          <a:off x="1638301" y="819151"/>
          <a:ext cx="28575" cy="4576762"/>
        </a:xfrm>
        <a:prstGeom prst="bentConnector3">
          <a:avLst>
            <a:gd name="adj1" fmla="val 945050"/>
          </a:avLst>
        </a:prstGeom>
        <a:ln>
          <a:solidFill>
            <a:schemeClr val="tx1"/>
          </a:solidFill>
          <a:tailEnd type="triangle" w="lg" len="lg"/>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257175</xdr:colOff>
      <xdr:row>21</xdr:row>
      <xdr:rowOff>228600</xdr:rowOff>
    </xdr:from>
    <xdr:to>
      <xdr:col>7</xdr:col>
      <xdr:colOff>95250</xdr:colOff>
      <xdr:row>23</xdr:row>
      <xdr:rowOff>123825</xdr:rowOff>
    </xdr:to>
    <xdr:sp macro="" textlink="">
      <xdr:nvSpPr>
        <xdr:cNvPr id="26" name="正方形/長方形 25">
          <a:extLst>
            <a:ext uri="{FF2B5EF4-FFF2-40B4-BE49-F238E27FC236}">
              <a16:creationId xmlns:a16="http://schemas.microsoft.com/office/drawing/2014/main" id="{E1A64F8C-D8EB-493D-AB60-A0299FEBB1F2}"/>
            </a:ext>
          </a:extLst>
        </xdr:cNvPr>
        <xdr:cNvSpPr/>
      </xdr:nvSpPr>
      <xdr:spPr>
        <a:xfrm>
          <a:off x="1638300" y="5210175"/>
          <a:ext cx="390525"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9525</xdr:colOff>
      <xdr:row>3</xdr:row>
      <xdr:rowOff>28576</xdr:rowOff>
    </xdr:from>
    <xdr:to>
      <xdr:col>7</xdr:col>
      <xdr:colOff>123825</xdr:colOff>
      <xdr:row>3</xdr:row>
      <xdr:rowOff>180976</xdr:rowOff>
    </xdr:to>
    <xdr:sp macro="" textlink="">
      <xdr:nvSpPr>
        <xdr:cNvPr id="27" name="正方形/長方形 26">
          <a:extLst>
            <a:ext uri="{FF2B5EF4-FFF2-40B4-BE49-F238E27FC236}">
              <a16:creationId xmlns:a16="http://schemas.microsoft.com/office/drawing/2014/main" id="{F182B199-9AEC-4860-B6DA-9BAE9B055939}"/>
            </a:ext>
          </a:extLst>
        </xdr:cNvPr>
        <xdr:cNvSpPr/>
      </xdr:nvSpPr>
      <xdr:spPr>
        <a:xfrm>
          <a:off x="1666875" y="742951"/>
          <a:ext cx="390525"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9525</xdr:colOff>
      <xdr:row>4</xdr:row>
      <xdr:rowOff>28576</xdr:rowOff>
    </xdr:from>
    <xdr:to>
      <xdr:col>7</xdr:col>
      <xdr:colOff>123825</xdr:colOff>
      <xdr:row>4</xdr:row>
      <xdr:rowOff>180976</xdr:rowOff>
    </xdr:to>
    <xdr:sp macro="" textlink="">
      <xdr:nvSpPr>
        <xdr:cNvPr id="28" name="正方形/長方形 27">
          <a:extLst>
            <a:ext uri="{FF2B5EF4-FFF2-40B4-BE49-F238E27FC236}">
              <a16:creationId xmlns:a16="http://schemas.microsoft.com/office/drawing/2014/main" id="{CACEBFB6-E917-4C70-BA7D-AEBF692B2581}"/>
            </a:ext>
          </a:extLst>
        </xdr:cNvPr>
        <xdr:cNvSpPr/>
      </xdr:nvSpPr>
      <xdr:spPr>
        <a:xfrm>
          <a:off x="1666875" y="981076"/>
          <a:ext cx="390525"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15587</xdr:colOff>
      <xdr:row>39</xdr:row>
      <xdr:rowOff>241589</xdr:rowOff>
    </xdr:from>
    <xdr:to>
      <xdr:col>7</xdr:col>
      <xdr:colOff>130753</xdr:colOff>
      <xdr:row>41</xdr:row>
      <xdr:rowOff>136815</xdr:rowOff>
    </xdr:to>
    <xdr:sp macro="" textlink="">
      <xdr:nvSpPr>
        <xdr:cNvPr id="29" name="正方形/長方形 28">
          <a:extLst>
            <a:ext uri="{FF2B5EF4-FFF2-40B4-BE49-F238E27FC236}">
              <a16:creationId xmlns:a16="http://schemas.microsoft.com/office/drawing/2014/main" id="{3DC9BA63-A32B-451E-844D-0419B2C714D6}"/>
            </a:ext>
          </a:extLst>
        </xdr:cNvPr>
        <xdr:cNvSpPr/>
      </xdr:nvSpPr>
      <xdr:spPr>
        <a:xfrm>
          <a:off x="1672937" y="9509414"/>
          <a:ext cx="391391" cy="37147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13236</xdr:colOff>
      <xdr:row>12</xdr:row>
      <xdr:rowOff>50224</xdr:rowOff>
    </xdr:from>
    <xdr:to>
      <xdr:col>7</xdr:col>
      <xdr:colOff>127536</xdr:colOff>
      <xdr:row>12</xdr:row>
      <xdr:rowOff>202624</xdr:rowOff>
    </xdr:to>
    <xdr:sp macro="" textlink="">
      <xdr:nvSpPr>
        <xdr:cNvPr id="30" name="正方形/長方形 29">
          <a:extLst>
            <a:ext uri="{FF2B5EF4-FFF2-40B4-BE49-F238E27FC236}">
              <a16:creationId xmlns:a16="http://schemas.microsoft.com/office/drawing/2014/main" id="{C77408E5-6729-436C-B8F6-FC9DC2C559D1}"/>
            </a:ext>
          </a:extLst>
        </xdr:cNvPr>
        <xdr:cNvSpPr/>
      </xdr:nvSpPr>
      <xdr:spPr>
        <a:xfrm>
          <a:off x="1670586" y="2888674"/>
          <a:ext cx="390525"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1362</xdr:colOff>
      <xdr:row>12</xdr:row>
      <xdr:rowOff>126424</xdr:rowOff>
    </xdr:from>
    <xdr:to>
      <xdr:col>6</xdr:col>
      <xdr:colOff>13237</xdr:colOff>
      <xdr:row>69</xdr:row>
      <xdr:rowOff>182337</xdr:rowOff>
    </xdr:to>
    <xdr:cxnSp macro="">
      <xdr:nvCxnSpPr>
        <xdr:cNvPr id="31" name="コネクタ: カギ線 30">
          <a:extLst>
            <a:ext uri="{FF2B5EF4-FFF2-40B4-BE49-F238E27FC236}">
              <a16:creationId xmlns:a16="http://schemas.microsoft.com/office/drawing/2014/main" id="{633F6D5B-1859-4AAA-9A02-0AEE67F32A77}"/>
            </a:ext>
          </a:extLst>
        </xdr:cNvPr>
        <xdr:cNvCxnSpPr>
          <a:stCxn id="30" idx="1"/>
          <a:endCxn id="32" idx="1"/>
        </xdr:cNvCxnSpPr>
      </xdr:nvCxnSpPr>
      <xdr:spPr>
        <a:xfrm rot="10800000" flipV="1">
          <a:off x="1658712" y="2964874"/>
          <a:ext cx="11875" cy="13629038"/>
        </a:xfrm>
        <a:prstGeom prst="bentConnector3">
          <a:avLst>
            <a:gd name="adj1" fmla="val 6837684"/>
          </a:avLst>
        </a:prstGeom>
        <a:ln>
          <a:solidFill>
            <a:schemeClr val="tx1"/>
          </a:solidFill>
          <a:tailEnd type="triangle" w="lg" len="lg"/>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1361</xdr:colOff>
      <xdr:row>68</xdr:row>
      <xdr:rowOff>238125</xdr:rowOff>
    </xdr:from>
    <xdr:to>
      <xdr:col>7</xdr:col>
      <xdr:colOff>125186</xdr:colOff>
      <xdr:row>70</xdr:row>
      <xdr:rowOff>126547</xdr:rowOff>
    </xdr:to>
    <xdr:sp macro="" textlink="">
      <xdr:nvSpPr>
        <xdr:cNvPr id="32" name="正方形/長方形 31">
          <a:extLst>
            <a:ext uri="{FF2B5EF4-FFF2-40B4-BE49-F238E27FC236}">
              <a16:creationId xmlns:a16="http://schemas.microsoft.com/office/drawing/2014/main" id="{08829888-26E2-460D-B684-7212E6400265}"/>
            </a:ext>
          </a:extLst>
        </xdr:cNvPr>
        <xdr:cNvSpPr/>
      </xdr:nvSpPr>
      <xdr:spPr>
        <a:xfrm>
          <a:off x="1658711" y="16411575"/>
          <a:ext cx="400050" cy="36467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xdr:col>
      <xdr:colOff>267690</xdr:colOff>
      <xdr:row>20</xdr:row>
      <xdr:rowOff>0</xdr:rowOff>
    </xdr:from>
    <xdr:to>
      <xdr:col>7</xdr:col>
      <xdr:colOff>109847</xdr:colOff>
      <xdr:row>20</xdr:row>
      <xdr:rowOff>0</xdr:rowOff>
    </xdr:to>
    <xdr:sp macro="" textlink="">
      <xdr:nvSpPr>
        <xdr:cNvPr id="33" name="正方形/長方形 32">
          <a:extLst>
            <a:ext uri="{FF2B5EF4-FFF2-40B4-BE49-F238E27FC236}">
              <a16:creationId xmlns:a16="http://schemas.microsoft.com/office/drawing/2014/main" id="{2E0B6626-0E02-4E4E-82EE-B15DE0C44034}"/>
            </a:ext>
          </a:extLst>
        </xdr:cNvPr>
        <xdr:cNvSpPr/>
      </xdr:nvSpPr>
      <xdr:spPr>
        <a:xfrm>
          <a:off x="1648815" y="4743450"/>
          <a:ext cx="394607" cy="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28575</xdr:colOff>
      <xdr:row>107</xdr:row>
      <xdr:rowOff>0</xdr:rowOff>
    </xdr:from>
    <xdr:to>
      <xdr:col>7</xdr:col>
      <xdr:colOff>152400</xdr:colOff>
      <xdr:row>107</xdr:row>
      <xdr:rowOff>180975</xdr:rowOff>
    </xdr:to>
    <xdr:sp macro="" textlink="">
      <xdr:nvSpPr>
        <xdr:cNvPr id="34" name="正方形/長方形 33">
          <a:extLst>
            <a:ext uri="{FF2B5EF4-FFF2-40B4-BE49-F238E27FC236}">
              <a16:creationId xmlns:a16="http://schemas.microsoft.com/office/drawing/2014/main" id="{C6EE3972-7B39-406A-B184-633FDF3DD04D}"/>
            </a:ext>
          </a:extLst>
        </xdr:cNvPr>
        <xdr:cNvSpPr/>
      </xdr:nvSpPr>
      <xdr:spPr>
        <a:xfrm>
          <a:off x="1685925" y="24745950"/>
          <a:ext cx="400050" cy="1809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28575</xdr:colOff>
      <xdr:row>107</xdr:row>
      <xdr:rowOff>0</xdr:rowOff>
    </xdr:from>
    <xdr:to>
      <xdr:col>7</xdr:col>
      <xdr:colOff>152400</xdr:colOff>
      <xdr:row>107</xdr:row>
      <xdr:rowOff>180975</xdr:rowOff>
    </xdr:to>
    <xdr:sp macro="" textlink="">
      <xdr:nvSpPr>
        <xdr:cNvPr id="35" name="正方形/長方形 34">
          <a:extLst>
            <a:ext uri="{FF2B5EF4-FFF2-40B4-BE49-F238E27FC236}">
              <a16:creationId xmlns:a16="http://schemas.microsoft.com/office/drawing/2014/main" id="{9E6D2106-475A-47F5-8289-59AF481E584A}"/>
            </a:ext>
          </a:extLst>
        </xdr:cNvPr>
        <xdr:cNvSpPr/>
      </xdr:nvSpPr>
      <xdr:spPr>
        <a:xfrm>
          <a:off x="1685925" y="24745950"/>
          <a:ext cx="400050" cy="1809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1FB1AE-742C-4741-A546-7E275FA78293}">
  <dimension ref="S7:AI108"/>
  <sheetViews>
    <sheetView showGridLines="0" topLeftCell="AL84" zoomScaleNormal="100" workbookViewId="0">
      <selection activeCell="CX85" sqref="CX85"/>
    </sheetView>
  </sheetViews>
  <sheetFormatPr defaultRowHeight="18.75" x14ac:dyDescent="0.4"/>
  <cols>
    <col min="1" max="331" width="3.625" customWidth="1"/>
  </cols>
  <sheetData>
    <row r="7" spans="19:35" x14ac:dyDescent="0.4">
      <c r="T7" s="28" t="s">
        <v>236</v>
      </c>
      <c r="U7" s="28" t="s">
        <v>236</v>
      </c>
      <c r="V7" s="28" t="s">
        <v>236</v>
      </c>
      <c r="W7" s="28" t="s">
        <v>236</v>
      </c>
      <c r="X7" s="28" t="s">
        <v>236</v>
      </c>
      <c r="Y7" s="28" t="s">
        <v>236</v>
      </c>
      <c r="AC7" s="28" t="s">
        <v>236</v>
      </c>
      <c r="AD7" s="28" t="s">
        <v>236</v>
      </c>
      <c r="AE7" s="30" t="s">
        <v>237</v>
      </c>
      <c r="AF7" s="30" t="s">
        <v>237</v>
      </c>
      <c r="AG7" s="30" t="s">
        <v>237</v>
      </c>
      <c r="AH7" s="30" t="s">
        <v>237</v>
      </c>
    </row>
    <row r="8" spans="19:35" x14ac:dyDescent="0.4">
      <c r="T8" s="29" t="s">
        <v>236</v>
      </c>
      <c r="U8" s="29" t="s">
        <v>236</v>
      </c>
      <c r="V8" s="29" t="s">
        <v>236</v>
      </c>
      <c r="W8" s="29" t="s">
        <v>236</v>
      </c>
      <c r="X8" s="29" t="s">
        <v>236</v>
      </c>
      <c r="Y8" s="29" t="s">
        <v>236</v>
      </c>
      <c r="AC8" s="29" t="s">
        <v>236</v>
      </c>
      <c r="AD8" s="29" t="s">
        <v>236</v>
      </c>
      <c r="AE8" s="30" t="s">
        <v>237</v>
      </c>
      <c r="AF8" s="30" t="s">
        <v>237</v>
      </c>
      <c r="AG8" s="30" t="s">
        <v>237</v>
      </c>
      <c r="AH8" s="30" t="s">
        <v>237</v>
      </c>
    </row>
    <row r="9" spans="19:35" x14ac:dyDescent="0.4">
      <c r="S9" s="19"/>
      <c r="T9" s="20"/>
      <c r="U9" s="20"/>
      <c r="V9" s="20"/>
      <c r="W9" s="20"/>
      <c r="X9" s="20"/>
      <c r="Y9" s="20"/>
      <c r="Z9" s="48" t="s">
        <v>238</v>
      </c>
      <c r="AA9" s="48"/>
      <c r="AB9" s="48"/>
      <c r="AC9" s="20"/>
      <c r="AD9" s="20"/>
      <c r="AE9" s="20"/>
      <c r="AF9" s="20"/>
      <c r="AG9" s="20"/>
      <c r="AH9" s="20"/>
      <c r="AI9" s="31"/>
    </row>
    <row r="108" ht="20.25" customHeight="1" x14ac:dyDescent="0.4"/>
  </sheetData>
  <mergeCells count="1">
    <mergeCell ref="Z9:AB9"/>
  </mergeCells>
  <phoneticPr fontId="1"/>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6E2ED7-63EC-477B-B524-080019C1FAB2}">
  <dimension ref="A1"/>
  <sheetViews>
    <sheetView zoomScale="40" zoomScaleNormal="40" workbookViewId="0">
      <selection activeCell="E101" sqref="E101"/>
    </sheetView>
  </sheetViews>
  <sheetFormatPr defaultRowHeight="18.75" x14ac:dyDescent="0.4"/>
  <sheetData/>
  <phoneticPr fontId="1"/>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FF1B51-72A3-4F92-8EC2-ADF443BD494B}">
  <dimension ref="F3:AO213"/>
  <sheetViews>
    <sheetView showGridLines="0" zoomScale="40" zoomScaleNormal="40" workbookViewId="0">
      <selection activeCell="BK78" sqref="BK78"/>
    </sheetView>
  </sheetViews>
  <sheetFormatPr defaultRowHeight="18.75" x14ac:dyDescent="0.4"/>
  <cols>
    <col min="1" max="8" width="3.625" customWidth="1"/>
    <col min="9" max="9" width="1.5" customWidth="1"/>
    <col min="10" max="256" width="3.625" customWidth="1"/>
  </cols>
  <sheetData>
    <row r="3" spans="6:25" ht="19.5" thickBot="1" x14ac:dyDescent="0.45">
      <c r="I3" s="3"/>
      <c r="J3" s="84" t="str">
        <f>"+0"</f>
        <v>+0</v>
      </c>
      <c r="K3" s="65"/>
      <c r="L3" s="65"/>
      <c r="M3" s="85"/>
      <c r="N3" s="84" t="str">
        <f>"+1"</f>
        <v>+1</v>
      </c>
      <c r="O3" s="65"/>
      <c r="P3" s="65"/>
      <c r="Q3" s="85"/>
      <c r="R3" s="84" t="str">
        <f>"+2"</f>
        <v>+2</v>
      </c>
      <c r="S3" s="65"/>
      <c r="T3" s="65"/>
      <c r="U3" s="85"/>
      <c r="V3" s="84" t="str">
        <f>"+3"</f>
        <v>+3</v>
      </c>
      <c r="W3" s="65"/>
      <c r="X3" s="65"/>
      <c r="Y3" s="85"/>
    </row>
    <row r="4" spans="6:25" ht="18.75" customHeight="1" x14ac:dyDescent="0.4">
      <c r="G4" s="108" t="s">
        <v>7</v>
      </c>
      <c r="H4" s="108"/>
      <c r="I4" s="4"/>
      <c r="J4" s="111" t="s">
        <v>243</v>
      </c>
      <c r="K4" s="112"/>
      <c r="L4" s="112"/>
      <c r="M4" s="113"/>
      <c r="N4" s="101" t="s">
        <v>114</v>
      </c>
      <c r="O4" s="101"/>
      <c r="P4" s="101"/>
      <c r="Q4" s="101"/>
      <c r="R4" s="101"/>
      <c r="S4" s="101"/>
      <c r="T4" s="101"/>
      <c r="U4" s="101"/>
      <c r="V4" s="101"/>
      <c r="W4" s="101"/>
      <c r="X4" s="101"/>
      <c r="Y4" s="102"/>
    </row>
    <row r="5" spans="6:25" ht="19.5" thickBot="1" x14ac:dyDescent="0.45">
      <c r="G5" s="109"/>
      <c r="H5" s="109"/>
      <c r="I5" s="5"/>
      <c r="J5" s="117" t="s">
        <v>2</v>
      </c>
      <c r="K5" s="116"/>
      <c r="L5" s="116"/>
      <c r="M5" s="116"/>
      <c r="N5" s="116" t="s">
        <v>3</v>
      </c>
      <c r="O5" s="116"/>
      <c r="P5" s="116"/>
      <c r="Q5" s="116"/>
      <c r="R5" s="116" t="s">
        <v>4</v>
      </c>
      <c r="S5" s="116"/>
      <c r="T5" s="116"/>
      <c r="U5" s="116"/>
      <c r="V5" s="116" t="s">
        <v>5</v>
      </c>
      <c r="W5" s="116"/>
      <c r="X5" s="116"/>
      <c r="Y5" s="118"/>
    </row>
    <row r="6" spans="6:25" x14ac:dyDescent="0.4">
      <c r="G6" s="108" t="s">
        <v>8</v>
      </c>
      <c r="H6" s="108"/>
      <c r="I6" s="4"/>
      <c r="J6" s="110" t="s">
        <v>114</v>
      </c>
      <c r="K6" s="101"/>
      <c r="L6" s="101"/>
      <c r="M6" s="101"/>
      <c r="N6" s="101"/>
      <c r="O6" s="101"/>
      <c r="P6" s="101"/>
      <c r="Q6" s="101"/>
      <c r="R6" s="101" t="s">
        <v>115</v>
      </c>
      <c r="S6" s="101"/>
      <c r="T6" s="101"/>
      <c r="U6" s="101"/>
      <c r="V6" s="101"/>
      <c r="W6" s="101"/>
      <c r="X6" s="101"/>
      <c r="Y6" s="102"/>
    </row>
    <row r="7" spans="6:25" ht="19.5" thickBot="1" x14ac:dyDescent="0.45">
      <c r="G7" s="109"/>
      <c r="H7" s="109"/>
      <c r="I7" s="6"/>
      <c r="J7" s="103" t="s">
        <v>6</v>
      </c>
      <c r="K7" s="95"/>
      <c r="L7" s="95"/>
      <c r="M7" s="95"/>
      <c r="N7" s="95" t="s">
        <v>2</v>
      </c>
      <c r="O7" s="95"/>
      <c r="P7" s="95"/>
      <c r="Q7" s="95"/>
      <c r="R7" s="95" t="s">
        <v>6</v>
      </c>
      <c r="S7" s="95"/>
      <c r="T7" s="95"/>
      <c r="U7" s="95"/>
      <c r="V7" s="95" t="s">
        <v>2</v>
      </c>
      <c r="W7" s="95"/>
      <c r="X7" s="95"/>
      <c r="Y7" s="96"/>
    </row>
    <row r="11" spans="6:25" ht="19.5" thickBot="1" x14ac:dyDescent="0.45">
      <c r="F11" s="2"/>
      <c r="G11" s="2"/>
      <c r="H11" s="2"/>
      <c r="I11" s="3"/>
      <c r="J11" s="84" t="str">
        <f>"+0"</f>
        <v>+0</v>
      </c>
      <c r="K11" s="65"/>
      <c r="L11" s="65"/>
      <c r="M11" s="85"/>
      <c r="N11" s="84" t="str">
        <f>"+1"</f>
        <v>+1</v>
      </c>
      <c r="O11" s="65"/>
      <c r="P11" s="65"/>
      <c r="Q11" s="85"/>
      <c r="R11" s="84" t="str">
        <f>"+2"</f>
        <v>+2</v>
      </c>
      <c r="S11" s="65"/>
      <c r="T11" s="65"/>
      <c r="U11" s="85"/>
      <c r="V11" s="84" t="str">
        <f>"+3"</f>
        <v>+3</v>
      </c>
      <c r="W11" s="65"/>
      <c r="X11" s="65"/>
      <c r="Y11" s="85"/>
    </row>
    <row r="12" spans="6:25" ht="18.75" customHeight="1" x14ac:dyDescent="0.4">
      <c r="F12" s="119" t="s">
        <v>7</v>
      </c>
      <c r="G12" s="119"/>
      <c r="H12" s="119"/>
      <c r="I12" s="4"/>
      <c r="J12" s="111" t="s">
        <v>244</v>
      </c>
      <c r="K12" s="112"/>
      <c r="L12" s="112"/>
      <c r="M12" s="113"/>
      <c r="N12" s="101" t="s">
        <v>114</v>
      </c>
      <c r="O12" s="101"/>
      <c r="P12" s="101"/>
      <c r="Q12" s="101"/>
      <c r="R12" s="101"/>
      <c r="S12" s="101"/>
      <c r="T12" s="101"/>
      <c r="U12" s="101"/>
      <c r="V12" s="101"/>
      <c r="W12" s="101"/>
      <c r="X12" s="101"/>
      <c r="Y12" s="102"/>
    </row>
    <row r="13" spans="6:25" ht="19.5" thickBot="1" x14ac:dyDescent="0.45">
      <c r="F13" s="109"/>
      <c r="G13" s="109"/>
      <c r="H13" s="109"/>
      <c r="I13" s="26"/>
      <c r="J13" s="117" t="s">
        <v>2</v>
      </c>
      <c r="K13" s="116"/>
      <c r="L13" s="116"/>
      <c r="M13" s="116"/>
      <c r="N13" s="116" t="s">
        <v>3</v>
      </c>
      <c r="O13" s="116"/>
      <c r="P13" s="116"/>
      <c r="Q13" s="116"/>
      <c r="R13" s="116" t="s">
        <v>4</v>
      </c>
      <c r="S13" s="116"/>
      <c r="T13" s="116"/>
      <c r="U13" s="116"/>
      <c r="V13" s="116" t="s">
        <v>5</v>
      </c>
      <c r="W13" s="116"/>
      <c r="X13" s="116"/>
      <c r="Y13" s="118"/>
    </row>
    <row r="14" spans="6:25" x14ac:dyDescent="0.4">
      <c r="F14" s="119" t="s">
        <v>8</v>
      </c>
      <c r="G14" s="119"/>
      <c r="H14" s="119"/>
      <c r="I14" s="4"/>
      <c r="J14" s="110" t="s">
        <v>114</v>
      </c>
      <c r="K14" s="101"/>
      <c r="L14" s="101"/>
      <c r="M14" s="101"/>
      <c r="N14" s="101"/>
      <c r="O14" s="101"/>
      <c r="P14" s="101"/>
      <c r="Q14" s="101"/>
      <c r="R14" s="101" t="s">
        <v>124</v>
      </c>
      <c r="S14" s="101"/>
      <c r="T14" s="101"/>
      <c r="U14" s="101"/>
      <c r="V14" s="101"/>
      <c r="W14" s="101"/>
      <c r="X14" s="101"/>
      <c r="Y14" s="102"/>
    </row>
    <row r="15" spans="6:25" ht="19.5" thickBot="1" x14ac:dyDescent="0.45">
      <c r="F15" s="109"/>
      <c r="G15" s="109"/>
      <c r="H15" s="109"/>
      <c r="I15" s="6"/>
      <c r="J15" s="103" t="s">
        <v>6</v>
      </c>
      <c r="K15" s="95"/>
      <c r="L15" s="95"/>
      <c r="M15" s="95"/>
      <c r="N15" s="95" t="s">
        <v>2</v>
      </c>
      <c r="O15" s="95"/>
      <c r="P15" s="95"/>
      <c r="Q15" s="95"/>
      <c r="R15" s="95" t="s">
        <v>6</v>
      </c>
      <c r="S15" s="95"/>
      <c r="T15" s="95"/>
      <c r="U15" s="95"/>
      <c r="V15" s="95" t="s">
        <v>2</v>
      </c>
      <c r="W15" s="95"/>
      <c r="X15" s="95"/>
      <c r="Y15" s="96"/>
    </row>
    <row r="16" spans="6:25" x14ac:dyDescent="0.4">
      <c r="F16" s="119" t="s">
        <v>9</v>
      </c>
      <c r="G16" s="119"/>
      <c r="H16" s="119"/>
      <c r="I16" s="4"/>
      <c r="J16" s="120" t="s">
        <v>90</v>
      </c>
      <c r="K16" s="121"/>
      <c r="L16" s="121"/>
      <c r="M16" s="121"/>
      <c r="N16" s="121"/>
      <c r="O16" s="121"/>
      <c r="P16" s="121"/>
      <c r="Q16" s="121"/>
      <c r="R16" s="121"/>
      <c r="S16" s="121"/>
      <c r="T16" s="121"/>
      <c r="U16" s="121"/>
      <c r="V16" s="121"/>
      <c r="W16" s="121"/>
      <c r="X16" s="121"/>
      <c r="Y16" s="122"/>
    </row>
    <row r="17" spans="6:25" ht="19.5" thickBot="1" x14ac:dyDescent="0.45">
      <c r="F17" s="109"/>
      <c r="G17" s="109"/>
      <c r="H17" s="109"/>
      <c r="I17" s="6"/>
      <c r="J17" s="103" t="s">
        <v>2</v>
      </c>
      <c r="K17" s="95"/>
      <c r="L17" s="95"/>
      <c r="M17" s="95"/>
      <c r="N17" s="104" t="s">
        <v>6</v>
      </c>
      <c r="O17" s="95"/>
      <c r="P17" s="95"/>
      <c r="Q17" s="95"/>
      <c r="R17" s="95" t="s">
        <v>5</v>
      </c>
      <c r="S17" s="95"/>
      <c r="T17" s="95"/>
      <c r="U17" s="123"/>
      <c r="V17" s="95" t="s">
        <v>4</v>
      </c>
      <c r="W17" s="95"/>
      <c r="X17" s="95"/>
      <c r="Y17" s="96"/>
    </row>
    <row r="18" spans="6:25" x14ac:dyDescent="0.4">
      <c r="F18" s="119" t="s">
        <v>10</v>
      </c>
      <c r="G18" s="119"/>
      <c r="H18" s="119"/>
      <c r="I18" s="4"/>
      <c r="J18" s="120" t="s">
        <v>91</v>
      </c>
      <c r="K18" s="121"/>
      <c r="L18" s="121"/>
      <c r="M18" s="121"/>
      <c r="N18" s="121"/>
      <c r="O18" s="121"/>
      <c r="P18" s="121"/>
      <c r="Q18" s="121"/>
      <c r="R18" s="121"/>
      <c r="S18" s="121"/>
      <c r="T18" s="121"/>
      <c r="U18" s="121"/>
      <c r="V18" s="121"/>
      <c r="W18" s="121"/>
      <c r="X18" s="121"/>
      <c r="Y18" s="122"/>
    </row>
    <row r="19" spans="6:25" ht="19.5" thickBot="1" x14ac:dyDescent="0.45">
      <c r="F19" s="109"/>
      <c r="G19" s="109"/>
      <c r="H19" s="109"/>
      <c r="I19" s="6"/>
      <c r="J19" s="103" t="s">
        <v>2</v>
      </c>
      <c r="K19" s="95"/>
      <c r="L19" s="95"/>
      <c r="M19" s="123"/>
      <c r="N19" s="95" t="s">
        <v>6</v>
      </c>
      <c r="O19" s="95"/>
      <c r="P19" s="95"/>
      <c r="Q19" s="95"/>
      <c r="R19" s="95" t="s">
        <v>5</v>
      </c>
      <c r="S19" s="95"/>
      <c r="T19" s="95"/>
      <c r="U19" s="123"/>
      <c r="V19" s="95" t="s">
        <v>4</v>
      </c>
      <c r="W19" s="95"/>
      <c r="X19" s="95"/>
      <c r="Y19" s="96"/>
    </row>
    <row r="20" spans="6:25" x14ac:dyDescent="0.4">
      <c r="F20" s="119" t="s">
        <v>0</v>
      </c>
      <c r="G20" s="119"/>
      <c r="H20" s="119"/>
      <c r="I20" s="4"/>
      <c r="J20" s="124" t="s">
        <v>0</v>
      </c>
      <c r="K20" s="125"/>
      <c r="L20" s="125"/>
      <c r="M20" s="125"/>
      <c r="N20" s="125"/>
      <c r="O20" s="125"/>
      <c r="P20" s="125"/>
      <c r="Q20" s="125"/>
      <c r="R20" s="125"/>
      <c r="S20" s="125"/>
      <c r="T20" s="125"/>
      <c r="U20" s="125"/>
      <c r="V20" s="125"/>
      <c r="W20" s="125"/>
      <c r="X20" s="125"/>
      <c r="Y20" s="126"/>
    </row>
    <row r="21" spans="6:25" ht="19.5" thickBot="1" x14ac:dyDescent="0.45">
      <c r="F21" s="109"/>
      <c r="G21" s="109"/>
      <c r="H21" s="109"/>
      <c r="I21" s="6"/>
      <c r="J21" s="127"/>
      <c r="K21" s="128"/>
      <c r="L21" s="128"/>
      <c r="M21" s="128"/>
      <c r="N21" s="128"/>
      <c r="O21" s="128"/>
      <c r="P21" s="128"/>
      <c r="Q21" s="128"/>
      <c r="R21" s="128"/>
      <c r="S21" s="128"/>
      <c r="T21" s="128"/>
      <c r="U21" s="128"/>
      <c r="V21" s="128"/>
      <c r="W21" s="128"/>
      <c r="X21" s="128"/>
      <c r="Y21" s="129"/>
    </row>
    <row r="22" spans="6:25" x14ac:dyDescent="0.4">
      <c r="F22" s="119" t="s">
        <v>128</v>
      </c>
      <c r="G22" s="119"/>
      <c r="H22" s="119"/>
      <c r="I22" s="4"/>
      <c r="J22" s="120" t="s">
        <v>125</v>
      </c>
      <c r="K22" s="121"/>
      <c r="L22" s="121"/>
      <c r="M22" s="121"/>
      <c r="N22" s="121"/>
      <c r="O22" s="121"/>
      <c r="P22" s="121"/>
      <c r="Q22" s="121"/>
      <c r="R22" s="121"/>
      <c r="S22" s="121"/>
      <c r="T22" s="121"/>
      <c r="U22" s="121"/>
      <c r="V22" s="121"/>
      <c r="W22" s="121"/>
      <c r="X22" s="121"/>
      <c r="Y22" s="122"/>
    </row>
    <row r="23" spans="6:25" ht="19.5" thickBot="1" x14ac:dyDescent="0.45">
      <c r="F23" s="109"/>
      <c r="G23" s="109"/>
      <c r="H23" s="109"/>
      <c r="I23" s="6"/>
      <c r="J23" s="103" t="s">
        <v>2</v>
      </c>
      <c r="K23" s="95"/>
      <c r="L23" s="95"/>
      <c r="M23" s="95"/>
      <c r="N23" s="104" t="s">
        <v>6</v>
      </c>
      <c r="O23" s="95"/>
      <c r="P23" s="95"/>
      <c r="Q23" s="95"/>
      <c r="R23" s="95" t="s">
        <v>5</v>
      </c>
      <c r="S23" s="95"/>
      <c r="T23" s="95"/>
      <c r="U23" s="95"/>
      <c r="V23" s="104" t="s">
        <v>4</v>
      </c>
      <c r="W23" s="95"/>
      <c r="X23" s="95"/>
      <c r="Y23" s="96"/>
    </row>
    <row r="26" spans="6:25" ht="19.5" thickBot="1" x14ac:dyDescent="0.45">
      <c r="F26" s="2"/>
      <c r="G26" s="2"/>
      <c r="H26" s="2"/>
      <c r="I26" s="3"/>
      <c r="J26" s="84" t="str">
        <f>"+0"</f>
        <v>+0</v>
      </c>
      <c r="K26" s="65"/>
      <c r="L26" s="65"/>
      <c r="M26" s="85"/>
      <c r="N26" s="84" t="str">
        <f>"+1"</f>
        <v>+1</v>
      </c>
      <c r="O26" s="65"/>
      <c r="P26" s="65"/>
      <c r="Q26" s="85"/>
      <c r="R26" s="84" t="str">
        <f>"+2"</f>
        <v>+2</v>
      </c>
      <c r="S26" s="65"/>
      <c r="T26" s="65"/>
      <c r="U26" s="85"/>
      <c r="V26" s="84" t="str">
        <f>"+3"</f>
        <v>+3</v>
      </c>
      <c r="W26" s="65"/>
      <c r="X26" s="65"/>
      <c r="Y26" s="85"/>
    </row>
    <row r="27" spans="6:25" ht="18.75" customHeight="1" x14ac:dyDescent="0.4">
      <c r="F27" s="119" t="s">
        <v>7</v>
      </c>
      <c r="G27" s="119"/>
      <c r="H27" s="119"/>
      <c r="I27" s="4"/>
      <c r="J27" s="111" t="s">
        <v>245</v>
      </c>
      <c r="K27" s="112"/>
      <c r="L27" s="112"/>
      <c r="M27" s="113"/>
      <c r="N27" s="101" t="s">
        <v>114</v>
      </c>
      <c r="O27" s="101"/>
      <c r="P27" s="101"/>
      <c r="Q27" s="101"/>
      <c r="R27" s="101"/>
      <c r="S27" s="101"/>
      <c r="T27" s="101"/>
      <c r="U27" s="101"/>
      <c r="V27" s="101"/>
      <c r="W27" s="101"/>
      <c r="X27" s="101"/>
      <c r="Y27" s="102"/>
    </row>
    <row r="28" spans="6:25" ht="19.5" thickBot="1" x14ac:dyDescent="0.45">
      <c r="F28" s="109"/>
      <c r="G28" s="109"/>
      <c r="H28" s="109"/>
      <c r="I28" s="5"/>
      <c r="J28" s="117" t="s">
        <v>2</v>
      </c>
      <c r="K28" s="116"/>
      <c r="L28" s="116"/>
      <c r="M28" s="116"/>
      <c r="N28" s="116" t="s">
        <v>3</v>
      </c>
      <c r="O28" s="116"/>
      <c r="P28" s="116"/>
      <c r="Q28" s="116"/>
      <c r="R28" s="116" t="s">
        <v>4</v>
      </c>
      <c r="S28" s="116"/>
      <c r="T28" s="116"/>
      <c r="U28" s="116"/>
      <c r="V28" s="116" t="s">
        <v>5</v>
      </c>
      <c r="W28" s="116"/>
      <c r="X28" s="116"/>
      <c r="Y28" s="118"/>
    </row>
    <row r="29" spans="6:25" x14ac:dyDescent="0.4">
      <c r="F29" s="119" t="s">
        <v>8</v>
      </c>
      <c r="G29" s="119"/>
      <c r="H29" s="119"/>
      <c r="I29" s="4"/>
      <c r="J29" s="110" t="s">
        <v>114</v>
      </c>
      <c r="K29" s="101"/>
      <c r="L29" s="101"/>
      <c r="M29" s="101"/>
      <c r="N29" s="101"/>
      <c r="O29" s="101"/>
      <c r="P29" s="101"/>
      <c r="Q29" s="101"/>
      <c r="R29" s="101" t="s">
        <v>124</v>
      </c>
      <c r="S29" s="101"/>
      <c r="T29" s="101"/>
      <c r="U29" s="101"/>
      <c r="V29" s="101"/>
      <c r="W29" s="101"/>
      <c r="X29" s="101"/>
      <c r="Y29" s="102"/>
    </row>
    <row r="30" spans="6:25" ht="19.5" thickBot="1" x14ac:dyDescent="0.45">
      <c r="F30" s="109"/>
      <c r="G30" s="109"/>
      <c r="H30" s="109"/>
      <c r="I30" s="6"/>
      <c r="J30" s="103" t="s">
        <v>6</v>
      </c>
      <c r="K30" s="95"/>
      <c r="L30" s="95"/>
      <c r="M30" s="95"/>
      <c r="N30" s="95" t="s">
        <v>2</v>
      </c>
      <c r="O30" s="95"/>
      <c r="P30" s="95"/>
      <c r="Q30" s="95"/>
      <c r="R30" s="95" t="s">
        <v>6</v>
      </c>
      <c r="S30" s="95"/>
      <c r="T30" s="95"/>
      <c r="U30" s="95"/>
      <c r="V30" s="95" t="s">
        <v>2</v>
      </c>
      <c r="W30" s="95"/>
      <c r="X30" s="95"/>
      <c r="Y30" s="96"/>
    </row>
    <row r="31" spans="6:25" x14ac:dyDescent="0.4">
      <c r="F31" s="119" t="s">
        <v>9</v>
      </c>
      <c r="G31" s="119"/>
      <c r="H31" s="119"/>
      <c r="I31" s="4"/>
      <c r="J31" s="120" t="s">
        <v>90</v>
      </c>
      <c r="K31" s="121"/>
      <c r="L31" s="121"/>
      <c r="M31" s="121"/>
      <c r="N31" s="121"/>
      <c r="O31" s="121"/>
      <c r="P31" s="121"/>
      <c r="Q31" s="121"/>
      <c r="R31" s="121"/>
      <c r="S31" s="121"/>
      <c r="T31" s="121"/>
      <c r="U31" s="121"/>
      <c r="V31" s="121"/>
      <c r="W31" s="121"/>
      <c r="X31" s="121"/>
      <c r="Y31" s="122"/>
    </row>
    <row r="32" spans="6:25" ht="19.5" thickBot="1" x14ac:dyDescent="0.45">
      <c r="F32" s="109"/>
      <c r="G32" s="109"/>
      <c r="H32" s="109"/>
      <c r="I32" s="6"/>
      <c r="J32" s="114" t="s">
        <v>2</v>
      </c>
      <c r="K32" s="115"/>
      <c r="L32" s="115"/>
      <c r="M32" s="104"/>
      <c r="N32" s="123" t="s">
        <v>6</v>
      </c>
      <c r="O32" s="115"/>
      <c r="P32" s="115"/>
      <c r="Q32" s="104"/>
      <c r="R32" s="123" t="s">
        <v>5</v>
      </c>
      <c r="S32" s="115"/>
      <c r="T32" s="115"/>
      <c r="U32" s="104"/>
      <c r="V32" s="123" t="s">
        <v>4</v>
      </c>
      <c r="W32" s="115"/>
      <c r="X32" s="115"/>
      <c r="Y32" s="130"/>
    </row>
    <row r="33" spans="6:25" x14ac:dyDescent="0.4">
      <c r="F33" s="119" t="s">
        <v>10</v>
      </c>
      <c r="G33" s="119"/>
      <c r="H33" s="119"/>
      <c r="I33" s="4"/>
      <c r="J33" s="120" t="s">
        <v>91</v>
      </c>
      <c r="K33" s="121"/>
      <c r="L33" s="121"/>
      <c r="M33" s="121"/>
      <c r="N33" s="121"/>
      <c r="O33" s="121"/>
      <c r="P33" s="121"/>
      <c r="Q33" s="121"/>
      <c r="R33" s="121"/>
      <c r="S33" s="121"/>
      <c r="T33" s="121"/>
      <c r="U33" s="121"/>
      <c r="V33" s="121"/>
      <c r="W33" s="121"/>
      <c r="X33" s="121"/>
      <c r="Y33" s="122"/>
    </row>
    <row r="34" spans="6:25" ht="19.5" thickBot="1" x14ac:dyDescent="0.45">
      <c r="F34" s="109"/>
      <c r="G34" s="109"/>
      <c r="H34" s="109"/>
      <c r="I34" s="6"/>
      <c r="J34" s="114" t="s">
        <v>2</v>
      </c>
      <c r="K34" s="115"/>
      <c r="L34" s="115"/>
      <c r="M34" s="104"/>
      <c r="N34" s="123" t="s">
        <v>6</v>
      </c>
      <c r="O34" s="115"/>
      <c r="P34" s="115"/>
      <c r="Q34" s="104"/>
      <c r="R34" s="123" t="s">
        <v>5</v>
      </c>
      <c r="S34" s="115"/>
      <c r="T34" s="115"/>
      <c r="U34" s="104"/>
      <c r="V34" s="123" t="s">
        <v>4</v>
      </c>
      <c r="W34" s="115"/>
      <c r="X34" s="115"/>
      <c r="Y34" s="130"/>
    </row>
    <row r="35" spans="6:25" x14ac:dyDescent="0.4">
      <c r="F35" s="119" t="s">
        <v>0</v>
      </c>
      <c r="G35" s="119"/>
      <c r="H35" s="119"/>
      <c r="I35" s="4"/>
      <c r="J35" s="124" t="s">
        <v>0</v>
      </c>
      <c r="K35" s="125"/>
      <c r="L35" s="125"/>
      <c r="M35" s="125"/>
      <c r="N35" s="125"/>
      <c r="O35" s="125"/>
      <c r="P35" s="125"/>
      <c r="Q35" s="125"/>
      <c r="R35" s="125"/>
      <c r="S35" s="125"/>
      <c r="T35" s="125"/>
      <c r="U35" s="125"/>
      <c r="V35" s="125"/>
      <c r="W35" s="125"/>
      <c r="X35" s="125"/>
      <c r="Y35" s="126"/>
    </row>
    <row r="36" spans="6:25" ht="19.5" thickBot="1" x14ac:dyDescent="0.45">
      <c r="F36" s="109"/>
      <c r="G36" s="109"/>
      <c r="H36" s="109"/>
      <c r="I36" s="6"/>
      <c r="J36" s="127"/>
      <c r="K36" s="128"/>
      <c r="L36" s="128"/>
      <c r="M36" s="128"/>
      <c r="N36" s="128"/>
      <c r="O36" s="128"/>
      <c r="P36" s="128"/>
      <c r="Q36" s="128"/>
      <c r="R36" s="128"/>
      <c r="S36" s="128"/>
      <c r="T36" s="128"/>
      <c r="U36" s="128"/>
      <c r="V36" s="128"/>
      <c r="W36" s="128"/>
      <c r="X36" s="128"/>
      <c r="Y36" s="129"/>
    </row>
    <row r="37" spans="6:25" x14ac:dyDescent="0.4">
      <c r="F37" s="119" t="s">
        <v>128</v>
      </c>
      <c r="G37" s="119"/>
      <c r="H37" s="119"/>
      <c r="I37" s="4"/>
      <c r="J37" s="120" t="s">
        <v>125</v>
      </c>
      <c r="K37" s="121"/>
      <c r="L37" s="121"/>
      <c r="M37" s="121"/>
      <c r="N37" s="121"/>
      <c r="O37" s="121"/>
      <c r="P37" s="121"/>
      <c r="Q37" s="121"/>
      <c r="R37" s="121"/>
      <c r="S37" s="121"/>
      <c r="T37" s="121"/>
      <c r="U37" s="121"/>
      <c r="V37" s="121"/>
      <c r="W37" s="121"/>
      <c r="X37" s="121"/>
      <c r="Y37" s="122"/>
    </row>
    <row r="38" spans="6:25" ht="19.5" thickBot="1" x14ac:dyDescent="0.45">
      <c r="F38" s="109"/>
      <c r="G38" s="109"/>
      <c r="H38" s="109"/>
      <c r="I38" s="6"/>
      <c r="J38" s="114" t="s">
        <v>2</v>
      </c>
      <c r="K38" s="115"/>
      <c r="L38" s="115"/>
      <c r="M38" s="104"/>
      <c r="N38" s="123" t="s">
        <v>6</v>
      </c>
      <c r="O38" s="115"/>
      <c r="P38" s="115"/>
      <c r="Q38" s="104"/>
      <c r="R38" s="123" t="s">
        <v>5</v>
      </c>
      <c r="S38" s="115"/>
      <c r="T38" s="115"/>
      <c r="U38" s="104"/>
      <c r="V38" s="123" t="s">
        <v>4</v>
      </c>
      <c r="W38" s="115"/>
      <c r="X38" s="115"/>
      <c r="Y38" s="130"/>
    </row>
    <row r="40" spans="6:25" ht="19.5" thickBot="1" x14ac:dyDescent="0.45">
      <c r="I40" s="3"/>
      <c r="J40" s="84" t="str">
        <f>"+0"</f>
        <v>+0</v>
      </c>
      <c r="K40" s="65"/>
      <c r="L40" s="65"/>
      <c r="M40" s="85"/>
      <c r="N40" s="84" t="str">
        <f>"+1"</f>
        <v>+1</v>
      </c>
      <c r="O40" s="65"/>
      <c r="P40" s="65"/>
      <c r="Q40" s="85"/>
      <c r="R40" s="84" t="str">
        <f>"+2"</f>
        <v>+2</v>
      </c>
      <c r="S40" s="65"/>
      <c r="T40" s="65"/>
      <c r="U40" s="85"/>
      <c r="V40" s="84" t="str">
        <f>"+3"</f>
        <v>+3</v>
      </c>
      <c r="W40" s="65"/>
      <c r="X40" s="65"/>
      <c r="Y40" s="85"/>
    </row>
    <row r="41" spans="6:25" ht="18.75" customHeight="1" x14ac:dyDescent="0.4">
      <c r="G41" s="108" t="s">
        <v>7</v>
      </c>
      <c r="H41" s="108"/>
      <c r="I41" s="4"/>
      <c r="J41" s="111" t="s">
        <v>246</v>
      </c>
      <c r="K41" s="112"/>
      <c r="L41" s="112"/>
      <c r="M41" s="113"/>
      <c r="N41" s="101" t="s">
        <v>1</v>
      </c>
      <c r="O41" s="101"/>
      <c r="P41" s="101"/>
      <c r="Q41" s="101"/>
      <c r="R41" s="101"/>
      <c r="S41" s="101"/>
      <c r="T41" s="101"/>
      <c r="U41" s="101"/>
      <c r="V41" s="101"/>
      <c r="W41" s="101"/>
      <c r="X41" s="101"/>
      <c r="Y41" s="102"/>
    </row>
    <row r="42" spans="6:25" ht="19.5" thickBot="1" x14ac:dyDescent="0.45">
      <c r="G42" s="109"/>
      <c r="H42" s="109"/>
      <c r="I42" s="5"/>
      <c r="J42" s="117" t="s">
        <v>2</v>
      </c>
      <c r="K42" s="116"/>
      <c r="L42" s="116"/>
      <c r="M42" s="116"/>
      <c r="N42" s="116" t="s">
        <v>3</v>
      </c>
      <c r="O42" s="116"/>
      <c r="P42" s="116"/>
      <c r="Q42" s="116"/>
      <c r="R42" s="116" t="s">
        <v>4</v>
      </c>
      <c r="S42" s="116"/>
      <c r="T42" s="116"/>
      <c r="U42" s="116"/>
      <c r="V42" s="116" t="s">
        <v>5</v>
      </c>
      <c r="W42" s="116"/>
      <c r="X42" s="116"/>
      <c r="Y42" s="118"/>
    </row>
    <row r="43" spans="6:25" x14ac:dyDescent="0.4">
      <c r="G43" s="108" t="s">
        <v>8</v>
      </c>
      <c r="H43" s="108"/>
      <c r="I43" s="4"/>
      <c r="J43" s="110" t="s">
        <v>1</v>
      </c>
      <c r="K43" s="101"/>
      <c r="L43" s="101"/>
      <c r="M43" s="101"/>
      <c r="N43" s="101"/>
      <c r="O43" s="101"/>
      <c r="P43" s="101"/>
      <c r="Q43" s="101"/>
      <c r="R43" s="101" t="s">
        <v>127</v>
      </c>
      <c r="S43" s="101"/>
      <c r="T43" s="101"/>
      <c r="U43" s="101"/>
      <c r="V43" s="101"/>
      <c r="W43" s="101"/>
      <c r="X43" s="101"/>
      <c r="Y43" s="102"/>
    </row>
    <row r="44" spans="6:25" ht="19.5" thickBot="1" x14ac:dyDescent="0.45">
      <c r="G44" s="109"/>
      <c r="H44" s="109"/>
      <c r="I44" s="6"/>
      <c r="J44" s="103" t="s">
        <v>6</v>
      </c>
      <c r="K44" s="95"/>
      <c r="L44" s="95"/>
      <c r="M44" s="95"/>
      <c r="N44" s="95" t="s">
        <v>2</v>
      </c>
      <c r="O44" s="95"/>
      <c r="P44" s="95"/>
      <c r="Q44" s="95"/>
      <c r="R44" s="95" t="s">
        <v>6</v>
      </c>
      <c r="S44" s="95"/>
      <c r="T44" s="95"/>
      <c r="U44" s="95"/>
      <c r="V44" s="95" t="s">
        <v>2</v>
      </c>
      <c r="W44" s="95"/>
      <c r="X44" s="95"/>
      <c r="Y44" s="96"/>
    </row>
    <row r="46" spans="6:25" s="22" customFormat="1" x14ac:dyDescent="0.4"/>
    <row r="48" spans="6:25" ht="19.5" thickBot="1" x14ac:dyDescent="0.45">
      <c r="I48" s="3"/>
      <c r="J48" s="84" t="str">
        <f>"+0"</f>
        <v>+0</v>
      </c>
      <c r="K48" s="65"/>
      <c r="L48" s="65"/>
      <c r="M48" s="85"/>
      <c r="N48" s="84" t="str">
        <f>"+1"</f>
        <v>+1</v>
      </c>
      <c r="O48" s="65"/>
      <c r="P48" s="65"/>
      <c r="Q48" s="85"/>
      <c r="R48" s="84" t="str">
        <f>"+2"</f>
        <v>+2</v>
      </c>
      <c r="S48" s="65"/>
      <c r="T48" s="65"/>
      <c r="U48" s="85"/>
      <c r="V48" s="84" t="str">
        <f>"+3"</f>
        <v>+3</v>
      </c>
      <c r="W48" s="65"/>
      <c r="X48" s="65"/>
      <c r="Y48" s="85"/>
    </row>
    <row r="49" spans="6:25" ht="18.75" customHeight="1" x14ac:dyDescent="0.4">
      <c r="G49" s="108" t="s">
        <v>7</v>
      </c>
      <c r="H49" s="108"/>
      <c r="I49" s="4"/>
      <c r="J49" s="111" t="s">
        <v>116</v>
      </c>
      <c r="K49" s="112"/>
      <c r="L49" s="112"/>
      <c r="M49" s="113"/>
      <c r="N49" s="101" t="s">
        <v>114</v>
      </c>
      <c r="O49" s="101"/>
      <c r="P49" s="101"/>
      <c r="Q49" s="101"/>
      <c r="R49" s="101"/>
      <c r="S49" s="101"/>
      <c r="T49" s="101"/>
      <c r="U49" s="101"/>
      <c r="V49" s="101"/>
      <c r="W49" s="101"/>
      <c r="X49" s="101"/>
      <c r="Y49" s="102"/>
    </row>
    <row r="50" spans="6:25" ht="19.5" thickBot="1" x14ac:dyDescent="0.45">
      <c r="G50" s="109"/>
      <c r="H50" s="109"/>
      <c r="I50" s="5"/>
      <c r="J50" s="117" t="s">
        <v>2</v>
      </c>
      <c r="K50" s="116"/>
      <c r="L50" s="116"/>
      <c r="M50" s="116"/>
      <c r="N50" s="116" t="s">
        <v>3</v>
      </c>
      <c r="O50" s="116"/>
      <c r="P50" s="116"/>
      <c r="Q50" s="116"/>
      <c r="R50" s="116" t="s">
        <v>4</v>
      </c>
      <c r="S50" s="116"/>
      <c r="T50" s="116"/>
      <c r="U50" s="116"/>
      <c r="V50" s="116" t="s">
        <v>5</v>
      </c>
      <c r="W50" s="116"/>
      <c r="X50" s="116"/>
      <c r="Y50" s="118"/>
    </row>
    <row r="51" spans="6:25" x14ac:dyDescent="0.4">
      <c r="G51" s="108" t="s">
        <v>8</v>
      </c>
      <c r="H51" s="108"/>
      <c r="I51" s="4"/>
      <c r="J51" s="110" t="s">
        <v>114</v>
      </c>
      <c r="K51" s="101"/>
      <c r="L51" s="101"/>
      <c r="M51" s="101"/>
      <c r="N51" s="101"/>
      <c r="O51" s="101"/>
      <c r="P51" s="101"/>
      <c r="Q51" s="101"/>
      <c r="R51" s="101" t="s">
        <v>115</v>
      </c>
      <c r="S51" s="101"/>
      <c r="T51" s="101"/>
      <c r="U51" s="101"/>
      <c r="V51" s="101"/>
      <c r="W51" s="101"/>
      <c r="X51" s="101"/>
      <c r="Y51" s="102"/>
    </row>
    <row r="52" spans="6:25" ht="19.5" thickBot="1" x14ac:dyDescent="0.45">
      <c r="G52" s="109"/>
      <c r="H52" s="109"/>
      <c r="I52" s="6"/>
      <c r="J52" s="103" t="s">
        <v>6</v>
      </c>
      <c r="K52" s="95"/>
      <c r="L52" s="95"/>
      <c r="M52" s="95"/>
      <c r="N52" s="95" t="s">
        <v>2</v>
      </c>
      <c r="O52" s="95"/>
      <c r="P52" s="95"/>
      <c r="Q52" s="95"/>
      <c r="R52" s="95" t="s">
        <v>6</v>
      </c>
      <c r="S52" s="95"/>
      <c r="T52" s="95"/>
      <c r="U52" s="95"/>
      <c r="V52" s="95" t="s">
        <v>2</v>
      </c>
      <c r="W52" s="95"/>
      <c r="X52" s="95"/>
      <c r="Y52" s="96"/>
    </row>
    <row r="54" spans="6:25" x14ac:dyDescent="0.4">
      <c r="F54" s="13"/>
      <c r="G54" s="13"/>
      <c r="H54" s="13"/>
      <c r="J54" s="1"/>
      <c r="K54" s="1"/>
      <c r="L54" s="1"/>
      <c r="M54" s="1"/>
      <c r="N54" s="1"/>
      <c r="O54" s="1"/>
      <c r="P54" s="1"/>
      <c r="Q54" s="1"/>
      <c r="R54" s="1"/>
      <c r="S54" s="1"/>
      <c r="T54" s="1"/>
      <c r="U54" s="1"/>
      <c r="V54" s="1"/>
      <c r="W54" s="1"/>
      <c r="X54" s="1"/>
      <c r="Y54" s="1"/>
    </row>
    <row r="56" spans="6:25" ht="19.5" thickBot="1" x14ac:dyDescent="0.45">
      <c r="F56" s="2"/>
      <c r="G56" s="2"/>
      <c r="H56" s="2"/>
      <c r="I56" s="3"/>
      <c r="J56" s="84" t="str">
        <f>"+0"</f>
        <v>+0</v>
      </c>
      <c r="K56" s="65"/>
      <c r="L56" s="65"/>
      <c r="M56" s="85"/>
      <c r="N56" s="84" t="str">
        <f>"+1"</f>
        <v>+1</v>
      </c>
      <c r="O56" s="65"/>
      <c r="P56" s="65"/>
      <c r="Q56" s="85"/>
      <c r="R56" s="84" t="str">
        <f>"+2"</f>
        <v>+2</v>
      </c>
      <c r="S56" s="65"/>
      <c r="T56" s="65"/>
      <c r="U56" s="85"/>
      <c r="V56" s="84" t="str">
        <f>"+3"</f>
        <v>+3</v>
      </c>
      <c r="W56" s="65"/>
      <c r="X56" s="65"/>
      <c r="Y56" s="85"/>
    </row>
    <row r="57" spans="6:25" ht="18.75" customHeight="1" x14ac:dyDescent="0.4">
      <c r="F57" s="119" t="s">
        <v>7</v>
      </c>
      <c r="G57" s="119"/>
      <c r="H57" s="119"/>
      <c r="I57" s="4"/>
      <c r="J57" s="111" t="s">
        <v>117</v>
      </c>
      <c r="K57" s="112"/>
      <c r="L57" s="112"/>
      <c r="M57" s="113"/>
      <c r="N57" s="101" t="s">
        <v>114</v>
      </c>
      <c r="O57" s="101"/>
      <c r="P57" s="101"/>
      <c r="Q57" s="101"/>
      <c r="R57" s="101"/>
      <c r="S57" s="101"/>
      <c r="T57" s="101"/>
      <c r="U57" s="101"/>
      <c r="V57" s="101"/>
      <c r="W57" s="101"/>
      <c r="X57" s="101"/>
      <c r="Y57" s="102"/>
    </row>
    <row r="58" spans="6:25" ht="19.5" thickBot="1" x14ac:dyDescent="0.45">
      <c r="F58" s="109"/>
      <c r="G58" s="109"/>
      <c r="H58" s="109"/>
      <c r="I58" s="5"/>
      <c r="J58" s="117" t="s">
        <v>2</v>
      </c>
      <c r="K58" s="116"/>
      <c r="L58" s="116"/>
      <c r="M58" s="116"/>
      <c r="N58" s="116" t="s">
        <v>3</v>
      </c>
      <c r="O58" s="116"/>
      <c r="P58" s="116"/>
      <c r="Q58" s="116"/>
      <c r="R58" s="116" t="s">
        <v>4</v>
      </c>
      <c r="S58" s="116"/>
      <c r="T58" s="116"/>
      <c r="U58" s="116"/>
      <c r="V58" s="116" t="s">
        <v>5</v>
      </c>
      <c r="W58" s="116"/>
      <c r="X58" s="116"/>
      <c r="Y58" s="118"/>
    </row>
    <row r="59" spans="6:25" x14ac:dyDescent="0.4">
      <c r="F59" s="119" t="s">
        <v>8</v>
      </c>
      <c r="G59" s="119"/>
      <c r="H59" s="119"/>
      <c r="I59" s="4"/>
      <c r="J59" s="110" t="s">
        <v>114</v>
      </c>
      <c r="K59" s="101"/>
      <c r="L59" s="101"/>
      <c r="M59" s="101"/>
      <c r="N59" s="101"/>
      <c r="O59" s="101"/>
      <c r="P59" s="101"/>
      <c r="Q59" s="101"/>
      <c r="R59" s="101" t="s">
        <v>124</v>
      </c>
      <c r="S59" s="101"/>
      <c r="T59" s="101"/>
      <c r="U59" s="101"/>
      <c r="V59" s="101"/>
      <c r="W59" s="101"/>
      <c r="X59" s="101"/>
      <c r="Y59" s="102"/>
    </row>
    <row r="60" spans="6:25" ht="19.5" thickBot="1" x14ac:dyDescent="0.45">
      <c r="F60" s="109"/>
      <c r="G60" s="109"/>
      <c r="H60" s="109"/>
      <c r="I60" s="6"/>
      <c r="J60" s="103" t="s">
        <v>6</v>
      </c>
      <c r="K60" s="95"/>
      <c r="L60" s="95"/>
      <c r="M60" s="95"/>
      <c r="N60" s="95" t="s">
        <v>2</v>
      </c>
      <c r="O60" s="95"/>
      <c r="P60" s="95"/>
      <c r="Q60" s="95"/>
      <c r="R60" s="95" t="s">
        <v>6</v>
      </c>
      <c r="S60" s="95"/>
      <c r="T60" s="95"/>
      <c r="U60" s="95"/>
      <c r="V60" s="95" t="s">
        <v>2</v>
      </c>
      <c r="W60" s="95"/>
      <c r="X60" s="95"/>
      <c r="Y60" s="96"/>
    </row>
    <row r="61" spans="6:25" x14ac:dyDescent="0.4">
      <c r="F61" s="119" t="s">
        <v>9</v>
      </c>
      <c r="G61" s="119"/>
      <c r="H61" s="119"/>
      <c r="I61" s="4"/>
      <c r="J61" s="120" t="s">
        <v>90</v>
      </c>
      <c r="K61" s="121"/>
      <c r="L61" s="121"/>
      <c r="M61" s="121"/>
      <c r="N61" s="121"/>
      <c r="O61" s="121"/>
      <c r="P61" s="121"/>
      <c r="Q61" s="121"/>
      <c r="R61" s="121"/>
      <c r="S61" s="121"/>
      <c r="T61" s="121"/>
      <c r="U61" s="121"/>
      <c r="V61" s="121"/>
      <c r="W61" s="121"/>
      <c r="X61" s="121"/>
      <c r="Y61" s="122"/>
    </row>
    <row r="62" spans="6:25" ht="19.5" thickBot="1" x14ac:dyDescent="0.45">
      <c r="F62" s="109"/>
      <c r="G62" s="109"/>
      <c r="H62" s="109"/>
      <c r="I62" s="6"/>
      <c r="J62" s="103" t="s">
        <v>2</v>
      </c>
      <c r="K62" s="95"/>
      <c r="L62" s="95"/>
      <c r="M62" s="95"/>
      <c r="N62" s="104" t="s">
        <v>6</v>
      </c>
      <c r="O62" s="95"/>
      <c r="P62" s="95"/>
      <c r="Q62" s="95"/>
      <c r="R62" s="95" t="s">
        <v>5</v>
      </c>
      <c r="S62" s="95"/>
      <c r="T62" s="95"/>
      <c r="U62" s="123"/>
      <c r="V62" s="95" t="s">
        <v>4</v>
      </c>
      <c r="W62" s="95"/>
      <c r="X62" s="95"/>
      <c r="Y62" s="96"/>
    </row>
    <row r="63" spans="6:25" x14ac:dyDescent="0.4">
      <c r="F63" s="119" t="s">
        <v>10</v>
      </c>
      <c r="G63" s="119"/>
      <c r="H63" s="119"/>
      <c r="I63" s="4"/>
      <c r="J63" s="120" t="s">
        <v>91</v>
      </c>
      <c r="K63" s="121"/>
      <c r="L63" s="121"/>
      <c r="M63" s="121"/>
      <c r="N63" s="121"/>
      <c r="O63" s="121"/>
      <c r="P63" s="121"/>
      <c r="Q63" s="121"/>
      <c r="R63" s="121"/>
      <c r="S63" s="121"/>
      <c r="T63" s="121"/>
      <c r="U63" s="121"/>
      <c r="V63" s="121"/>
      <c r="W63" s="121"/>
      <c r="X63" s="121"/>
      <c r="Y63" s="122"/>
    </row>
    <row r="64" spans="6:25" ht="19.5" thickBot="1" x14ac:dyDescent="0.45">
      <c r="F64" s="109"/>
      <c r="G64" s="109"/>
      <c r="H64" s="109"/>
      <c r="I64" s="6"/>
      <c r="J64" s="103" t="s">
        <v>2</v>
      </c>
      <c r="K64" s="95"/>
      <c r="L64" s="95"/>
      <c r="M64" s="123"/>
      <c r="N64" s="95" t="s">
        <v>6</v>
      </c>
      <c r="O64" s="95"/>
      <c r="P64" s="95"/>
      <c r="Q64" s="95"/>
      <c r="R64" s="95" t="s">
        <v>5</v>
      </c>
      <c r="S64" s="95"/>
      <c r="T64" s="95"/>
      <c r="U64" s="123"/>
      <c r="V64" s="95" t="s">
        <v>4</v>
      </c>
      <c r="W64" s="95"/>
      <c r="X64" s="95"/>
      <c r="Y64" s="96"/>
    </row>
    <row r="65" spans="6:25" x14ac:dyDescent="0.4">
      <c r="F65" s="119" t="s">
        <v>0</v>
      </c>
      <c r="G65" s="119"/>
      <c r="H65" s="119"/>
      <c r="I65" s="4"/>
      <c r="J65" s="124" t="s">
        <v>0</v>
      </c>
      <c r="K65" s="125"/>
      <c r="L65" s="125"/>
      <c r="M65" s="125"/>
      <c r="N65" s="125"/>
      <c r="O65" s="125"/>
      <c r="P65" s="125"/>
      <c r="Q65" s="125"/>
      <c r="R65" s="125"/>
      <c r="S65" s="125"/>
      <c r="T65" s="125"/>
      <c r="U65" s="125"/>
      <c r="V65" s="125"/>
      <c r="W65" s="125"/>
      <c r="X65" s="125"/>
      <c r="Y65" s="126"/>
    </row>
    <row r="66" spans="6:25" ht="19.5" thickBot="1" x14ac:dyDescent="0.45">
      <c r="F66" s="109"/>
      <c r="G66" s="109"/>
      <c r="H66" s="109"/>
      <c r="I66" s="6"/>
      <c r="J66" s="127"/>
      <c r="K66" s="128"/>
      <c r="L66" s="128"/>
      <c r="M66" s="128"/>
      <c r="N66" s="128"/>
      <c r="O66" s="128"/>
      <c r="P66" s="128"/>
      <c r="Q66" s="128"/>
      <c r="R66" s="128"/>
      <c r="S66" s="128"/>
      <c r="T66" s="128"/>
      <c r="U66" s="128"/>
      <c r="V66" s="128"/>
      <c r="W66" s="128"/>
      <c r="X66" s="128"/>
      <c r="Y66" s="129"/>
    </row>
    <row r="67" spans="6:25" x14ac:dyDescent="0.4">
      <c r="F67" s="119" t="s">
        <v>128</v>
      </c>
      <c r="G67" s="119"/>
      <c r="H67" s="119"/>
      <c r="I67" s="4"/>
      <c r="J67" s="120" t="s">
        <v>125</v>
      </c>
      <c r="K67" s="121"/>
      <c r="L67" s="121"/>
      <c r="M67" s="121"/>
      <c r="N67" s="121"/>
      <c r="O67" s="121"/>
      <c r="P67" s="121"/>
      <c r="Q67" s="121"/>
      <c r="R67" s="121"/>
      <c r="S67" s="121"/>
      <c r="T67" s="121"/>
      <c r="U67" s="121"/>
      <c r="V67" s="121"/>
      <c r="W67" s="121"/>
      <c r="X67" s="121"/>
      <c r="Y67" s="122"/>
    </row>
    <row r="68" spans="6:25" ht="19.5" thickBot="1" x14ac:dyDescent="0.45">
      <c r="F68" s="109"/>
      <c r="G68" s="109"/>
      <c r="H68" s="109"/>
      <c r="I68" s="6"/>
      <c r="J68" s="103" t="s">
        <v>2</v>
      </c>
      <c r="K68" s="95"/>
      <c r="L68" s="95"/>
      <c r="M68" s="95"/>
      <c r="N68" s="104" t="s">
        <v>6</v>
      </c>
      <c r="O68" s="95"/>
      <c r="P68" s="95"/>
      <c r="Q68" s="95"/>
      <c r="R68" s="95" t="s">
        <v>5</v>
      </c>
      <c r="S68" s="95"/>
      <c r="T68" s="95"/>
      <c r="U68" s="95"/>
      <c r="V68" s="104" t="s">
        <v>4</v>
      </c>
      <c r="W68" s="95"/>
      <c r="X68" s="95"/>
      <c r="Y68" s="96"/>
    </row>
    <row r="69" spans="6:25" x14ac:dyDescent="0.4">
      <c r="F69" s="13"/>
      <c r="G69" s="13"/>
      <c r="H69" s="13"/>
      <c r="J69" s="1"/>
      <c r="K69" s="1"/>
      <c r="L69" s="1"/>
      <c r="M69" s="1"/>
      <c r="N69" s="1"/>
      <c r="O69" s="1"/>
      <c r="P69" s="1"/>
      <c r="Q69" s="1"/>
      <c r="R69" s="1"/>
      <c r="S69" s="1"/>
      <c r="T69" s="1"/>
      <c r="U69" s="1"/>
      <c r="V69" s="1"/>
      <c r="W69" s="1"/>
      <c r="X69" s="1"/>
      <c r="Y69" s="1"/>
    </row>
    <row r="71" spans="6:25" ht="19.5" thickBot="1" x14ac:dyDescent="0.45">
      <c r="F71" s="2"/>
      <c r="G71" s="2"/>
      <c r="H71" s="2"/>
      <c r="I71" s="3"/>
      <c r="J71" s="84" t="str">
        <f>"+0"</f>
        <v>+0</v>
      </c>
      <c r="K71" s="65"/>
      <c r="L71" s="65"/>
      <c r="M71" s="85"/>
      <c r="N71" s="84" t="str">
        <f>"+1"</f>
        <v>+1</v>
      </c>
      <c r="O71" s="65"/>
      <c r="P71" s="65"/>
      <c r="Q71" s="85"/>
      <c r="R71" s="84" t="str">
        <f>"+2"</f>
        <v>+2</v>
      </c>
      <c r="S71" s="65"/>
      <c r="T71" s="65"/>
      <c r="U71" s="85"/>
      <c r="V71" s="84" t="str">
        <f>"+3"</f>
        <v>+3</v>
      </c>
      <c r="W71" s="65"/>
      <c r="X71" s="65"/>
      <c r="Y71" s="85"/>
    </row>
    <row r="72" spans="6:25" ht="18.75" customHeight="1" x14ac:dyDescent="0.4">
      <c r="F72" s="119" t="s">
        <v>7</v>
      </c>
      <c r="G72" s="119"/>
      <c r="H72" s="119"/>
      <c r="I72" s="4"/>
      <c r="J72" s="111" t="s">
        <v>118</v>
      </c>
      <c r="K72" s="112"/>
      <c r="L72" s="112"/>
      <c r="M72" s="113"/>
      <c r="N72" s="101" t="s">
        <v>114</v>
      </c>
      <c r="O72" s="101"/>
      <c r="P72" s="101"/>
      <c r="Q72" s="101"/>
      <c r="R72" s="101"/>
      <c r="S72" s="101"/>
      <c r="T72" s="101"/>
      <c r="U72" s="101"/>
      <c r="V72" s="101"/>
      <c r="W72" s="101"/>
      <c r="X72" s="101"/>
      <c r="Y72" s="102"/>
    </row>
    <row r="73" spans="6:25" ht="19.5" thickBot="1" x14ac:dyDescent="0.45">
      <c r="F73" s="109"/>
      <c r="G73" s="109"/>
      <c r="H73" s="109"/>
      <c r="I73" s="5"/>
      <c r="J73" s="117" t="s">
        <v>2</v>
      </c>
      <c r="K73" s="116"/>
      <c r="L73" s="116"/>
      <c r="M73" s="116"/>
      <c r="N73" s="116" t="s">
        <v>3</v>
      </c>
      <c r="O73" s="116"/>
      <c r="P73" s="116"/>
      <c r="Q73" s="116"/>
      <c r="R73" s="116" t="s">
        <v>4</v>
      </c>
      <c r="S73" s="116"/>
      <c r="T73" s="116"/>
      <c r="U73" s="116"/>
      <c r="V73" s="116" t="s">
        <v>5</v>
      </c>
      <c r="W73" s="116"/>
      <c r="X73" s="116"/>
      <c r="Y73" s="118"/>
    </row>
    <row r="74" spans="6:25" x14ac:dyDescent="0.4">
      <c r="F74" s="119" t="s">
        <v>8</v>
      </c>
      <c r="G74" s="119"/>
      <c r="H74" s="119"/>
      <c r="I74" s="4"/>
      <c r="J74" s="110" t="s">
        <v>114</v>
      </c>
      <c r="K74" s="101"/>
      <c r="L74" s="101"/>
      <c r="M74" s="101"/>
      <c r="N74" s="101"/>
      <c r="O74" s="101"/>
      <c r="P74" s="101"/>
      <c r="Q74" s="101"/>
      <c r="R74" s="101" t="s">
        <v>124</v>
      </c>
      <c r="S74" s="101"/>
      <c r="T74" s="101"/>
      <c r="U74" s="101"/>
      <c r="V74" s="101"/>
      <c r="W74" s="101"/>
      <c r="X74" s="101"/>
      <c r="Y74" s="102"/>
    </row>
    <row r="75" spans="6:25" ht="19.5" thickBot="1" x14ac:dyDescent="0.45">
      <c r="F75" s="109"/>
      <c r="G75" s="109"/>
      <c r="H75" s="109"/>
      <c r="I75" s="6"/>
      <c r="J75" s="103" t="s">
        <v>6</v>
      </c>
      <c r="K75" s="95"/>
      <c r="L75" s="95"/>
      <c r="M75" s="95"/>
      <c r="N75" s="95" t="s">
        <v>2</v>
      </c>
      <c r="O75" s="95"/>
      <c r="P75" s="95"/>
      <c r="Q75" s="95"/>
      <c r="R75" s="95" t="s">
        <v>6</v>
      </c>
      <c r="S75" s="95"/>
      <c r="T75" s="95"/>
      <c r="U75" s="95"/>
      <c r="V75" s="95" t="s">
        <v>2</v>
      </c>
      <c r="W75" s="95"/>
      <c r="X75" s="95"/>
      <c r="Y75" s="96"/>
    </row>
    <row r="76" spans="6:25" x14ac:dyDescent="0.4">
      <c r="F76" s="119" t="s">
        <v>9</v>
      </c>
      <c r="G76" s="119"/>
      <c r="H76" s="119"/>
      <c r="I76" s="4"/>
      <c r="J76" s="120" t="s">
        <v>90</v>
      </c>
      <c r="K76" s="121"/>
      <c r="L76" s="121"/>
      <c r="M76" s="121"/>
      <c r="N76" s="121"/>
      <c r="O76" s="121"/>
      <c r="P76" s="121"/>
      <c r="Q76" s="121"/>
      <c r="R76" s="121"/>
      <c r="S76" s="121"/>
      <c r="T76" s="121"/>
      <c r="U76" s="121"/>
      <c r="V76" s="121"/>
      <c r="W76" s="121"/>
      <c r="X76" s="121"/>
      <c r="Y76" s="122"/>
    </row>
    <row r="77" spans="6:25" ht="19.5" thickBot="1" x14ac:dyDescent="0.45">
      <c r="F77" s="109"/>
      <c r="G77" s="109"/>
      <c r="H77" s="109"/>
      <c r="I77" s="6"/>
      <c r="J77" s="103" t="s">
        <v>2</v>
      </c>
      <c r="K77" s="95"/>
      <c r="L77" s="95"/>
      <c r="M77" s="95"/>
      <c r="N77" s="104" t="s">
        <v>6</v>
      </c>
      <c r="O77" s="95"/>
      <c r="P77" s="95"/>
      <c r="Q77" s="95"/>
      <c r="R77" s="95" t="s">
        <v>5</v>
      </c>
      <c r="S77" s="95"/>
      <c r="T77" s="95"/>
      <c r="U77" s="123"/>
      <c r="V77" s="95" t="s">
        <v>4</v>
      </c>
      <c r="W77" s="95"/>
      <c r="X77" s="95"/>
      <c r="Y77" s="96"/>
    </row>
    <row r="78" spans="6:25" x14ac:dyDescent="0.4">
      <c r="F78" s="119" t="s">
        <v>10</v>
      </c>
      <c r="G78" s="119"/>
      <c r="H78" s="119"/>
      <c r="I78" s="4"/>
      <c r="J78" s="120" t="s">
        <v>91</v>
      </c>
      <c r="K78" s="121"/>
      <c r="L78" s="121"/>
      <c r="M78" s="121"/>
      <c r="N78" s="121"/>
      <c r="O78" s="121"/>
      <c r="P78" s="121"/>
      <c r="Q78" s="121"/>
      <c r="R78" s="121"/>
      <c r="S78" s="121"/>
      <c r="T78" s="121"/>
      <c r="U78" s="121"/>
      <c r="V78" s="121"/>
      <c r="W78" s="121"/>
      <c r="X78" s="121"/>
      <c r="Y78" s="122"/>
    </row>
    <row r="79" spans="6:25" ht="19.5" thickBot="1" x14ac:dyDescent="0.45">
      <c r="F79" s="109"/>
      <c r="G79" s="109"/>
      <c r="H79" s="109"/>
      <c r="I79" s="6"/>
      <c r="J79" s="103" t="s">
        <v>2</v>
      </c>
      <c r="K79" s="95"/>
      <c r="L79" s="95"/>
      <c r="M79" s="123"/>
      <c r="N79" s="95" t="s">
        <v>6</v>
      </c>
      <c r="O79" s="95"/>
      <c r="P79" s="95"/>
      <c r="Q79" s="95"/>
      <c r="R79" s="95" t="s">
        <v>5</v>
      </c>
      <c r="S79" s="95"/>
      <c r="T79" s="95"/>
      <c r="U79" s="123"/>
      <c r="V79" s="95" t="s">
        <v>4</v>
      </c>
      <c r="W79" s="95"/>
      <c r="X79" s="95"/>
      <c r="Y79" s="96"/>
    </row>
    <row r="80" spans="6:25" x14ac:dyDescent="0.4">
      <c r="F80" s="119" t="s">
        <v>0</v>
      </c>
      <c r="G80" s="119"/>
      <c r="H80" s="119"/>
      <c r="I80" s="4"/>
      <c r="J80" s="124" t="s">
        <v>0</v>
      </c>
      <c r="K80" s="125"/>
      <c r="L80" s="125"/>
      <c r="M80" s="125"/>
      <c r="N80" s="125"/>
      <c r="O80" s="125"/>
      <c r="P80" s="125"/>
      <c r="Q80" s="125"/>
      <c r="R80" s="125"/>
      <c r="S80" s="125"/>
      <c r="T80" s="125"/>
      <c r="U80" s="125"/>
      <c r="V80" s="125"/>
      <c r="W80" s="125"/>
      <c r="X80" s="125"/>
      <c r="Y80" s="126"/>
    </row>
    <row r="81" spans="6:41" ht="19.5" thickBot="1" x14ac:dyDescent="0.45">
      <c r="F81" s="109"/>
      <c r="G81" s="109"/>
      <c r="H81" s="109"/>
      <c r="I81" s="6"/>
      <c r="J81" s="127"/>
      <c r="K81" s="128"/>
      <c r="L81" s="128"/>
      <c r="M81" s="128"/>
      <c r="N81" s="128"/>
      <c r="O81" s="128"/>
      <c r="P81" s="128"/>
      <c r="Q81" s="128"/>
      <c r="R81" s="128"/>
      <c r="S81" s="128"/>
      <c r="T81" s="128"/>
      <c r="U81" s="128"/>
      <c r="V81" s="128"/>
      <c r="W81" s="128"/>
      <c r="X81" s="128"/>
      <c r="Y81" s="129"/>
    </row>
    <row r="82" spans="6:41" x14ac:dyDescent="0.4">
      <c r="F82" s="119" t="s">
        <v>128</v>
      </c>
      <c r="G82" s="119"/>
      <c r="H82" s="119"/>
      <c r="I82" s="4"/>
      <c r="J82" s="120" t="s">
        <v>125</v>
      </c>
      <c r="K82" s="121"/>
      <c r="L82" s="121"/>
      <c r="M82" s="121"/>
      <c r="N82" s="121"/>
      <c r="O82" s="121"/>
      <c r="P82" s="121"/>
      <c r="Q82" s="121"/>
      <c r="R82" s="121"/>
      <c r="S82" s="121"/>
      <c r="T82" s="121"/>
      <c r="U82" s="121"/>
      <c r="V82" s="121"/>
      <c r="W82" s="121"/>
      <c r="X82" s="121"/>
      <c r="Y82" s="122"/>
    </row>
    <row r="83" spans="6:41" ht="19.5" thickBot="1" x14ac:dyDescent="0.45">
      <c r="F83" s="109"/>
      <c r="G83" s="109"/>
      <c r="H83" s="109"/>
      <c r="I83" s="6"/>
      <c r="J83" s="103" t="s">
        <v>2</v>
      </c>
      <c r="K83" s="95"/>
      <c r="L83" s="95"/>
      <c r="M83" s="95"/>
      <c r="N83" s="104" t="s">
        <v>6</v>
      </c>
      <c r="O83" s="95"/>
      <c r="P83" s="95"/>
      <c r="Q83" s="95"/>
      <c r="R83" s="95" t="s">
        <v>5</v>
      </c>
      <c r="S83" s="95"/>
      <c r="T83" s="95"/>
      <c r="U83" s="95"/>
      <c r="V83" s="104" t="s">
        <v>4</v>
      </c>
      <c r="W83" s="95"/>
      <c r="X83" s="95"/>
      <c r="Y83" s="96"/>
    </row>
    <row r="85" spans="6:41" ht="19.5" thickBot="1" x14ac:dyDescent="0.45">
      <c r="I85" s="3"/>
      <c r="J85" s="84" t="str">
        <f>"+0"</f>
        <v>+0</v>
      </c>
      <c r="K85" s="65"/>
      <c r="L85" s="65"/>
      <c r="M85" s="85"/>
      <c r="N85" s="84" t="str">
        <f>"+1"</f>
        <v>+1</v>
      </c>
      <c r="O85" s="65"/>
      <c r="P85" s="65"/>
      <c r="Q85" s="85"/>
      <c r="R85" s="84" t="str">
        <f>"+2"</f>
        <v>+2</v>
      </c>
      <c r="S85" s="65"/>
      <c r="T85" s="65"/>
      <c r="U85" s="85"/>
      <c r="V85" s="84" t="str">
        <f>"+3"</f>
        <v>+3</v>
      </c>
      <c r="W85" s="65"/>
      <c r="X85" s="65"/>
      <c r="Y85" s="85"/>
    </row>
    <row r="86" spans="6:41" ht="18.75" customHeight="1" x14ac:dyDescent="0.4">
      <c r="G86" s="108" t="s">
        <v>7</v>
      </c>
      <c r="H86" s="108"/>
      <c r="I86" s="4"/>
      <c r="J86" s="111" t="s">
        <v>119</v>
      </c>
      <c r="K86" s="112"/>
      <c r="L86" s="112"/>
      <c r="M86" s="113"/>
      <c r="N86" s="101" t="s">
        <v>1</v>
      </c>
      <c r="O86" s="101"/>
      <c r="P86" s="101"/>
      <c r="Q86" s="101"/>
      <c r="R86" s="101"/>
      <c r="S86" s="101"/>
      <c r="T86" s="101"/>
      <c r="U86" s="101"/>
      <c r="V86" s="101"/>
      <c r="W86" s="101"/>
      <c r="X86" s="101"/>
      <c r="Y86" s="102"/>
    </row>
    <row r="87" spans="6:41" ht="19.5" thickBot="1" x14ac:dyDescent="0.45">
      <c r="G87" s="109"/>
      <c r="H87" s="109"/>
      <c r="I87" s="5"/>
      <c r="J87" s="117" t="s">
        <v>2</v>
      </c>
      <c r="K87" s="116"/>
      <c r="L87" s="116"/>
      <c r="M87" s="116"/>
      <c r="N87" s="116" t="s">
        <v>3</v>
      </c>
      <c r="O87" s="116"/>
      <c r="P87" s="116"/>
      <c r="Q87" s="116"/>
      <c r="R87" s="116" t="s">
        <v>4</v>
      </c>
      <c r="S87" s="116"/>
      <c r="T87" s="116"/>
      <c r="U87" s="116"/>
      <c r="V87" s="116" t="s">
        <v>5</v>
      </c>
      <c r="W87" s="116"/>
      <c r="X87" s="116"/>
      <c r="Y87" s="118"/>
    </row>
    <row r="88" spans="6:41" x14ac:dyDescent="0.4">
      <c r="G88" s="108" t="s">
        <v>8</v>
      </c>
      <c r="H88" s="108"/>
      <c r="I88" s="4"/>
      <c r="J88" s="110" t="s">
        <v>1</v>
      </c>
      <c r="K88" s="101"/>
      <c r="L88" s="101"/>
      <c r="M88" s="101"/>
      <c r="N88" s="101"/>
      <c r="O88" s="101"/>
      <c r="P88" s="101"/>
      <c r="Q88" s="101"/>
      <c r="R88" s="101" t="s">
        <v>127</v>
      </c>
      <c r="S88" s="101"/>
      <c r="T88" s="101"/>
      <c r="U88" s="101"/>
      <c r="V88" s="101"/>
      <c r="W88" s="101"/>
      <c r="X88" s="101"/>
      <c r="Y88" s="102"/>
    </row>
    <row r="89" spans="6:41" ht="19.5" thickBot="1" x14ac:dyDescent="0.45">
      <c r="G89" s="109"/>
      <c r="H89" s="109"/>
      <c r="I89" s="6"/>
      <c r="J89" s="103" t="s">
        <v>6</v>
      </c>
      <c r="K89" s="95"/>
      <c r="L89" s="95"/>
      <c r="M89" s="95"/>
      <c r="N89" s="95" t="s">
        <v>2</v>
      </c>
      <c r="O89" s="95"/>
      <c r="P89" s="95"/>
      <c r="Q89" s="95"/>
      <c r="R89" s="95" t="s">
        <v>6</v>
      </c>
      <c r="S89" s="95"/>
      <c r="T89" s="95"/>
      <c r="U89" s="95"/>
      <c r="V89" s="95" t="s">
        <v>2</v>
      </c>
      <c r="W89" s="95"/>
      <c r="X89" s="95"/>
      <c r="Y89" s="96"/>
    </row>
    <row r="92" spans="6:41" s="22" customFormat="1" x14ac:dyDescent="0.4"/>
    <row r="94" spans="6:41" ht="19.5" thickBot="1" x14ac:dyDescent="0.45">
      <c r="I94" s="3"/>
      <c r="J94" s="84" t="str">
        <f>"+0"</f>
        <v>+0</v>
      </c>
      <c r="K94" s="65"/>
      <c r="L94" s="65"/>
      <c r="M94" s="85"/>
      <c r="N94" s="105" t="str">
        <f>"+1"</f>
        <v>+1</v>
      </c>
      <c r="O94" s="106"/>
      <c r="P94" s="106"/>
      <c r="Q94" s="107"/>
      <c r="R94" s="84" t="str">
        <f>"+2"</f>
        <v>+2</v>
      </c>
      <c r="S94" s="65"/>
      <c r="T94" s="65"/>
      <c r="U94" s="85"/>
      <c r="V94" s="84" t="str">
        <f>"+3"</f>
        <v>+3</v>
      </c>
      <c r="W94" s="65"/>
      <c r="X94" s="65"/>
      <c r="Y94" s="85"/>
      <c r="Z94" s="84" t="str">
        <f>"+4"</f>
        <v>+4</v>
      </c>
      <c r="AA94" s="65"/>
      <c r="AB94" s="65"/>
      <c r="AC94" s="85"/>
      <c r="AD94" s="84" t="str">
        <f>"+5"</f>
        <v>+5</v>
      </c>
      <c r="AE94" s="65"/>
      <c r="AF94" s="65"/>
      <c r="AG94" s="85"/>
      <c r="AH94" s="84" t="str">
        <f>"+6"</f>
        <v>+6</v>
      </c>
      <c r="AI94" s="65"/>
      <c r="AJ94" s="65"/>
      <c r="AK94" s="85"/>
      <c r="AL94" s="84" t="str">
        <f>"+7"</f>
        <v>+7</v>
      </c>
      <c r="AM94" s="65"/>
      <c r="AN94" s="65"/>
      <c r="AO94" s="85"/>
    </row>
    <row r="95" spans="6:41" ht="18.75" customHeight="1" x14ac:dyDescent="0.4">
      <c r="F95" s="49" t="s">
        <v>7</v>
      </c>
      <c r="G95" s="49"/>
      <c r="H95" s="49"/>
      <c r="I95" s="21"/>
      <c r="J95" s="111" t="s">
        <v>120</v>
      </c>
      <c r="K95" s="112"/>
      <c r="L95" s="112"/>
      <c r="M95" s="113"/>
      <c r="N95" s="99" t="s">
        <v>114</v>
      </c>
      <c r="O95" s="99"/>
      <c r="P95" s="99"/>
      <c r="Q95" s="99"/>
      <c r="R95" s="99"/>
      <c r="S95" s="99"/>
      <c r="T95" s="99"/>
      <c r="U95" s="99"/>
      <c r="V95" s="99"/>
      <c r="W95" s="99"/>
      <c r="X95" s="99"/>
      <c r="Y95" s="99"/>
      <c r="Z95" s="99"/>
      <c r="AA95" s="99"/>
      <c r="AB95" s="99"/>
      <c r="AC95" s="99"/>
      <c r="AD95" s="99"/>
      <c r="AE95" s="99"/>
      <c r="AF95" s="99"/>
      <c r="AG95" s="100"/>
      <c r="AH95" s="101" t="s">
        <v>115</v>
      </c>
      <c r="AI95" s="101"/>
      <c r="AJ95" s="101"/>
      <c r="AK95" s="101"/>
      <c r="AL95" s="101"/>
      <c r="AM95" s="101"/>
      <c r="AN95" s="101"/>
      <c r="AO95" s="102"/>
    </row>
    <row r="96" spans="6:41" ht="19.5" thickBot="1" x14ac:dyDescent="0.45">
      <c r="F96" s="65"/>
      <c r="G96" s="65"/>
      <c r="H96" s="65"/>
      <c r="J96" s="114" t="s">
        <v>2</v>
      </c>
      <c r="K96" s="115"/>
      <c r="L96" s="115"/>
      <c r="M96" s="104"/>
      <c r="N96" s="104" t="s">
        <v>3</v>
      </c>
      <c r="O96" s="95"/>
      <c r="P96" s="95"/>
      <c r="Q96" s="95"/>
      <c r="R96" s="95" t="s">
        <v>4</v>
      </c>
      <c r="S96" s="95"/>
      <c r="T96" s="95"/>
      <c r="U96" s="95"/>
      <c r="V96" s="95" t="s">
        <v>5</v>
      </c>
      <c r="W96" s="95"/>
      <c r="X96" s="95"/>
      <c r="Y96" s="95"/>
      <c r="Z96" s="95" t="s">
        <v>6</v>
      </c>
      <c r="AA96" s="95"/>
      <c r="AB96" s="95"/>
      <c r="AC96" s="95"/>
      <c r="AD96" s="95" t="s">
        <v>2</v>
      </c>
      <c r="AE96" s="95"/>
      <c r="AF96" s="95"/>
      <c r="AG96" s="95"/>
      <c r="AH96" s="95" t="s">
        <v>6</v>
      </c>
      <c r="AI96" s="95"/>
      <c r="AJ96" s="95"/>
      <c r="AK96" s="95"/>
      <c r="AL96" s="95" t="s">
        <v>2</v>
      </c>
      <c r="AM96" s="95"/>
      <c r="AN96" s="95"/>
      <c r="AO96" s="96"/>
    </row>
    <row r="97" spans="6:41" x14ac:dyDescent="0.4">
      <c r="F97" s="25"/>
      <c r="G97" s="25"/>
      <c r="H97" s="25"/>
      <c r="I97" s="21"/>
    </row>
    <row r="98" spans="6:41" x14ac:dyDescent="0.4">
      <c r="F98" s="1"/>
      <c r="G98" s="1"/>
      <c r="H98" s="1"/>
    </row>
    <row r="99" spans="6:41" ht="19.5" thickBot="1" x14ac:dyDescent="0.45">
      <c r="F99" s="1"/>
      <c r="G99" s="1"/>
      <c r="H99" s="1"/>
      <c r="I99" s="3"/>
      <c r="J99" s="84" t="str">
        <f>"+0"</f>
        <v>+0</v>
      </c>
      <c r="K99" s="65"/>
      <c r="L99" s="65"/>
      <c r="M99" s="85"/>
      <c r="N99" s="84" t="str">
        <f>"+1"</f>
        <v>+1</v>
      </c>
      <c r="O99" s="65"/>
      <c r="P99" s="65"/>
      <c r="Q99" s="85"/>
      <c r="R99" s="84" t="str">
        <f>"+2"</f>
        <v>+2</v>
      </c>
      <c r="S99" s="65"/>
      <c r="T99" s="65"/>
      <c r="U99" s="85"/>
      <c r="V99" s="84" t="str">
        <f>"+3"</f>
        <v>+3</v>
      </c>
      <c r="W99" s="65"/>
      <c r="X99" s="65"/>
      <c r="Y99" s="85"/>
      <c r="Z99" s="84" t="str">
        <f>"+4"</f>
        <v>+4</v>
      </c>
      <c r="AA99" s="65"/>
      <c r="AB99" s="65"/>
      <c r="AC99" s="85"/>
      <c r="AD99" s="84" t="str">
        <f>"+5"</f>
        <v>+5</v>
      </c>
      <c r="AE99" s="65"/>
      <c r="AF99" s="65"/>
      <c r="AG99" s="85"/>
      <c r="AH99" s="84" t="str">
        <f>"+6"</f>
        <v>+6</v>
      </c>
      <c r="AI99" s="65"/>
      <c r="AJ99" s="65"/>
      <c r="AK99" s="85"/>
      <c r="AL99" s="84" t="str">
        <f>"+7"</f>
        <v>+7</v>
      </c>
      <c r="AM99" s="65"/>
      <c r="AN99" s="65"/>
      <c r="AO99" s="85"/>
    </row>
    <row r="100" spans="6:41" ht="19.5" customHeight="1" thickTop="1" x14ac:dyDescent="0.4">
      <c r="F100" s="49" t="s">
        <v>7</v>
      </c>
      <c r="G100" s="49"/>
      <c r="H100" s="49"/>
      <c r="I100" s="21"/>
      <c r="J100" s="86" t="s">
        <v>121</v>
      </c>
      <c r="K100" s="87"/>
      <c r="L100" s="87"/>
      <c r="M100" s="88"/>
      <c r="N100" s="89" t="s">
        <v>114</v>
      </c>
      <c r="O100" s="90"/>
      <c r="P100" s="90"/>
      <c r="Q100" s="90"/>
      <c r="R100" s="90"/>
      <c r="S100" s="90"/>
      <c r="T100" s="90"/>
      <c r="U100" s="90"/>
      <c r="V100" s="90"/>
      <c r="W100" s="90"/>
      <c r="X100" s="90"/>
      <c r="Y100" s="90"/>
      <c r="Z100" s="90"/>
      <c r="AA100" s="90"/>
      <c r="AB100" s="90"/>
      <c r="AC100" s="90"/>
      <c r="AD100" s="90"/>
      <c r="AE100" s="90"/>
      <c r="AF100" s="90"/>
      <c r="AG100" s="91"/>
      <c r="AH100" s="92" t="s">
        <v>146</v>
      </c>
      <c r="AI100" s="92"/>
      <c r="AJ100" s="92"/>
      <c r="AK100" s="92"/>
      <c r="AL100" s="92"/>
      <c r="AM100" s="92"/>
      <c r="AN100" s="92"/>
      <c r="AO100" s="93"/>
    </row>
    <row r="101" spans="6:41" x14ac:dyDescent="0.4">
      <c r="F101" s="65"/>
      <c r="G101" s="65"/>
      <c r="H101" s="65"/>
      <c r="J101" s="54" t="s">
        <v>2</v>
      </c>
      <c r="K101" s="55"/>
      <c r="L101" s="55"/>
      <c r="M101" s="55"/>
      <c r="N101" s="55" t="s">
        <v>3</v>
      </c>
      <c r="O101" s="55"/>
      <c r="P101" s="55"/>
      <c r="Q101" s="55"/>
      <c r="R101" s="55" t="s">
        <v>4</v>
      </c>
      <c r="S101" s="55"/>
      <c r="T101" s="55"/>
      <c r="U101" s="55"/>
      <c r="V101" s="55" t="s">
        <v>5</v>
      </c>
      <c r="W101" s="55"/>
      <c r="X101" s="55"/>
      <c r="Y101" s="94"/>
      <c r="Z101" s="55" t="s">
        <v>6</v>
      </c>
      <c r="AA101" s="55"/>
      <c r="AB101" s="55"/>
      <c r="AC101" s="55"/>
      <c r="AD101" s="55" t="s">
        <v>2</v>
      </c>
      <c r="AE101" s="55"/>
      <c r="AF101" s="55"/>
      <c r="AG101" s="94"/>
      <c r="AH101" s="55" t="s">
        <v>6</v>
      </c>
      <c r="AI101" s="55"/>
      <c r="AJ101" s="55"/>
      <c r="AK101" s="55"/>
      <c r="AL101" s="55" t="s">
        <v>2</v>
      </c>
      <c r="AM101" s="55"/>
      <c r="AN101" s="55"/>
      <c r="AO101" s="56"/>
    </row>
    <row r="102" spans="6:41" ht="19.5" thickTop="1" x14ac:dyDescent="0.4">
      <c r="F102" s="49" t="s">
        <v>9</v>
      </c>
      <c r="G102" s="49"/>
      <c r="H102" s="49"/>
      <c r="I102" s="21"/>
      <c r="J102" s="72" t="s">
        <v>92</v>
      </c>
      <c r="K102" s="73"/>
      <c r="L102" s="73"/>
      <c r="M102" s="73"/>
      <c r="N102" s="73"/>
      <c r="O102" s="73"/>
      <c r="P102" s="73"/>
      <c r="Q102" s="73"/>
      <c r="R102" s="73"/>
      <c r="S102" s="73"/>
      <c r="T102" s="73"/>
      <c r="U102" s="73"/>
      <c r="V102" s="73"/>
      <c r="W102" s="73"/>
      <c r="X102" s="73"/>
      <c r="Y102" s="73"/>
      <c r="Z102" s="73"/>
      <c r="AA102" s="73"/>
      <c r="AB102" s="73"/>
      <c r="AC102" s="73"/>
      <c r="AD102" s="73"/>
      <c r="AE102" s="73"/>
      <c r="AF102" s="73"/>
      <c r="AG102" s="73"/>
      <c r="AH102" s="73"/>
      <c r="AI102" s="73"/>
      <c r="AJ102" s="73"/>
      <c r="AK102" s="73"/>
      <c r="AL102" s="73"/>
      <c r="AM102" s="73"/>
      <c r="AN102" s="73"/>
      <c r="AO102" s="74"/>
    </row>
    <row r="103" spans="6:41" x14ac:dyDescent="0.4">
      <c r="F103" s="50"/>
      <c r="G103" s="50"/>
      <c r="H103" s="50"/>
      <c r="I103" s="2"/>
      <c r="J103" s="59" t="s">
        <v>2</v>
      </c>
      <c r="K103" s="60"/>
      <c r="L103" s="60"/>
      <c r="M103" s="60"/>
      <c r="N103" s="60" t="s">
        <v>6</v>
      </c>
      <c r="O103" s="60"/>
      <c r="P103" s="60"/>
      <c r="Q103" s="60"/>
      <c r="R103" s="60" t="s">
        <v>5</v>
      </c>
      <c r="S103" s="60"/>
      <c r="T103" s="60"/>
      <c r="U103" s="60"/>
      <c r="V103" s="60" t="s">
        <v>4</v>
      </c>
      <c r="W103" s="60"/>
      <c r="X103" s="60"/>
      <c r="Y103" s="60"/>
      <c r="Z103" s="60" t="s">
        <v>3</v>
      </c>
      <c r="AA103" s="60"/>
      <c r="AB103" s="60"/>
      <c r="AC103" s="60"/>
      <c r="AD103" s="60" t="s">
        <v>53</v>
      </c>
      <c r="AE103" s="60"/>
      <c r="AF103" s="60"/>
      <c r="AG103" s="60"/>
      <c r="AH103" s="60" t="s">
        <v>54</v>
      </c>
      <c r="AI103" s="60"/>
      <c r="AJ103" s="60"/>
      <c r="AK103" s="60"/>
      <c r="AL103" s="60" t="s">
        <v>55</v>
      </c>
      <c r="AM103" s="60"/>
      <c r="AN103" s="60"/>
      <c r="AO103" s="61"/>
    </row>
    <row r="104" spans="6:41" x14ac:dyDescent="0.4">
      <c r="F104" s="65" t="s">
        <v>80</v>
      </c>
      <c r="G104" s="65"/>
      <c r="H104" s="65"/>
      <c r="I104" s="21"/>
      <c r="J104" s="51" t="s">
        <v>92</v>
      </c>
      <c r="K104" s="52"/>
      <c r="L104" s="52"/>
      <c r="M104" s="52"/>
      <c r="N104" s="52"/>
      <c r="O104" s="52"/>
      <c r="P104" s="52"/>
      <c r="Q104" s="52"/>
      <c r="R104" s="52"/>
      <c r="S104" s="52"/>
      <c r="T104" s="52"/>
      <c r="U104" s="52"/>
      <c r="V104" s="52"/>
      <c r="W104" s="52"/>
      <c r="X104" s="52"/>
      <c r="Y104" s="52"/>
      <c r="Z104" s="52"/>
      <c r="AA104" s="52"/>
      <c r="AB104" s="52"/>
      <c r="AC104" s="52"/>
      <c r="AD104" s="52"/>
      <c r="AE104" s="52"/>
      <c r="AF104" s="52"/>
      <c r="AG104" s="52"/>
      <c r="AH104" s="52"/>
      <c r="AI104" s="52"/>
      <c r="AJ104" s="52"/>
      <c r="AK104" s="52"/>
      <c r="AL104" s="52"/>
      <c r="AM104" s="52"/>
      <c r="AN104" s="52"/>
      <c r="AO104" s="53"/>
    </row>
    <row r="105" spans="6:41" x14ac:dyDescent="0.4">
      <c r="F105" s="65"/>
      <c r="G105" s="65"/>
      <c r="H105" s="65"/>
      <c r="J105" s="59" t="s">
        <v>56</v>
      </c>
      <c r="K105" s="60"/>
      <c r="L105" s="60"/>
      <c r="M105" s="60"/>
      <c r="N105" s="60" t="s">
        <v>57</v>
      </c>
      <c r="O105" s="60"/>
      <c r="P105" s="60"/>
      <c r="Q105" s="60"/>
      <c r="R105" s="60" t="s">
        <v>58</v>
      </c>
      <c r="S105" s="60"/>
      <c r="T105" s="60"/>
      <c r="U105" s="60"/>
      <c r="V105" s="60" t="s">
        <v>59</v>
      </c>
      <c r="W105" s="60"/>
      <c r="X105" s="60"/>
      <c r="Y105" s="60"/>
      <c r="Z105" s="60" t="s">
        <v>60</v>
      </c>
      <c r="AA105" s="60"/>
      <c r="AB105" s="60"/>
      <c r="AC105" s="60"/>
      <c r="AD105" s="60" t="s">
        <v>61</v>
      </c>
      <c r="AE105" s="60"/>
      <c r="AF105" s="60"/>
      <c r="AG105" s="60"/>
      <c r="AH105" s="60" t="s">
        <v>62</v>
      </c>
      <c r="AI105" s="60"/>
      <c r="AJ105" s="60"/>
      <c r="AK105" s="60"/>
      <c r="AL105" s="60" t="s">
        <v>63</v>
      </c>
      <c r="AM105" s="60"/>
      <c r="AN105" s="60"/>
      <c r="AO105" s="61"/>
    </row>
    <row r="106" spans="6:41" x14ac:dyDescent="0.4">
      <c r="F106" s="49" t="s">
        <v>81</v>
      </c>
      <c r="G106" s="49"/>
      <c r="H106" s="49"/>
      <c r="I106" s="21"/>
      <c r="J106" s="51" t="s">
        <v>92</v>
      </c>
      <c r="K106" s="52"/>
      <c r="L106" s="52"/>
      <c r="M106" s="52"/>
      <c r="N106" s="52"/>
      <c r="O106" s="52"/>
      <c r="P106" s="52"/>
      <c r="Q106" s="52"/>
      <c r="R106" s="52"/>
      <c r="S106" s="52"/>
      <c r="T106" s="52"/>
      <c r="U106" s="52"/>
      <c r="V106" s="52"/>
      <c r="W106" s="52"/>
      <c r="X106" s="52"/>
      <c r="Y106" s="52"/>
      <c r="Z106" s="52"/>
      <c r="AA106" s="52"/>
      <c r="AB106" s="52"/>
      <c r="AC106" s="52"/>
      <c r="AD106" s="52"/>
      <c r="AE106" s="52"/>
      <c r="AF106" s="52"/>
      <c r="AG106" s="52"/>
      <c r="AH106" s="52"/>
      <c r="AI106" s="52"/>
      <c r="AJ106" s="52"/>
      <c r="AK106" s="52"/>
      <c r="AL106" s="52"/>
      <c r="AM106" s="52"/>
      <c r="AN106" s="52"/>
      <c r="AO106" s="53"/>
    </row>
    <row r="107" spans="6:41" x14ac:dyDescent="0.4">
      <c r="F107" s="65"/>
      <c r="G107" s="65"/>
      <c r="H107" s="65"/>
      <c r="I107" s="2"/>
      <c r="J107" s="59" t="s">
        <v>64</v>
      </c>
      <c r="K107" s="60"/>
      <c r="L107" s="60"/>
      <c r="M107" s="60"/>
      <c r="N107" s="60" t="s">
        <v>65</v>
      </c>
      <c r="O107" s="60"/>
      <c r="P107" s="60"/>
      <c r="Q107" s="60"/>
      <c r="R107" s="60" t="s">
        <v>66</v>
      </c>
      <c r="S107" s="60"/>
      <c r="T107" s="60"/>
      <c r="U107" s="60"/>
      <c r="V107" s="60" t="s">
        <v>67</v>
      </c>
      <c r="W107" s="60"/>
      <c r="X107" s="60"/>
      <c r="Y107" s="60"/>
      <c r="Z107" s="60" t="s">
        <v>68</v>
      </c>
      <c r="AA107" s="60"/>
      <c r="AB107" s="60"/>
      <c r="AC107" s="60"/>
      <c r="AD107" s="60" t="s">
        <v>69</v>
      </c>
      <c r="AE107" s="60"/>
      <c r="AF107" s="60"/>
      <c r="AG107" s="60"/>
      <c r="AH107" s="60" t="s">
        <v>70</v>
      </c>
      <c r="AI107" s="60"/>
      <c r="AJ107" s="60"/>
      <c r="AK107" s="60"/>
      <c r="AL107" s="60" t="s">
        <v>71</v>
      </c>
      <c r="AM107" s="60"/>
      <c r="AN107" s="60"/>
      <c r="AO107" s="61"/>
    </row>
    <row r="108" spans="6:41" x14ac:dyDescent="0.4">
      <c r="F108" s="49" t="s">
        <v>82</v>
      </c>
      <c r="G108" s="49"/>
      <c r="H108" s="49"/>
      <c r="I108" s="21"/>
      <c r="J108" s="51" t="s">
        <v>92</v>
      </c>
      <c r="K108" s="52"/>
      <c r="L108" s="52"/>
      <c r="M108" s="52"/>
      <c r="N108" s="52"/>
      <c r="O108" s="52"/>
      <c r="P108" s="52"/>
      <c r="Q108" s="52"/>
      <c r="R108" s="52"/>
      <c r="S108" s="52"/>
      <c r="T108" s="52"/>
      <c r="U108" s="52"/>
      <c r="V108" s="52"/>
      <c r="W108" s="52"/>
      <c r="X108" s="52"/>
      <c r="Y108" s="52"/>
      <c r="Z108" s="52"/>
      <c r="AA108" s="52"/>
      <c r="AB108" s="52"/>
      <c r="AC108" s="52"/>
      <c r="AD108" s="52"/>
      <c r="AE108" s="52"/>
      <c r="AF108" s="52"/>
      <c r="AG108" s="52"/>
      <c r="AH108" s="52"/>
      <c r="AI108" s="52"/>
      <c r="AJ108" s="52"/>
      <c r="AK108" s="52"/>
      <c r="AL108" s="52"/>
      <c r="AM108" s="52"/>
      <c r="AN108" s="52"/>
      <c r="AO108" s="53"/>
    </row>
    <row r="109" spans="6:41" x14ac:dyDescent="0.4">
      <c r="F109" s="65"/>
      <c r="G109" s="65"/>
      <c r="H109" s="65"/>
      <c r="I109" s="2"/>
      <c r="J109" s="59" t="s">
        <v>72</v>
      </c>
      <c r="K109" s="60"/>
      <c r="L109" s="60"/>
      <c r="M109" s="60"/>
      <c r="N109" s="60" t="s">
        <v>73</v>
      </c>
      <c r="O109" s="60"/>
      <c r="P109" s="60"/>
      <c r="Q109" s="60"/>
      <c r="R109" s="60" t="s">
        <v>74</v>
      </c>
      <c r="S109" s="60"/>
      <c r="T109" s="60"/>
      <c r="U109" s="60"/>
      <c r="V109" s="60" t="s">
        <v>75</v>
      </c>
      <c r="W109" s="60"/>
      <c r="X109" s="60"/>
      <c r="Y109" s="60"/>
      <c r="Z109" s="60" t="s">
        <v>76</v>
      </c>
      <c r="AA109" s="60"/>
      <c r="AB109" s="60"/>
      <c r="AC109" s="60"/>
      <c r="AD109" s="60" t="s">
        <v>77</v>
      </c>
      <c r="AE109" s="60"/>
      <c r="AF109" s="60"/>
      <c r="AG109" s="60"/>
      <c r="AH109" s="60" t="s">
        <v>78</v>
      </c>
      <c r="AI109" s="60"/>
      <c r="AJ109" s="60"/>
      <c r="AK109" s="60"/>
      <c r="AL109" s="60" t="s">
        <v>79</v>
      </c>
      <c r="AM109" s="60"/>
      <c r="AN109" s="60"/>
      <c r="AO109" s="61"/>
    </row>
    <row r="110" spans="6:41" x14ac:dyDescent="0.4">
      <c r="F110" s="49" t="s">
        <v>83</v>
      </c>
      <c r="G110" s="49"/>
      <c r="H110" s="49"/>
      <c r="I110" s="21"/>
      <c r="J110" s="62" t="s">
        <v>92</v>
      </c>
      <c r="K110" s="63"/>
      <c r="L110" s="63"/>
      <c r="M110" s="63"/>
      <c r="N110" s="63"/>
      <c r="O110" s="63"/>
      <c r="P110" s="63"/>
      <c r="Q110" s="63"/>
      <c r="R110" s="63"/>
      <c r="S110" s="63"/>
      <c r="T110" s="63"/>
      <c r="U110" s="63"/>
      <c r="V110" s="63"/>
      <c r="W110" s="63"/>
      <c r="X110" s="63"/>
      <c r="Y110" s="63"/>
      <c r="Z110" s="63"/>
      <c r="AA110" s="63"/>
      <c r="AB110" s="63"/>
      <c r="AC110" s="63"/>
      <c r="AD110" s="63"/>
      <c r="AE110" s="63"/>
      <c r="AF110" s="63"/>
      <c r="AG110" s="63"/>
      <c r="AH110" s="63"/>
      <c r="AI110" s="63"/>
      <c r="AJ110" s="63"/>
      <c r="AK110" s="63"/>
      <c r="AL110" s="63"/>
      <c r="AM110" s="63"/>
      <c r="AN110" s="63"/>
      <c r="AO110" s="64"/>
    </row>
    <row r="111" spans="6:41" x14ac:dyDescent="0.4">
      <c r="F111" s="65"/>
      <c r="G111" s="65"/>
      <c r="H111" s="65"/>
      <c r="I111" s="2"/>
      <c r="J111" s="59" t="s">
        <v>147</v>
      </c>
      <c r="K111" s="60"/>
      <c r="L111" s="60"/>
      <c r="M111" s="60"/>
      <c r="N111" s="60" t="s">
        <v>148</v>
      </c>
      <c r="O111" s="60"/>
      <c r="P111" s="60"/>
      <c r="Q111" s="60"/>
      <c r="R111" s="60" t="s">
        <v>149</v>
      </c>
      <c r="S111" s="60"/>
      <c r="T111" s="60"/>
      <c r="U111" s="60"/>
      <c r="V111" s="60" t="s">
        <v>150</v>
      </c>
      <c r="W111" s="60"/>
      <c r="X111" s="60"/>
      <c r="Y111" s="60"/>
      <c r="Z111" s="60" t="s">
        <v>151</v>
      </c>
      <c r="AA111" s="60"/>
      <c r="AB111" s="60"/>
      <c r="AC111" s="60"/>
      <c r="AD111" s="60" t="s">
        <v>152</v>
      </c>
      <c r="AE111" s="60"/>
      <c r="AF111" s="60"/>
      <c r="AG111" s="60"/>
      <c r="AH111" s="60" t="s">
        <v>153</v>
      </c>
      <c r="AI111" s="60"/>
      <c r="AJ111" s="60"/>
      <c r="AK111" s="60"/>
      <c r="AL111" s="60" t="s">
        <v>154</v>
      </c>
      <c r="AM111" s="60"/>
      <c r="AN111" s="60"/>
      <c r="AO111" s="61"/>
    </row>
    <row r="112" spans="6:41" x14ac:dyDescent="0.4">
      <c r="F112" s="49" t="s">
        <v>84</v>
      </c>
      <c r="G112" s="49"/>
      <c r="H112" s="49"/>
      <c r="I112" s="21"/>
      <c r="J112" s="51" t="s">
        <v>92</v>
      </c>
      <c r="K112" s="52"/>
      <c r="L112" s="52"/>
      <c r="M112" s="52"/>
      <c r="N112" s="52"/>
      <c r="O112" s="52"/>
      <c r="P112" s="52"/>
      <c r="Q112" s="52"/>
      <c r="R112" s="52"/>
      <c r="S112" s="52"/>
      <c r="T112" s="52"/>
      <c r="U112" s="52"/>
      <c r="V112" s="52"/>
      <c r="W112" s="52"/>
      <c r="X112" s="52"/>
      <c r="Y112" s="52"/>
      <c r="Z112" s="52"/>
      <c r="AA112" s="52"/>
      <c r="AB112" s="52"/>
      <c r="AC112" s="52"/>
      <c r="AD112" s="52"/>
      <c r="AE112" s="52"/>
      <c r="AF112" s="52"/>
      <c r="AG112" s="52"/>
      <c r="AH112" s="52"/>
      <c r="AI112" s="52"/>
      <c r="AJ112" s="52"/>
      <c r="AK112" s="52"/>
      <c r="AL112" s="52"/>
      <c r="AM112" s="52"/>
      <c r="AN112" s="52"/>
      <c r="AO112" s="53"/>
    </row>
    <row r="113" spans="6:41" x14ac:dyDescent="0.4">
      <c r="F113" s="65"/>
      <c r="G113" s="65"/>
      <c r="H113" s="65"/>
      <c r="J113" s="59" t="s">
        <v>155</v>
      </c>
      <c r="K113" s="60"/>
      <c r="L113" s="60"/>
      <c r="M113" s="60"/>
      <c r="N113" s="60" t="s">
        <v>156</v>
      </c>
      <c r="O113" s="60"/>
      <c r="P113" s="60"/>
      <c r="Q113" s="60"/>
      <c r="R113" s="60" t="s">
        <v>157</v>
      </c>
      <c r="S113" s="60"/>
      <c r="T113" s="60"/>
      <c r="U113" s="60"/>
      <c r="V113" s="60" t="s">
        <v>158</v>
      </c>
      <c r="W113" s="60"/>
      <c r="X113" s="60"/>
      <c r="Y113" s="60"/>
      <c r="Z113" s="60" t="s">
        <v>159</v>
      </c>
      <c r="AA113" s="60"/>
      <c r="AB113" s="60"/>
      <c r="AC113" s="60"/>
      <c r="AD113" s="60" t="s">
        <v>160</v>
      </c>
      <c r="AE113" s="60"/>
      <c r="AF113" s="60"/>
      <c r="AG113" s="60"/>
      <c r="AH113" s="60" t="s">
        <v>161</v>
      </c>
      <c r="AI113" s="60"/>
      <c r="AJ113" s="60"/>
      <c r="AK113" s="60"/>
      <c r="AL113" s="60" t="s">
        <v>162</v>
      </c>
      <c r="AM113" s="60"/>
      <c r="AN113" s="60"/>
      <c r="AO113" s="61"/>
    </row>
    <row r="114" spans="6:41" x14ac:dyDescent="0.4">
      <c r="F114" s="49" t="s">
        <v>85</v>
      </c>
      <c r="G114" s="49"/>
      <c r="H114" s="49"/>
      <c r="I114" s="21"/>
      <c r="J114" s="51" t="s">
        <v>92</v>
      </c>
      <c r="K114" s="52"/>
      <c r="L114" s="52"/>
      <c r="M114" s="52"/>
      <c r="N114" s="52"/>
      <c r="O114" s="52"/>
      <c r="P114" s="52"/>
      <c r="Q114" s="52"/>
      <c r="R114" s="52"/>
      <c r="S114" s="52"/>
      <c r="T114" s="52"/>
      <c r="U114" s="52"/>
      <c r="V114" s="52"/>
      <c r="W114" s="52"/>
      <c r="X114" s="52"/>
      <c r="Y114" s="52"/>
      <c r="Z114" s="52"/>
      <c r="AA114" s="52"/>
      <c r="AB114" s="52"/>
      <c r="AC114" s="52"/>
      <c r="AD114" s="52"/>
      <c r="AE114" s="52"/>
      <c r="AF114" s="52"/>
      <c r="AG114" s="52"/>
      <c r="AH114" s="52"/>
      <c r="AI114" s="52"/>
      <c r="AJ114" s="52"/>
      <c r="AK114" s="52"/>
      <c r="AL114" s="52"/>
      <c r="AM114" s="52"/>
      <c r="AN114" s="52"/>
      <c r="AO114" s="53"/>
    </row>
    <row r="115" spans="6:41" x14ac:dyDescent="0.4">
      <c r="F115" s="50"/>
      <c r="G115" s="50"/>
      <c r="H115" s="50"/>
      <c r="I115" s="2"/>
      <c r="J115" s="59" t="s">
        <v>163</v>
      </c>
      <c r="K115" s="60"/>
      <c r="L115" s="60"/>
      <c r="M115" s="60"/>
      <c r="N115" s="60" t="s">
        <v>164</v>
      </c>
      <c r="O115" s="60"/>
      <c r="P115" s="60"/>
      <c r="Q115" s="60"/>
      <c r="R115" s="60" t="s">
        <v>165</v>
      </c>
      <c r="S115" s="60"/>
      <c r="T115" s="60"/>
      <c r="U115" s="60"/>
      <c r="V115" s="60" t="s">
        <v>166</v>
      </c>
      <c r="W115" s="60"/>
      <c r="X115" s="60"/>
      <c r="Y115" s="60"/>
      <c r="Z115" s="60" t="s">
        <v>167</v>
      </c>
      <c r="AA115" s="60"/>
      <c r="AB115" s="60"/>
      <c r="AC115" s="60"/>
      <c r="AD115" s="60" t="s">
        <v>168</v>
      </c>
      <c r="AE115" s="60"/>
      <c r="AF115" s="60"/>
      <c r="AG115" s="60"/>
      <c r="AH115" s="60" t="s">
        <v>169</v>
      </c>
      <c r="AI115" s="60"/>
      <c r="AJ115" s="60"/>
      <c r="AK115" s="60"/>
      <c r="AL115" s="60" t="s">
        <v>170</v>
      </c>
      <c r="AM115" s="60"/>
      <c r="AN115" s="60"/>
      <c r="AO115" s="61"/>
    </row>
    <row r="116" spans="6:41" x14ac:dyDescent="0.4">
      <c r="F116" s="49" t="s">
        <v>86</v>
      </c>
      <c r="G116" s="49"/>
      <c r="H116" s="49"/>
      <c r="I116" s="21"/>
      <c r="J116" s="51" t="s">
        <v>92</v>
      </c>
      <c r="K116" s="52"/>
      <c r="L116" s="52"/>
      <c r="M116" s="52"/>
      <c r="N116" s="52"/>
      <c r="O116" s="52"/>
      <c r="P116" s="52"/>
      <c r="Q116" s="52"/>
      <c r="R116" s="52"/>
      <c r="S116" s="52"/>
      <c r="T116" s="52"/>
      <c r="U116" s="52"/>
      <c r="V116" s="52"/>
      <c r="W116" s="52"/>
      <c r="X116" s="52"/>
      <c r="Y116" s="52"/>
      <c r="Z116" s="52"/>
      <c r="AA116" s="52"/>
      <c r="AB116" s="52"/>
      <c r="AC116" s="52"/>
      <c r="AD116" s="52"/>
      <c r="AE116" s="52"/>
      <c r="AF116" s="52"/>
      <c r="AG116" s="52"/>
      <c r="AH116" s="52"/>
      <c r="AI116" s="52"/>
      <c r="AJ116" s="52"/>
      <c r="AK116" s="52"/>
      <c r="AL116" s="52"/>
      <c r="AM116" s="52"/>
      <c r="AN116" s="52"/>
      <c r="AO116" s="53"/>
    </row>
    <row r="117" spans="6:41" ht="19.5" thickBot="1" x14ac:dyDescent="0.45">
      <c r="F117" s="65"/>
      <c r="G117" s="65"/>
      <c r="H117" s="65"/>
      <c r="I117" s="2"/>
      <c r="J117" s="54" t="s">
        <v>171</v>
      </c>
      <c r="K117" s="55"/>
      <c r="L117" s="55"/>
      <c r="M117" s="55"/>
      <c r="N117" s="55" t="s">
        <v>172</v>
      </c>
      <c r="O117" s="55"/>
      <c r="P117" s="55"/>
      <c r="Q117" s="55"/>
      <c r="R117" s="55" t="s">
        <v>173</v>
      </c>
      <c r="S117" s="55"/>
      <c r="T117" s="55"/>
      <c r="U117" s="55"/>
      <c r="V117" s="55" t="s">
        <v>174</v>
      </c>
      <c r="W117" s="55"/>
      <c r="X117" s="55"/>
      <c r="Y117" s="55"/>
      <c r="Z117" s="55" t="s">
        <v>175</v>
      </c>
      <c r="AA117" s="55"/>
      <c r="AB117" s="55"/>
      <c r="AC117" s="55"/>
      <c r="AD117" s="55" t="s">
        <v>176</v>
      </c>
      <c r="AE117" s="55"/>
      <c r="AF117" s="55"/>
      <c r="AG117" s="55"/>
      <c r="AH117" s="55" t="s">
        <v>177</v>
      </c>
      <c r="AI117" s="55"/>
      <c r="AJ117" s="55"/>
      <c r="AK117" s="55"/>
      <c r="AL117" s="55" t="s">
        <v>178</v>
      </c>
      <c r="AM117" s="55"/>
      <c r="AN117" s="55"/>
      <c r="AO117" s="56"/>
    </row>
    <row r="118" spans="6:41" ht="19.5" thickTop="1" x14ac:dyDescent="0.4">
      <c r="F118" s="49" t="s">
        <v>179</v>
      </c>
      <c r="G118" s="49"/>
      <c r="H118" s="49"/>
      <c r="I118" s="21"/>
      <c r="J118" s="81" t="s">
        <v>93</v>
      </c>
      <c r="K118" s="82"/>
      <c r="L118" s="82"/>
      <c r="M118" s="82"/>
      <c r="N118" s="82"/>
      <c r="O118" s="82"/>
      <c r="P118" s="82"/>
      <c r="Q118" s="82"/>
      <c r="R118" s="82"/>
      <c r="S118" s="82"/>
      <c r="T118" s="82"/>
      <c r="U118" s="82"/>
      <c r="V118" s="82"/>
      <c r="W118" s="82"/>
      <c r="X118" s="82"/>
      <c r="Y118" s="82"/>
      <c r="Z118" s="82"/>
      <c r="AA118" s="82"/>
      <c r="AB118" s="82"/>
      <c r="AC118" s="82"/>
      <c r="AD118" s="82"/>
      <c r="AE118" s="82"/>
      <c r="AF118" s="82"/>
      <c r="AG118" s="82"/>
      <c r="AH118" s="82"/>
      <c r="AI118" s="82"/>
      <c r="AJ118" s="82"/>
      <c r="AK118" s="82"/>
      <c r="AL118" s="82"/>
      <c r="AM118" s="82"/>
      <c r="AN118" s="82"/>
      <c r="AO118" s="83"/>
    </row>
    <row r="119" spans="6:41" x14ac:dyDescent="0.4">
      <c r="F119" s="50"/>
      <c r="G119" s="50"/>
      <c r="H119" s="50"/>
      <c r="I119" s="2"/>
      <c r="J119" s="59" t="s">
        <v>2</v>
      </c>
      <c r="K119" s="60"/>
      <c r="L119" s="60"/>
      <c r="M119" s="60"/>
      <c r="N119" s="60" t="s">
        <v>6</v>
      </c>
      <c r="O119" s="60"/>
      <c r="P119" s="60"/>
      <c r="Q119" s="60"/>
      <c r="R119" s="60" t="s">
        <v>5</v>
      </c>
      <c r="S119" s="60"/>
      <c r="T119" s="60"/>
      <c r="U119" s="60"/>
      <c r="V119" s="60" t="s">
        <v>4</v>
      </c>
      <c r="W119" s="60"/>
      <c r="X119" s="60"/>
      <c r="Y119" s="60"/>
      <c r="Z119" s="60" t="s">
        <v>3</v>
      </c>
      <c r="AA119" s="60"/>
      <c r="AB119" s="60"/>
      <c r="AC119" s="60"/>
      <c r="AD119" s="60" t="s">
        <v>53</v>
      </c>
      <c r="AE119" s="60"/>
      <c r="AF119" s="60"/>
      <c r="AG119" s="60"/>
      <c r="AH119" s="60" t="s">
        <v>54</v>
      </c>
      <c r="AI119" s="60"/>
      <c r="AJ119" s="60"/>
      <c r="AK119" s="60"/>
      <c r="AL119" s="60" t="s">
        <v>55</v>
      </c>
      <c r="AM119" s="60"/>
      <c r="AN119" s="60"/>
      <c r="AO119" s="61"/>
    </row>
    <row r="120" spans="6:41" x14ac:dyDescent="0.4">
      <c r="F120" s="65" t="s">
        <v>180</v>
      </c>
      <c r="G120" s="65"/>
      <c r="H120" s="65"/>
      <c r="I120" s="21"/>
      <c r="J120" s="75" t="s">
        <v>93</v>
      </c>
      <c r="K120" s="76"/>
      <c r="L120" s="76"/>
      <c r="M120" s="76"/>
      <c r="N120" s="76"/>
      <c r="O120" s="76"/>
      <c r="P120" s="76"/>
      <c r="Q120" s="76"/>
      <c r="R120" s="76"/>
      <c r="S120" s="76"/>
      <c r="T120" s="76"/>
      <c r="U120" s="76"/>
      <c r="V120" s="76"/>
      <c r="W120" s="76"/>
      <c r="X120" s="76"/>
      <c r="Y120" s="76"/>
      <c r="Z120" s="76"/>
      <c r="AA120" s="76"/>
      <c r="AB120" s="76"/>
      <c r="AC120" s="76"/>
      <c r="AD120" s="76"/>
      <c r="AE120" s="76"/>
      <c r="AF120" s="76"/>
      <c r="AG120" s="76"/>
      <c r="AH120" s="76"/>
      <c r="AI120" s="76"/>
      <c r="AJ120" s="76"/>
      <c r="AK120" s="76"/>
      <c r="AL120" s="76"/>
      <c r="AM120" s="76"/>
      <c r="AN120" s="76"/>
      <c r="AO120" s="77"/>
    </row>
    <row r="121" spans="6:41" x14ac:dyDescent="0.4">
      <c r="F121" s="65"/>
      <c r="G121" s="65"/>
      <c r="H121" s="65"/>
      <c r="J121" s="59" t="s">
        <v>56</v>
      </c>
      <c r="K121" s="60"/>
      <c r="L121" s="60"/>
      <c r="M121" s="60"/>
      <c r="N121" s="60" t="s">
        <v>57</v>
      </c>
      <c r="O121" s="60"/>
      <c r="P121" s="60"/>
      <c r="Q121" s="60"/>
      <c r="R121" s="60" t="s">
        <v>58</v>
      </c>
      <c r="S121" s="60"/>
      <c r="T121" s="60"/>
      <c r="U121" s="60"/>
      <c r="V121" s="60" t="s">
        <v>59</v>
      </c>
      <c r="W121" s="60"/>
      <c r="X121" s="60"/>
      <c r="Y121" s="60"/>
      <c r="Z121" s="60" t="s">
        <v>60</v>
      </c>
      <c r="AA121" s="60"/>
      <c r="AB121" s="60"/>
      <c r="AC121" s="60"/>
      <c r="AD121" s="60" t="s">
        <v>61</v>
      </c>
      <c r="AE121" s="60"/>
      <c r="AF121" s="60"/>
      <c r="AG121" s="60"/>
      <c r="AH121" s="60" t="s">
        <v>62</v>
      </c>
      <c r="AI121" s="60"/>
      <c r="AJ121" s="60"/>
      <c r="AK121" s="60"/>
      <c r="AL121" s="60" t="s">
        <v>63</v>
      </c>
      <c r="AM121" s="60"/>
      <c r="AN121" s="60"/>
      <c r="AO121" s="61"/>
    </row>
    <row r="122" spans="6:41" x14ac:dyDescent="0.4">
      <c r="F122" s="49" t="s">
        <v>181</v>
      </c>
      <c r="G122" s="49"/>
      <c r="H122" s="49"/>
      <c r="I122" s="21"/>
      <c r="J122" s="75" t="s">
        <v>93</v>
      </c>
      <c r="K122" s="76"/>
      <c r="L122" s="76"/>
      <c r="M122" s="76"/>
      <c r="N122" s="76"/>
      <c r="O122" s="76"/>
      <c r="P122" s="76"/>
      <c r="Q122" s="76"/>
      <c r="R122" s="76"/>
      <c r="S122" s="76"/>
      <c r="T122" s="76"/>
      <c r="U122" s="76"/>
      <c r="V122" s="76"/>
      <c r="W122" s="76"/>
      <c r="X122" s="76"/>
      <c r="Y122" s="76"/>
      <c r="Z122" s="76"/>
      <c r="AA122" s="76"/>
      <c r="AB122" s="76"/>
      <c r="AC122" s="76"/>
      <c r="AD122" s="76"/>
      <c r="AE122" s="76"/>
      <c r="AF122" s="76"/>
      <c r="AG122" s="76"/>
      <c r="AH122" s="76"/>
      <c r="AI122" s="76"/>
      <c r="AJ122" s="76"/>
      <c r="AK122" s="76"/>
      <c r="AL122" s="76"/>
      <c r="AM122" s="76"/>
      <c r="AN122" s="76"/>
      <c r="AO122" s="77"/>
    </row>
    <row r="123" spans="6:41" x14ac:dyDescent="0.4">
      <c r="F123" s="65"/>
      <c r="G123" s="65"/>
      <c r="H123" s="65"/>
      <c r="I123" s="2"/>
      <c r="J123" s="59" t="s">
        <v>64</v>
      </c>
      <c r="K123" s="60"/>
      <c r="L123" s="60"/>
      <c r="M123" s="60"/>
      <c r="N123" s="60" t="s">
        <v>65</v>
      </c>
      <c r="O123" s="60"/>
      <c r="P123" s="60"/>
      <c r="Q123" s="60"/>
      <c r="R123" s="60" t="s">
        <v>66</v>
      </c>
      <c r="S123" s="60"/>
      <c r="T123" s="60"/>
      <c r="U123" s="60"/>
      <c r="V123" s="60" t="s">
        <v>67</v>
      </c>
      <c r="W123" s="60"/>
      <c r="X123" s="60"/>
      <c r="Y123" s="60"/>
      <c r="Z123" s="60" t="s">
        <v>68</v>
      </c>
      <c r="AA123" s="60"/>
      <c r="AB123" s="60"/>
      <c r="AC123" s="60"/>
      <c r="AD123" s="60" t="s">
        <v>69</v>
      </c>
      <c r="AE123" s="60"/>
      <c r="AF123" s="60"/>
      <c r="AG123" s="60"/>
      <c r="AH123" s="60" t="s">
        <v>70</v>
      </c>
      <c r="AI123" s="60"/>
      <c r="AJ123" s="60"/>
      <c r="AK123" s="60"/>
      <c r="AL123" s="60" t="s">
        <v>71</v>
      </c>
      <c r="AM123" s="60"/>
      <c r="AN123" s="60"/>
      <c r="AO123" s="61"/>
    </row>
    <row r="124" spans="6:41" x14ac:dyDescent="0.4">
      <c r="F124" s="49" t="s">
        <v>182</v>
      </c>
      <c r="G124" s="49"/>
      <c r="H124" s="49"/>
      <c r="I124" s="21"/>
      <c r="J124" s="75" t="s">
        <v>93</v>
      </c>
      <c r="K124" s="76"/>
      <c r="L124" s="76"/>
      <c r="M124" s="76"/>
      <c r="N124" s="76"/>
      <c r="O124" s="76"/>
      <c r="P124" s="76"/>
      <c r="Q124" s="76"/>
      <c r="R124" s="76"/>
      <c r="S124" s="76"/>
      <c r="T124" s="76"/>
      <c r="U124" s="76"/>
      <c r="V124" s="76"/>
      <c r="W124" s="76"/>
      <c r="X124" s="76"/>
      <c r="Y124" s="76"/>
      <c r="Z124" s="76"/>
      <c r="AA124" s="76"/>
      <c r="AB124" s="76"/>
      <c r="AC124" s="76"/>
      <c r="AD124" s="76"/>
      <c r="AE124" s="76"/>
      <c r="AF124" s="76"/>
      <c r="AG124" s="76"/>
      <c r="AH124" s="76"/>
      <c r="AI124" s="76"/>
      <c r="AJ124" s="76"/>
      <c r="AK124" s="76"/>
      <c r="AL124" s="76"/>
      <c r="AM124" s="76"/>
      <c r="AN124" s="76"/>
      <c r="AO124" s="77"/>
    </row>
    <row r="125" spans="6:41" x14ac:dyDescent="0.4">
      <c r="F125" s="65"/>
      <c r="G125" s="65"/>
      <c r="H125" s="65"/>
      <c r="I125" s="2"/>
      <c r="J125" s="59" t="s">
        <v>72</v>
      </c>
      <c r="K125" s="60"/>
      <c r="L125" s="60"/>
      <c r="M125" s="60"/>
      <c r="N125" s="60" t="s">
        <v>73</v>
      </c>
      <c r="O125" s="60"/>
      <c r="P125" s="60"/>
      <c r="Q125" s="60"/>
      <c r="R125" s="60" t="s">
        <v>74</v>
      </c>
      <c r="S125" s="60"/>
      <c r="T125" s="60"/>
      <c r="U125" s="60"/>
      <c r="V125" s="60" t="s">
        <v>75</v>
      </c>
      <c r="W125" s="60"/>
      <c r="X125" s="60"/>
      <c r="Y125" s="60"/>
      <c r="Z125" s="60" t="s">
        <v>76</v>
      </c>
      <c r="AA125" s="60"/>
      <c r="AB125" s="60"/>
      <c r="AC125" s="60"/>
      <c r="AD125" s="60" t="s">
        <v>77</v>
      </c>
      <c r="AE125" s="60"/>
      <c r="AF125" s="60"/>
      <c r="AG125" s="60"/>
      <c r="AH125" s="60" t="s">
        <v>78</v>
      </c>
      <c r="AI125" s="60"/>
      <c r="AJ125" s="60"/>
      <c r="AK125" s="60"/>
      <c r="AL125" s="60" t="s">
        <v>79</v>
      </c>
      <c r="AM125" s="60"/>
      <c r="AN125" s="60"/>
      <c r="AO125" s="61"/>
    </row>
    <row r="126" spans="6:41" x14ac:dyDescent="0.4">
      <c r="F126" s="49" t="s">
        <v>184</v>
      </c>
      <c r="G126" s="49"/>
      <c r="H126" s="49"/>
      <c r="I126" s="21"/>
      <c r="J126" s="78" t="s">
        <v>93</v>
      </c>
      <c r="K126" s="79"/>
      <c r="L126" s="79"/>
      <c r="M126" s="79"/>
      <c r="N126" s="79"/>
      <c r="O126" s="79"/>
      <c r="P126" s="79"/>
      <c r="Q126" s="79"/>
      <c r="R126" s="79"/>
      <c r="S126" s="79"/>
      <c r="T126" s="79"/>
      <c r="U126" s="79"/>
      <c r="V126" s="79"/>
      <c r="W126" s="79"/>
      <c r="X126" s="79"/>
      <c r="Y126" s="79"/>
      <c r="Z126" s="79"/>
      <c r="AA126" s="79"/>
      <c r="AB126" s="79"/>
      <c r="AC126" s="79"/>
      <c r="AD126" s="79"/>
      <c r="AE126" s="79"/>
      <c r="AF126" s="79"/>
      <c r="AG126" s="79"/>
      <c r="AH126" s="79"/>
      <c r="AI126" s="79"/>
      <c r="AJ126" s="79"/>
      <c r="AK126" s="79"/>
      <c r="AL126" s="79"/>
      <c r="AM126" s="79"/>
      <c r="AN126" s="79"/>
      <c r="AO126" s="80"/>
    </row>
    <row r="127" spans="6:41" x14ac:dyDescent="0.4">
      <c r="F127" s="65"/>
      <c r="G127" s="65"/>
      <c r="H127" s="65"/>
      <c r="I127" s="2"/>
      <c r="J127" s="59" t="s">
        <v>147</v>
      </c>
      <c r="K127" s="60"/>
      <c r="L127" s="60"/>
      <c r="M127" s="60"/>
      <c r="N127" s="60" t="s">
        <v>148</v>
      </c>
      <c r="O127" s="60"/>
      <c r="P127" s="60"/>
      <c r="Q127" s="60"/>
      <c r="R127" s="60" t="s">
        <v>149</v>
      </c>
      <c r="S127" s="60"/>
      <c r="T127" s="60"/>
      <c r="U127" s="60"/>
      <c r="V127" s="60" t="s">
        <v>150</v>
      </c>
      <c r="W127" s="60"/>
      <c r="X127" s="60"/>
      <c r="Y127" s="60"/>
      <c r="Z127" s="60" t="s">
        <v>151</v>
      </c>
      <c r="AA127" s="60"/>
      <c r="AB127" s="60"/>
      <c r="AC127" s="60"/>
      <c r="AD127" s="60" t="s">
        <v>152</v>
      </c>
      <c r="AE127" s="60"/>
      <c r="AF127" s="60"/>
      <c r="AG127" s="60"/>
      <c r="AH127" s="60" t="s">
        <v>153</v>
      </c>
      <c r="AI127" s="60"/>
      <c r="AJ127" s="60"/>
      <c r="AK127" s="60"/>
      <c r="AL127" s="60" t="s">
        <v>154</v>
      </c>
      <c r="AM127" s="60"/>
      <c r="AN127" s="60"/>
      <c r="AO127" s="61"/>
    </row>
    <row r="128" spans="6:41" x14ac:dyDescent="0.4">
      <c r="F128" s="49" t="s">
        <v>185</v>
      </c>
      <c r="G128" s="49"/>
      <c r="H128" s="49"/>
      <c r="I128" s="21"/>
      <c r="J128" s="75" t="s">
        <v>93</v>
      </c>
      <c r="K128" s="76"/>
      <c r="L128" s="76"/>
      <c r="M128" s="76"/>
      <c r="N128" s="76"/>
      <c r="O128" s="76"/>
      <c r="P128" s="76"/>
      <c r="Q128" s="76"/>
      <c r="R128" s="76"/>
      <c r="S128" s="76"/>
      <c r="T128" s="76"/>
      <c r="U128" s="76"/>
      <c r="V128" s="76"/>
      <c r="W128" s="76"/>
      <c r="X128" s="76"/>
      <c r="Y128" s="76"/>
      <c r="Z128" s="76"/>
      <c r="AA128" s="76"/>
      <c r="AB128" s="76"/>
      <c r="AC128" s="76"/>
      <c r="AD128" s="76"/>
      <c r="AE128" s="76"/>
      <c r="AF128" s="76"/>
      <c r="AG128" s="76"/>
      <c r="AH128" s="76"/>
      <c r="AI128" s="76"/>
      <c r="AJ128" s="76"/>
      <c r="AK128" s="76"/>
      <c r="AL128" s="76"/>
      <c r="AM128" s="76"/>
      <c r="AN128" s="76"/>
      <c r="AO128" s="77"/>
    </row>
    <row r="129" spans="6:41" x14ac:dyDescent="0.4">
      <c r="F129" s="65"/>
      <c r="G129" s="65"/>
      <c r="H129" s="65"/>
      <c r="J129" s="59" t="s">
        <v>155</v>
      </c>
      <c r="K129" s="60"/>
      <c r="L129" s="60"/>
      <c r="M129" s="60"/>
      <c r="N129" s="60" t="s">
        <v>156</v>
      </c>
      <c r="O129" s="60"/>
      <c r="P129" s="60"/>
      <c r="Q129" s="60"/>
      <c r="R129" s="60" t="s">
        <v>157</v>
      </c>
      <c r="S129" s="60"/>
      <c r="T129" s="60"/>
      <c r="U129" s="60"/>
      <c r="V129" s="60" t="s">
        <v>158</v>
      </c>
      <c r="W129" s="60"/>
      <c r="X129" s="60"/>
      <c r="Y129" s="60"/>
      <c r="Z129" s="60" t="s">
        <v>159</v>
      </c>
      <c r="AA129" s="60"/>
      <c r="AB129" s="60"/>
      <c r="AC129" s="60"/>
      <c r="AD129" s="60" t="s">
        <v>160</v>
      </c>
      <c r="AE129" s="60"/>
      <c r="AF129" s="60"/>
      <c r="AG129" s="60"/>
      <c r="AH129" s="60" t="s">
        <v>161</v>
      </c>
      <c r="AI129" s="60"/>
      <c r="AJ129" s="60"/>
      <c r="AK129" s="60"/>
      <c r="AL129" s="60" t="s">
        <v>162</v>
      </c>
      <c r="AM129" s="60"/>
      <c r="AN129" s="60"/>
      <c r="AO129" s="61"/>
    </row>
    <row r="130" spans="6:41" x14ac:dyDescent="0.4">
      <c r="F130" s="49" t="s">
        <v>186</v>
      </c>
      <c r="G130" s="49"/>
      <c r="H130" s="49"/>
      <c r="I130" s="21"/>
      <c r="J130" s="75" t="s">
        <v>93</v>
      </c>
      <c r="K130" s="76"/>
      <c r="L130" s="76"/>
      <c r="M130" s="76"/>
      <c r="N130" s="76"/>
      <c r="O130" s="76"/>
      <c r="P130" s="76"/>
      <c r="Q130" s="76"/>
      <c r="R130" s="76"/>
      <c r="S130" s="76"/>
      <c r="T130" s="76"/>
      <c r="U130" s="76"/>
      <c r="V130" s="76"/>
      <c r="W130" s="76"/>
      <c r="X130" s="76"/>
      <c r="Y130" s="76"/>
      <c r="Z130" s="76"/>
      <c r="AA130" s="76"/>
      <c r="AB130" s="76"/>
      <c r="AC130" s="76"/>
      <c r="AD130" s="76"/>
      <c r="AE130" s="76"/>
      <c r="AF130" s="76"/>
      <c r="AG130" s="76"/>
      <c r="AH130" s="76"/>
      <c r="AI130" s="76"/>
      <c r="AJ130" s="76"/>
      <c r="AK130" s="76"/>
      <c r="AL130" s="76"/>
      <c r="AM130" s="76"/>
      <c r="AN130" s="76"/>
      <c r="AO130" s="77"/>
    </row>
    <row r="131" spans="6:41" x14ac:dyDescent="0.4">
      <c r="F131" s="50"/>
      <c r="G131" s="50"/>
      <c r="H131" s="50"/>
      <c r="I131" s="2"/>
      <c r="J131" s="59" t="s">
        <v>163</v>
      </c>
      <c r="K131" s="60"/>
      <c r="L131" s="60"/>
      <c r="M131" s="60"/>
      <c r="N131" s="60" t="s">
        <v>164</v>
      </c>
      <c r="O131" s="60"/>
      <c r="P131" s="60"/>
      <c r="Q131" s="60"/>
      <c r="R131" s="60" t="s">
        <v>165</v>
      </c>
      <c r="S131" s="60"/>
      <c r="T131" s="60"/>
      <c r="U131" s="60"/>
      <c r="V131" s="60" t="s">
        <v>166</v>
      </c>
      <c r="W131" s="60"/>
      <c r="X131" s="60"/>
      <c r="Y131" s="60"/>
      <c r="Z131" s="60" t="s">
        <v>167</v>
      </c>
      <c r="AA131" s="60"/>
      <c r="AB131" s="60"/>
      <c r="AC131" s="60"/>
      <c r="AD131" s="60" t="s">
        <v>168</v>
      </c>
      <c r="AE131" s="60"/>
      <c r="AF131" s="60"/>
      <c r="AG131" s="60"/>
      <c r="AH131" s="60" t="s">
        <v>169</v>
      </c>
      <c r="AI131" s="60"/>
      <c r="AJ131" s="60"/>
      <c r="AK131" s="60"/>
      <c r="AL131" s="60" t="s">
        <v>170</v>
      </c>
      <c r="AM131" s="60"/>
      <c r="AN131" s="60"/>
      <c r="AO131" s="61"/>
    </row>
    <row r="132" spans="6:41" x14ac:dyDescent="0.4">
      <c r="F132" s="49" t="s">
        <v>183</v>
      </c>
      <c r="G132" s="49"/>
      <c r="H132" s="49"/>
      <c r="I132" s="21"/>
      <c r="J132" s="75" t="s">
        <v>93</v>
      </c>
      <c r="K132" s="76"/>
      <c r="L132" s="76"/>
      <c r="M132" s="76"/>
      <c r="N132" s="76"/>
      <c r="O132" s="76"/>
      <c r="P132" s="76"/>
      <c r="Q132" s="76"/>
      <c r="R132" s="76"/>
      <c r="S132" s="76"/>
      <c r="T132" s="76"/>
      <c r="U132" s="76"/>
      <c r="V132" s="76"/>
      <c r="W132" s="76"/>
      <c r="X132" s="76"/>
      <c r="Y132" s="76"/>
      <c r="Z132" s="76"/>
      <c r="AA132" s="76"/>
      <c r="AB132" s="76"/>
      <c r="AC132" s="76"/>
      <c r="AD132" s="76"/>
      <c r="AE132" s="76"/>
      <c r="AF132" s="76"/>
      <c r="AG132" s="76"/>
      <c r="AH132" s="76"/>
      <c r="AI132" s="76"/>
      <c r="AJ132" s="76"/>
      <c r="AK132" s="76"/>
      <c r="AL132" s="76"/>
      <c r="AM132" s="76"/>
      <c r="AN132" s="76"/>
      <c r="AO132" s="77"/>
    </row>
    <row r="133" spans="6:41" ht="19.5" thickBot="1" x14ac:dyDescent="0.45">
      <c r="F133" s="65"/>
      <c r="G133" s="65"/>
      <c r="H133" s="65"/>
      <c r="I133" s="2"/>
      <c r="J133" s="54" t="s">
        <v>171</v>
      </c>
      <c r="K133" s="55"/>
      <c r="L133" s="55"/>
      <c r="M133" s="55"/>
      <c r="N133" s="55" t="s">
        <v>172</v>
      </c>
      <c r="O133" s="55"/>
      <c r="P133" s="55"/>
      <c r="Q133" s="55"/>
      <c r="R133" s="55" t="s">
        <v>173</v>
      </c>
      <c r="S133" s="55"/>
      <c r="T133" s="55"/>
      <c r="U133" s="55"/>
      <c r="V133" s="55" t="s">
        <v>174</v>
      </c>
      <c r="W133" s="55"/>
      <c r="X133" s="55"/>
      <c r="Y133" s="55"/>
      <c r="Z133" s="55" t="s">
        <v>175</v>
      </c>
      <c r="AA133" s="55"/>
      <c r="AB133" s="55"/>
      <c r="AC133" s="55"/>
      <c r="AD133" s="55" t="s">
        <v>176</v>
      </c>
      <c r="AE133" s="55"/>
      <c r="AF133" s="55"/>
      <c r="AG133" s="55"/>
      <c r="AH133" s="55" t="s">
        <v>177</v>
      </c>
      <c r="AI133" s="55"/>
      <c r="AJ133" s="55"/>
      <c r="AK133" s="55"/>
      <c r="AL133" s="55" t="s">
        <v>178</v>
      </c>
      <c r="AM133" s="55"/>
      <c r="AN133" s="55"/>
      <c r="AO133" s="56"/>
    </row>
    <row r="134" spans="6:41" ht="19.5" thickTop="1" x14ac:dyDescent="0.4">
      <c r="F134" s="49" t="s">
        <v>0</v>
      </c>
      <c r="G134" s="49"/>
      <c r="H134" s="49"/>
      <c r="I134" s="21"/>
      <c r="J134" s="66" t="s">
        <v>0</v>
      </c>
      <c r="K134" s="67"/>
      <c r="L134" s="67"/>
      <c r="M134" s="67"/>
      <c r="N134" s="67"/>
      <c r="O134" s="67"/>
      <c r="P134" s="67"/>
      <c r="Q134" s="67"/>
      <c r="R134" s="67"/>
      <c r="S134" s="67"/>
      <c r="T134" s="67"/>
      <c r="U134" s="67"/>
      <c r="V134" s="67"/>
      <c r="W134" s="67"/>
      <c r="X134" s="67"/>
      <c r="Y134" s="67"/>
      <c r="Z134" s="67"/>
      <c r="AA134" s="67"/>
      <c r="AB134" s="67"/>
      <c r="AC134" s="67"/>
      <c r="AD134" s="67"/>
      <c r="AE134" s="67"/>
      <c r="AF134" s="67"/>
      <c r="AG134" s="67"/>
      <c r="AH134" s="67"/>
      <c r="AI134" s="67"/>
      <c r="AJ134" s="67"/>
      <c r="AK134" s="67"/>
      <c r="AL134" s="67"/>
      <c r="AM134" s="67"/>
      <c r="AN134" s="67"/>
      <c r="AO134" s="68"/>
    </row>
    <row r="135" spans="6:41" ht="19.5" thickBot="1" x14ac:dyDescent="0.45">
      <c r="F135" s="65"/>
      <c r="G135" s="65"/>
      <c r="H135" s="65"/>
      <c r="I135" s="2"/>
      <c r="J135" s="69"/>
      <c r="K135" s="70"/>
      <c r="L135" s="70"/>
      <c r="M135" s="70"/>
      <c r="N135" s="70"/>
      <c r="O135" s="70"/>
      <c r="P135" s="70"/>
      <c r="Q135" s="70"/>
      <c r="R135" s="70"/>
      <c r="S135" s="70"/>
      <c r="T135" s="70"/>
      <c r="U135" s="70"/>
      <c r="V135" s="70"/>
      <c r="W135" s="70"/>
      <c r="X135" s="70"/>
      <c r="Y135" s="70"/>
      <c r="Z135" s="70"/>
      <c r="AA135" s="70"/>
      <c r="AB135" s="70"/>
      <c r="AC135" s="70"/>
      <c r="AD135" s="70"/>
      <c r="AE135" s="70"/>
      <c r="AF135" s="70"/>
      <c r="AG135" s="70"/>
      <c r="AH135" s="70"/>
      <c r="AI135" s="70"/>
      <c r="AJ135" s="70"/>
      <c r="AK135" s="70"/>
      <c r="AL135" s="70"/>
      <c r="AM135" s="70"/>
      <c r="AN135" s="70"/>
      <c r="AO135" s="71"/>
    </row>
    <row r="136" spans="6:41" ht="19.5" thickTop="1" x14ac:dyDescent="0.4">
      <c r="F136" s="57" t="s">
        <v>194</v>
      </c>
      <c r="G136" s="49"/>
      <c r="H136" s="49"/>
      <c r="I136" s="21"/>
      <c r="J136" s="72" t="s">
        <v>126</v>
      </c>
      <c r="K136" s="73"/>
      <c r="L136" s="73"/>
      <c r="M136" s="73"/>
      <c r="N136" s="73"/>
      <c r="O136" s="73"/>
      <c r="P136" s="73"/>
      <c r="Q136" s="73"/>
      <c r="R136" s="73"/>
      <c r="S136" s="73"/>
      <c r="T136" s="73"/>
      <c r="U136" s="73"/>
      <c r="V136" s="73"/>
      <c r="W136" s="73"/>
      <c r="X136" s="73"/>
      <c r="Y136" s="73"/>
      <c r="Z136" s="73"/>
      <c r="AA136" s="73"/>
      <c r="AB136" s="73"/>
      <c r="AC136" s="73"/>
      <c r="AD136" s="73"/>
      <c r="AE136" s="73"/>
      <c r="AF136" s="73"/>
      <c r="AG136" s="73"/>
      <c r="AH136" s="73"/>
      <c r="AI136" s="73"/>
      <c r="AJ136" s="73"/>
      <c r="AK136" s="73"/>
      <c r="AL136" s="73"/>
      <c r="AM136" s="73"/>
      <c r="AN136" s="73"/>
      <c r="AO136" s="74"/>
    </row>
    <row r="137" spans="6:41" x14ac:dyDescent="0.4">
      <c r="F137" s="50"/>
      <c r="G137" s="50"/>
      <c r="H137" s="50"/>
      <c r="I137" s="2"/>
      <c r="J137" s="59" t="s">
        <v>2</v>
      </c>
      <c r="K137" s="60"/>
      <c r="L137" s="60"/>
      <c r="M137" s="60"/>
      <c r="N137" s="60" t="s">
        <v>6</v>
      </c>
      <c r="O137" s="60"/>
      <c r="P137" s="60"/>
      <c r="Q137" s="60"/>
      <c r="R137" s="60" t="s">
        <v>5</v>
      </c>
      <c r="S137" s="60"/>
      <c r="T137" s="60"/>
      <c r="U137" s="60"/>
      <c r="V137" s="60" t="s">
        <v>4</v>
      </c>
      <c r="W137" s="60"/>
      <c r="X137" s="60"/>
      <c r="Y137" s="60"/>
      <c r="Z137" s="60" t="s">
        <v>3</v>
      </c>
      <c r="AA137" s="60"/>
      <c r="AB137" s="60"/>
      <c r="AC137" s="60"/>
      <c r="AD137" s="60" t="s">
        <v>53</v>
      </c>
      <c r="AE137" s="60"/>
      <c r="AF137" s="60"/>
      <c r="AG137" s="60"/>
      <c r="AH137" s="60" t="s">
        <v>54</v>
      </c>
      <c r="AI137" s="60"/>
      <c r="AJ137" s="60"/>
      <c r="AK137" s="60"/>
      <c r="AL137" s="60" t="s">
        <v>55</v>
      </c>
      <c r="AM137" s="60"/>
      <c r="AN137" s="60"/>
      <c r="AO137" s="61"/>
    </row>
    <row r="138" spans="6:41" x14ac:dyDescent="0.4">
      <c r="F138" s="57" t="s">
        <v>193</v>
      </c>
      <c r="G138" s="49"/>
      <c r="H138" s="49"/>
      <c r="I138" s="21"/>
      <c r="J138" s="51" t="s">
        <v>126</v>
      </c>
      <c r="K138" s="52"/>
      <c r="L138" s="52"/>
      <c r="M138" s="52"/>
      <c r="N138" s="52"/>
      <c r="O138" s="52"/>
      <c r="P138" s="52"/>
      <c r="Q138" s="52"/>
      <c r="R138" s="52"/>
      <c r="S138" s="52"/>
      <c r="T138" s="52"/>
      <c r="U138" s="52"/>
      <c r="V138" s="52"/>
      <c r="W138" s="52"/>
      <c r="X138" s="52"/>
      <c r="Y138" s="52"/>
      <c r="Z138" s="52"/>
      <c r="AA138" s="52"/>
      <c r="AB138" s="52"/>
      <c r="AC138" s="52"/>
      <c r="AD138" s="52"/>
      <c r="AE138" s="52"/>
      <c r="AF138" s="52"/>
      <c r="AG138" s="52"/>
      <c r="AH138" s="52"/>
      <c r="AI138" s="52"/>
      <c r="AJ138" s="52"/>
      <c r="AK138" s="52"/>
      <c r="AL138" s="52"/>
      <c r="AM138" s="52"/>
      <c r="AN138" s="52"/>
      <c r="AO138" s="53"/>
    </row>
    <row r="139" spans="6:41" x14ac:dyDescent="0.4">
      <c r="F139" s="50"/>
      <c r="G139" s="50"/>
      <c r="H139" s="50"/>
      <c r="J139" s="59" t="s">
        <v>56</v>
      </c>
      <c r="K139" s="60"/>
      <c r="L139" s="60"/>
      <c r="M139" s="60"/>
      <c r="N139" s="60" t="s">
        <v>57</v>
      </c>
      <c r="O139" s="60"/>
      <c r="P139" s="60"/>
      <c r="Q139" s="60"/>
      <c r="R139" s="60" t="s">
        <v>58</v>
      </c>
      <c r="S139" s="60"/>
      <c r="T139" s="60"/>
      <c r="U139" s="60"/>
      <c r="V139" s="60" t="s">
        <v>59</v>
      </c>
      <c r="W139" s="60"/>
      <c r="X139" s="60"/>
      <c r="Y139" s="60"/>
      <c r="Z139" s="60" t="s">
        <v>60</v>
      </c>
      <c r="AA139" s="60"/>
      <c r="AB139" s="60"/>
      <c r="AC139" s="60"/>
      <c r="AD139" s="60" t="s">
        <v>61</v>
      </c>
      <c r="AE139" s="60"/>
      <c r="AF139" s="60"/>
      <c r="AG139" s="60"/>
      <c r="AH139" s="60" t="s">
        <v>62</v>
      </c>
      <c r="AI139" s="60"/>
      <c r="AJ139" s="60"/>
      <c r="AK139" s="60"/>
      <c r="AL139" s="60" t="s">
        <v>63</v>
      </c>
      <c r="AM139" s="60"/>
      <c r="AN139" s="60"/>
      <c r="AO139" s="61"/>
    </row>
    <row r="140" spans="6:41" x14ac:dyDescent="0.4">
      <c r="F140" s="57" t="s">
        <v>192</v>
      </c>
      <c r="G140" s="49"/>
      <c r="H140" s="49"/>
      <c r="I140" s="21"/>
      <c r="J140" s="51" t="s">
        <v>126</v>
      </c>
      <c r="K140" s="52"/>
      <c r="L140" s="52"/>
      <c r="M140" s="52"/>
      <c r="N140" s="52"/>
      <c r="O140" s="52"/>
      <c r="P140" s="52"/>
      <c r="Q140" s="52"/>
      <c r="R140" s="52"/>
      <c r="S140" s="52"/>
      <c r="T140" s="52"/>
      <c r="U140" s="52"/>
      <c r="V140" s="52"/>
      <c r="W140" s="52"/>
      <c r="X140" s="52"/>
      <c r="Y140" s="52"/>
      <c r="Z140" s="52"/>
      <c r="AA140" s="52"/>
      <c r="AB140" s="52"/>
      <c r="AC140" s="52"/>
      <c r="AD140" s="52"/>
      <c r="AE140" s="52"/>
      <c r="AF140" s="52"/>
      <c r="AG140" s="52"/>
      <c r="AH140" s="52"/>
      <c r="AI140" s="52"/>
      <c r="AJ140" s="52"/>
      <c r="AK140" s="52"/>
      <c r="AL140" s="52"/>
      <c r="AM140" s="52"/>
      <c r="AN140" s="52"/>
      <c r="AO140" s="53"/>
    </row>
    <row r="141" spans="6:41" x14ac:dyDescent="0.4">
      <c r="F141" s="50"/>
      <c r="G141" s="50"/>
      <c r="H141" s="50"/>
      <c r="I141" s="2"/>
      <c r="J141" s="59" t="s">
        <v>64</v>
      </c>
      <c r="K141" s="60"/>
      <c r="L141" s="60"/>
      <c r="M141" s="60"/>
      <c r="N141" s="60" t="s">
        <v>65</v>
      </c>
      <c r="O141" s="60"/>
      <c r="P141" s="60"/>
      <c r="Q141" s="60"/>
      <c r="R141" s="60" t="s">
        <v>66</v>
      </c>
      <c r="S141" s="60"/>
      <c r="T141" s="60"/>
      <c r="U141" s="60"/>
      <c r="V141" s="60" t="s">
        <v>67</v>
      </c>
      <c r="W141" s="60"/>
      <c r="X141" s="60"/>
      <c r="Y141" s="60"/>
      <c r="Z141" s="60" t="s">
        <v>68</v>
      </c>
      <c r="AA141" s="60"/>
      <c r="AB141" s="60"/>
      <c r="AC141" s="60"/>
      <c r="AD141" s="60" t="s">
        <v>69</v>
      </c>
      <c r="AE141" s="60"/>
      <c r="AF141" s="60"/>
      <c r="AG141" s="60"/>
      <c r="AH141" s="60" t="s">
        <v>70</v>
      </c>
      <c r="AI141" s="60"/>
      <c r="AJ141" s="60"/>
      <c r="AK141" s="60"/>
      <c r="AL141" s="60" t="s">
        <v>71</v>
      </c>
      <c r="AM141" s="60"/>
      <c r="AN141" s="60"/>
      <c r="AO141" s="61"/>
    </row>
    <row r="142" spans="6:41" x14ac:dyDescent="0.4">
      <c r="F142" s="57" t="s">
        <v>191</v>
      </c>
      <c r="G142" s="49"/>
      <c r="H142" s="49"/>
      <c r="I142" s="21"/>
      <c r="J142" s="51" t="s">
        <v>126</v>
      </c>
      <c r="K142" s="52"/>
      <c r="L142" s="52"/>
      <c r="M142" s="52"/>
      <c r="N142" s="52"/>
      <c r="O142" s="52"/>
      <c r="P142" s="52"/>
      <c r="Q142" s="52"/>
      <c r="R142" s="52"/>
      <c r="S142" s="52"/>
      <c r="T142" s="52"/>
      <c r="U142" s="52"/>
      <c r="V142" s="52"/>
      <c r="W142" s="52"/>
      <c r="X142" s="52"/>
      <c r="Y142" s="52"/>
      <c r="Z142" s="52"/>
      <c r="AA142" s="52"/>
      <c r="AB142" s="52"/>
      <c r="AC142" s="52"/>
      <c r="AD142" s="52"/>
      <c r="AE142" s="52"/>
      <c r="AF142" s="52"/>
      <c r="AG142" s="52"/>
      <c r="AH142" s="52"/>
      <c r="AI142" s="52"/>
      <c r="AJ142" s="52"/>
      <c r="AK142" s="52"/>
      <c r="AL142" s="52"/>
      <c r="AM142" s="52"/>
      <c r="AN142" s="52"/>
      <c r="AO142" s="53"/>
    </row>
    <row r="143" spans="6:41" x14ac:dyDescent="0.4">
      <c r="F143" s="50"/>
      <c r="G143" s="50"/>
      <c r="H143" s="50"/>
      <c r="I143" s="2"/>
      <c r="J143" s="59" t="s">
        <v>72</v>
      </c>
      <c r="K143" s="60"/>
      <c r="L143" s="60"/>
      <c r="M143" s="60"/>
      <c r="N143" s="60" t="s">
        <v>73</v>
      </c>
      <c r="O143" s="60"/>
      <c r="P143" s="60"/>
      <c r="Q143" s="60"/>
      <c r="R143" s="60" t="s">
        <v>74</v>
      </c>
      <c r="S143" s="60"/>
      <c r="T143" s="60"/>
      <c r="U143" s="60"/>
      <c r="V143" s="60" t="s">
        <v>75</v>
      </c>
      <c r="W143" s="60"/>
      <c r="X143" s="60"/>
      <c r="Y143" s="60"/>
      <c r="Z143" s="60" t="s">
        <v>76</v>
      </c>
      <c r="AA143" s="60"/>
      <c r="AB143" s="60"/>
      <c r="AC143" s="60"/>
      <c r="AD143" s="60" t="s">
        <v>77</v>
      </c>
      <c r="AE143" s="60"/>
      <c r="AF143" s="60"/>
      <c r="AG143" s="60"/>
      <c r="AH143" s="60" t="s">
        <v>78</v>
      </c>
      <c r="AI143" s="60"/>
      <c r="AJ143" s="60"/>
      <c r="AK143" s="60"/>
      <c r="AL143" s="60" t="s">
        <v>79</v>
      </c>
      <c r="AM143" s="60"/>
      <c r="AN143" s="60"/>
      <c r="AO143" s="61"/>
    </row>
    <row r="144" spans="6:41" x14ac:dyDescent="0.4">
      <c r="F144" s="57" t="s">
        <v>187</v>
      </c>
      <c r="G144" s="57"/>
      <c r="H144" s="57"/>
      <c r="I144" s="21"/>
      <c r="J144" s="62" t="s">
        <v>126</v>
      </c>
      <c r="K144" s="63"/>
      <c r="L144" s="63"/>
      <c r="M144" s="63"/>
      <c r="N144" s="63"/>
      <c r="O144" s="63"/>
      <c r="P144" s="63"/>
      <c r="Q144" s="63"/>
      <c r="R144" s="63"/>
      <c r="S144" s="63"/>
      <c r="T144" s="63"/>
      <c r="U144" s="63"/>
      <c r="V144" s="63"/>
      <c r="W144" s="63"/>
      <c r="X144" s="63"/>
      <c r="Y144" s="63"/>
      <c r="Z144" s="63"/>
      <c r="AA144" s="63"/>
      <c r="AB144" s="63"/>
      <c r="AC144" s="63"/>
      <c r="AD144" s="63"/>
      <c r="AE144" s="63"/>
      <c r="AF144" s="63"/>
      <c r="AG144" s="63"/>
      <c r="AH144" s="63"/>
      <c r="AI144" s="63"/>
      <c r="AJ144" s="63"/>
      <c r="AK144" s="63"/>
      <c r="AL144" s="63"/>
      <c r="AM144" s="63"/>
      <c r="AN144" s="63"/>
      <c r="AO144" s="64"/>
    </row>
    <row r="145" spans="6:41" x14ac:dyDescent="0.4">
      <c r="F145" s="58"/>
      <c r="G145" s="58"/>
      <c r="H145" s="58"/>
      <c r="I145" s="2"/>
      <c r="J145" s="59" t="s">
        <v>147</v>
      </c>
      <c r="K145" s="60"/>
      <c r="L145" s="60"/>
      <c r="M145" s="60"/>
      <c r="N145" s="60" t="s">
        <v>148</v>
      </c>
      <c r="O145" s="60"/>
      <c r="P145" s="60"/>
      <c r="Q145" s="60"/>
      <c r="R145" s="60" t="s">
        <v>149</v>
      </c>
      <c r="S145" s="60"/>
      <c r="T145" s="60"/>
      <c r="U145" s="60"/>
      <c r="V145" s="60" t="s">
        <v>150</v>
      </c>
      <c r="W145" s="60"/>
      <c r="X145" s="60"/>
      <c r="Y145" s="60"/>
      <c r="Z145" s="60" t="s">
        <v>151</v>
      </c>
      <c r="AA145" s="60"/>
      <c r="AB145" s="60"/>
      <c r="AC145" s="60"/>
      <c r="AD145" s="60" t="s">
        <v>152</v>
      </c>
      <c r="AE145" s="60"/>
      <c r="AF145" s="60"/>
      <c r="AG145" s="60"/>
      <c r="AH145" s="60" t="s">
        <v>153</v>
      </c>
      <c r="AI145" s="60"/>
      <c r="AJ145" s="60"/>
      <c r="AK145" s="60"/>
      <c r="AL145" s="60" t="s">
        <v>154</v>
      </c>
      <c r="AM145" s="60"/>
      <c r="AN145" s="60"/>
      <c r="AO145" s="61"/>
    </row>
    <row r="146" spans="6:41" x14ac:dyDescent="0.4">
      <c r="F146" s="57" t="s">
        <v>190</v>
      </c>
      <c r="G146" s="57"/>
      <c r="H146" s="57"/>
      <c r="I146" s="21"/>
      <c r="J146" s="51" t="s">
        <v>126</v>
      </c>
      <c r="K146" s="52"/>
      <c r="L146" s="52"/>
      <c r="M146" s="52"/>
      <c r="N146" s="52"/>
      <c r="O146" s="52"/>
      <c r="P146" s="52"/>
      <c r="Q146" s="52"/>
      <c r="R146" s="52"/>
      <c r="S146" s="52"/>
      <c r="T146" s="52"/>
      <c r="U146" s="52"/>
      <c r="V146" s="52"/>
      <c r="W146" s="52"/>
      <c r="X146" s="52"/>
      <c r="Y146" s="52"/>
      <c r="Z146" s="52"/>
      <c r="AA146" s="52"/>
      <c r="AB146" s="52"/>
      <c r="AC146" s="52"/>
      <c r="AD146" s="52"/>
      <c r="AE146" s="52"/>
      <c r="AF146" s="52"/>
      <c r="AG146" s="52"/>
      <c r="AH146" s="52"/>
      <c r="AI146" s="52"/>
      <c r="AJ146" s="52"/>
      <c r="AK146" s="52"/>
      <c r="AL146" s="52"/>
      <c r="AM146" s="52"/>
      <c r="AN146" s="52"/>
      <c r="AO146" s="53"/>
    </row>
    <row r="147" spans="6:41" x14ac:dyDescent="0.4">
      <c r="F147" s="58"/>
      <c r="G147" s="58"/>
      <c r="H147" s="58"/>
      <c r="J147" s="59" t="s">
        <v>155</v>
      </c>
      <c r="K147" s="60"/>
      <c r="L147" s="60"/>
      <c r="M147" s="60"/>
      <c r="N147" s="60" t="s">
        <v>156</v>
      </c>
      <c r="O147" s="60"/>
      <c r="P147" s="60"/>
      <c r="Q147" s="60"/>
      <c r="R147" s="60" t="s">
        <v>157</v>
      </c>
      <c r="S147" s="60"/>
      <c r="T147" s="60"/>
      <c r="U147" s="60"/>
      <c r="V147" s="60" t="s">
        <v>158</v>
      </c>
      <c r="W147" s="60"/>
      <c r="X147" s="60"/>
      <c r="Y147" s="60"/>
      <c r="Z147" s="60" t="s">
        <v>159</v>
      </c>
      <c r="AA147" s="60"/>
      <c r="AB147" s="60"/>
      <c r="AC147" s="60"/>
      <c r="AD147" s="60" t="s">
        <v>160</v>
      </c>
      <c r="AE147" s="60"/>
      <c r="AF147" s="60"/>
      <c r="AG147" s="60"/>
      <c r="AH147" s="60" t="s">
        <v>161</v>
      </c>
      <c r="AI147" s="60"/>
      <c r="AJ147" s="60"/>
      <c r="AK147" s="60"/>
      <c r="AL147" s="60" t="s">
        <v>162</v>
      </c>
      <c r="AM147" s="60"/>
      <c r="AN147" s="60"/>
      <c r="AO147" s="61"/>
    </row>
    <row r="148" spans="6:41" x14ac:dyDescent="0.4">
      <c r="F148" s="57" t="s">
        <v>189</v>
      </c>
      <c r="G148" s="57"/>
      <c r="H148" s="57"/>
      <c r="I148" s="21"/>
      <c r="J148" s="51" t="s">
        <v>126</v>
      </c>
      <c r="K148" s="52"/>
      <c r="L148" s="52"/>
      <c r="M148" s="52"/>
      <c r="N148" s="52"/>
      <c r="O148" s="52"/>
      <c r="P148" s="52"/>
      <c r="Q148" s="52"/>
      <c r="R148" s="52"/>
      <c r="S148" s="52"/>
      <c r="T148" s="52"/>
      <c r="U148" s="52"/>
      <c r="V148" s="52"/>
      <c r="W148" s="52"/>
      <c r="X148" s="52"/>
      <c r="Y148" s="52"/>
      <c r="Z148" s="52"/>
      <c r="AA148" s="52"/>
      <c r="AB148" s="52"/>
      <c r="AC148" s="52"/>
      <c r="AD148" s="52"/>
      <c r="AE148" s="52"/>
      <c r="AF148" s="52"/>
      <c r="AG148" s="52"/>
      <c r="AH148" s="52"/>
      <c r="AI148" s="52"/>
      <c r="AJ148" s="52"/>
      <c r="AK148" s="52"/>
      <c r="AL148" s="52"/>
      <c r="AM148" s="52"/>
      <c r="AN148" s="52"/>
      <c r="AO148" s="53"/>
    </row>
    <row r="149" spans="6:41" x14ac:dyDescent="0.4">
      <c r="F149" s="58"/>
      <c r="G149" s="58"/>
      <c r="H149" s="58"/>
      <c r="I149" s="2"/>
      <c r="J149" s="59" t="s">
        <v>163</v>
      </c>
      <c r="K149" s="60"/>
      <c r="L149" s="60"/>
      <c r="M149" s="60"/>
      <c r="N149" s="60" t="s">
        <v>164</v>
      </c>
      <c r="O149" s="60"/>
      <c r="P149" s="60"/>
      <c r="Q149" s="60"/>
      <c r="R149" s="60" t="s">
        <v>165</v>
      </c>
      <c r="S149" s="60"/>
      <c r="T149" s="60"/>
      <c r="U149" s="60"/>
      <c r="V149" s="60" t="s">
        <v>166</v>
      </c>
      <c r="W149" s="60"/>
      <c r="X149" s="60"/>
      <c r="Y149" s="60"/>
      <c r="Z149" s="60" t="s">
        <v>167</v>
      </c>
      <c r="AA149" s="60"/>
      <c r="AB149" s="60"/>
      <c r="AC149" s="60"/>
      <c r="AD149" s="60" t="s">
        <v>168</v>
      </c>
      <c r="AE149" s="60"/>
      <c r="AF149" s="60"/>
      <c r="AG149" s="60"/>
      <c r="AH149" s="60" t="s">
        <v>169</v>
      </c>
      <c r="AI149" s="60"/>
      <c r="AJ149" s="60"/>
      <c r="AK149" s="60"/>
      <c r="AL149" s="60" t="s">
        <v>170</v>
      </c>
      <c r="AM149" s="60"/>
      <c r="AN149" s="60"/>
      <c r="AO149" s="61"/>
    </row>
    <row r="150" spans="6:41" x14ac:dyDescent="0.4">
      <c r="F150" s="49" t="s">
        <v>188</v>
      </c>
      <c r="G150" s="49"/>
      <c r="H150" s="49"/>
      <c r="I150" s="21"/>
      <c r="J150" s="51" t="s">
        <v>126</v>
      </c>
      <c r="K150" s="52"/>
      <c r="L150" s="52"/>
      <c r="M150" s="52"/>
      <c r="N150" s="52"/>
      <c r="O150" s="52"/>
      <c r="P150" s="52"/>
      <c r="Q150" s="52"/>
      <c r="R150" s="52"/>
      <c r="S150" s="52"/>
      <c r="T150" s="52"/>
      <c r="U150" s="52"/>
      <c r="V150" s="52"/>
      <c r="W150" s="52"/>
      <c r="X150" s="52"/>
      <c r="Y150" s="52"/>
      <c r="Z150" s="52"/>
      <c r="AA150" s="52"/>
      <c r="AB150" s="52"/>
      <c r="AC150" s="52"/>
      <c r="AD150" s="52"/>
      <c r="AE150" s="52"/>
      <c r="AF150" s="52"/>
      <c r="AG150" s="52"/>
      <c r="AH150" s="52"/>
      <c r="AI150" s="52"/>
      <c r="AJ150" s="52"/>
      <c r="AK150" s="52"/>
      <c r="AL150" s="52"/>
      <c r="AM150" s="52"/>
      <c r="AN150" s="52"/>
      <c r="AO150" s="53"/>
    </row>
    <row r="151" spans="6:41" ht="19.5" thickBot="1" x14ac:dyDescent="0.45">
      <c r="F151" s="50"/>
      <c r="G151" s="50"/>
      <c r="H151" s="50"/>
      <c r="I151" s="2"/>
      <c r="J151" s="54" t="s">
        <v>171</v>
      </c>
      <c r="K151" s="55"/>
      <c r="L151" s="55"/>
      <c r="M151" s="55"/>
      <c r="N151" s="55" t="s">
        <v>172</v>
      </c>
      <c r="O151" s="55"/>
      <c r="P151" s="55"/>
      <c r="Q151" s="55"/>
      <c r="R151" s="55" t="s">
        <v>173</v>
      </c>
      <c r="S151" s="55"/>
      <c r="T151" s="55"/>
      <c r="U151" s="55"/>
      <c r="V151" s="55" t="s">
        <v>174</v>
      </c>
      <c r="W151" s="55"/>
      <c r="X151" s="55"/>
      <c r="Y151" s="55"/>
      <c r="Z151" s="55" t="s">
        <v>175</v>
      </c>
      <c r="AA151" s="55"/>
      <c r="AB151" s="55"/>
      <c r="AC151" s="55"/>
      <c r="AD151" s="55" t="s">
        <v>176</v>
      </c>
      <c r="AE151" s="55"/>
      <c r="AF151" s="55"/>
      <c r="AG151" s="55"/>
      <c r="AH151" s="55" t="s">
        <v>177</v>
      </c>
      <c r="AI151" s="55"/>
      <c r="AJ151" s="55"/>
      <c r="AK151" s="55"/>
      <c r="AL151" s="55" t="s">
        <v>178</v>
      </c>
      <c r="AM151" s="55"/>
      <c r="AN151" s="55"/>
      <c r="AO151" s="56"/>
    </row>
    <row r="152" spans="6:41" ht="19.5" thickTop="1" x14ac:dyDescent="0.4">
      <c r="F152" s="1"/>
      <c r="G152" s="1"/>
      <c r="H152" s="1"/>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c r="AK152" s="1"/>
      <c r="AL152" s="1"/>
      <c r="AM152" s="1"/>
      <c r="AN152" s="1"/>
      <c r="AO152" s="1"/>
    </row>
    <row r="154" spans="6:41" ht="19.5" thickBot="1" x14ac:dyDescent="0.45">
      <c r="F154" s="1"/>
      <c r="G154" s="1"/>
      <c r="H154" s="1"/>
      <c r="I154" s="3"/>
      <c r="J154" s="84" t="str">
        <f>"+0"</f>
        <v>+0</v>
      </c>
      <c r="K154" s="65"/>
      <c r="L154" s="65"/>
      <c r="M154" s="85"/>
      <c r="N154" s="84" t="str">
        <f>"+1"</f>
        <v>+1</v>
      </c>
      <c r="O154" s="65"/>
      <c r="P154" s="65"/>
      <c r="Q154" s="85"/>
      <c r="R154" s="84" t="str">
        <f>"+2"</f>
        <v>+2</v>
      </c>
      <c r="S154" s="65"/>
      <c r="T154" s="65"/>
      <c r="U154" s="85"/>
      <c r="V154" s="84" t="str">
        <f>"+3"</f>
        <v>+3</v>
      </c>
      <c r="W154" s="65"/>
      <c r="X154" s="65"/>
      <c r="Y154" s="85"/>
      <c r="Z154" s="84" t="str">
        <f>"+4"</f>
        <v>+4</v>
      </c>
      <c r="AA154" s="65"/>
      <c r="AB154" s="65"/>
      <c r="AC154" s="85"/>
      <c r="AD154" s="84" t="str">
        <f>"+5"</f>
        <v>+5</v>
      </c>
      <c r="AE154" s="65"/>
      <c r="AF154" s="65"/>
      <c r="AG154" s="85"/>
      <c r="AH154" s="84" t="str">
        <f>"+6"</f>
        <v>+6</v>
      </c>
      <c r="AI154" s="65"/>
      <c r="AJ154" s="65"/>
      <c r="AK154" s="85"/>
      <c r="AL154" s="84" t="str">
        <f>"+7"</f>
        <v>+7</v>
      </c>
      <c r="AM154" s="65"/>
      <c r="AN154" s="65"/>
      <c r="AO154" s="85"/>
    </row>
    <row r="155" spans="6:41" ht="19.5" customHeight="1" thickTop="1" x14ac:dyDescent="0.4">
      <c r="F155" s="49" t="s">
        <v>7</v>
      </c>
      <c r="G155" s="49"/>
      <c r="H155" s="49"/>
      <c r="I155" s="21"/>
      <c r="J155" s="86" t="s">
        <v>122</v>
      </c>
      <c r="K155" s="87"/>
      <c r="L155" s="87"/>
      <c r="M155" s="88"/>
      <c r="N155" s="89" t="s">
        <v>114</v>
      </c>
      <c r="O155" s="90"/>
      <c r="P155" s="90"/>
      <c r="Q155" s="90"/>
      <c r="R155" s="90"/>
      <c r="S155" s="90"/>
      <c r="T155" s="90"/>
      <c r="U155" s="90"/>
      <c r="V155" s="90"/>
      <c r="W155" s="90"/>
      <c r="X155" s="90"/>
      <c r="Y155" s="90"/>
      <c r="Z155" s="90"/>
      <c r="AA155" s="90"/>
      <c r="AB155" s="90"/>
      <c r="AC155" s="90"/>
      <c r="AD155" s="90"/>
      <c r="AE155" s="90"/>
      <c r="AF155" s="90"/>
      <c r="AG155" s="91"/>
      <c r="AH155" s="92" t="s">
        <v>146</v>
      </c>
      <c r="AI155" s="92"/>
      <c r="AJ155" s="92"/>
      <c r="AK155" s="92"/>
      <c r="AL155" s="92"/>
      <c r="AM155" s="92"/>
      <c r="AN155" s="92"/>
      <c r="AO155" s="93"/>
    </row>
    <row r="156" spans="6:41" ht="19.5" thickBot="1" x14ac:dyDescent="0.45">
      <c r="F156" s="65"/>
      <c r="G156" s="65"/>
      <c r="H156" s="65"/>
      <c r="J156" s="54" t="s">
        <v>2</v>
      </c>
      <c r="K156" s="55"/>
      <c r="L156" s="55"/>
      <c r="M156" s="55"/>
      <c r="N156" s="55" t="s">
        <v>3</v>
      </c>
      <c r="O156" s="55"/>
      <c r="P156" s="55"/>
      <c r="Q156" s="55"/>
      <c r="R156" s="55" t="s">
        <v>4</v>
      </c>
      <c r="S156" s="55"/>
      <c r="T156" s="55"/>
      <c r="U156" s="55"/>
      <c r="V156" s="55" t="s">
        <v>5</v>
      </c>
      <c r="W156" s="55"/>
      <c r="X156" s="55"/>
      <c r="Y156" s="94"/>
      <c r="Z156" s="55" t="s">
        <v>6</v>
      </c>
      <c r="AA156" s="55"/>
      <c r="AB156" s="55"/>
      <c r="AC156" s="55"/>
      <c r="AD156" s="55" t="s">
        <v>2</v>
      </c>
      <c r="AE156" s="55"/>
      <c r="AF156" s="55"/>
      <c r="AG156" s="94"/>
      <c r="AH156" s="55" t="s">
        <v>6</v>
      </c>
      <c r="AI156" s="55"/>
      <c r="AJ156" s="55"/>
      <c r="AK156" s="55"/>
      <c r="AL156" s="55" t="s">
        <v>2</v>
      </c>
      <c r="AM156" s="55"/>
      <c r="AN156" s="55"/>
      <c r="AO156" s="56"/>
    </row>
    <row r="157" spans="6:41" ht="19.5" thickTop="1" x14ac:dyDescent="0.4">
      <c r="F157" s="49" t="s">
        <v>9</v>
      </c>
      <c r="G157" s="49"/>
      <c r="H157" s="49"/>
      <c r="I157" s="21"/>
      <c r="J157" s="72" t="s">
        <v>92</v>
      </c>
      <c r="K157" s="73"/>
      <c r="L157" s="73"/>
      <c r="M157" s="73"/>
      <c r="N157" s="73"/>
      <c r="O157" s="73"/>
      <c r="P157" s="73"/>
      <c r="Q157" s="73"/>
      <c r="R157" s="73"/>
      <c r="S157" s="73"/>
      <c r="T157" s="73"/>
      <c r="U157" s="73"/>
      <c r="V157" s="73"/>
      <c r="W157" s="73"/>
      <c r="X157" s="73"/>
      <c r="Y157" s="73"/>
      <c r="Z157" s="73"/>
      <c r="AA157" s="73"/>
      <c r="AB157" s="73"/>
      <c r="AC157" s="73"/>
      <c r="AD157" s="73"/>
      <c r="AE157" s="73"/>
      <c r="AF157" s="73"/>
      <c r="AG157" s="73"/>
      <c r="AH157" s="73"/>
      <c r="AI157" s="73"/>
      <c r="AJ157" s="73"/>
      <c r="AK157" s="73"/>
      <c r="AL157" s="73"/>
      <c r="AM157" s="73"/>
      <c r="AN157" s="73"/>
      <c r="AO157" s="74"/>
    </row>
    <row r="158" spans="6:41" x14ac:dyDescent="0.4">
      <c r="F158" s="50"/>
      <c r="G158" s="50"/>
      <c r="H158" s="50"/>
      <c r="I158" s="2"/>
      <c r="J158" s="59" t="s">
        <v>2</v>
      </c>
      <c r="K158" s="60"/>
      <c r="L158" s="60"/>
      <c r="M158" s="60"/>
      <c r="N158" s="60" t="s">
        <v>6</v>
      </c>
      <c r="O158" s="60"/>
      <c r="P158" s="60"/>
      <c r="Q158" s="60"/>
      <c r="R158" s="60" t="s">
        <v>5</v>
      </c>
      <c r="S158" s="60"/>
      <c r="T158" s="60"/>
      <c r="U158" s="60"/>
      <c r="V158" s="60" t="s">
        <v>4</v>
      </c>
      <c r="W158" s="60"/>
      <c r="X158" s="60"/>
      <c r="Y158" s="60"/>
      <c r="Z158" s="60" t="s">
        <v>3</v>
      </c>
      <c r="AA158" s="60"/>
      <c r="AB158" s="60"/>
      <c r="AC158" s="60"/>
      <c r="AD158" s="60" t="s">
        <v>53</v>
      </c>
      <c r="AE158" s="60"/>
      <c r="AF158" s="60"/>
      <c r="AG158" s="60"/>
      <c r="AH158" s="60" t="s">
        <v>54</v>
      </c>
      <c r="AI158" s="60"/>
      <c r="AJ158" s="60"/>
      <c r="AK158" s="60"/>
      <c r="AL158" s="60" t="s">
        <v>55</v>
      </c>
      <c r="AM158" s="60"/>
      <c r="AN158" s="60"/>
      <c r="AO158" s="61"/>
    </row>
    <row r="159" spans="6:41" x14ac:dyDescent="0.4">
      <c r="F159" s="65" t="s">
        <v>80</v>
      </c>
      <c r="G159" s="65"/>
      <c r="H159" s="65"/>
      <c r="I159" s="21"/>
      <c r="J159" s="51" t="s">
        <v>92</v>
      </c>
      <c r="K159" s="52"/>
      <c r="L159" s="52"/>
      <c r="M159" s="52"/>
      <c r="N159" s="52"/>
      <c r="O159" s="52"/>
      <c r="P159" s="52"/>
      <c r="Q159" s="52"/>
      <c r="R159" s="52"/>
      <c r="S159" s="52"/>
      <c r="T159" s="52"/>
      <c r="U159" s="52"/>
      <c r="V159" s="52"/>
      <c r="W159" s="52"/>
      <c r="X159" s="52"/>
      <c r="Y159" s="52"/>
      <c r="Z159" s="52"/>
      <c r="AA159" s="52"/>
      <c r="AB159" s="52"/>
      <c r="AC159" s="52"/>
      <c r="AD159" s="52"/>
      <c r="AE159" s="52"/>
      <c r="AF159" s="52"/>
      <c r="AG159" s="52"/>
      <c r="AH159" s="52"/>
      <c r="AI159" s="52"/>
      <c r="AJ159" s="52"/>
      <c r="AK159" s="52"/>
      <c r="AL159" s="52"/>
      <c r="AM159" s="52"/>
      <c r="AN159" s="52"/>
      <c r="AO159" s="53"/>
    </row>
    <row r="160" spans="6:41" x14ac:dyDescent="0.4">
      <c r="F160" s="65"/>
      <c r="G160" s="65"/>
      <c r="H160" s="65"/>
      <c r="J160" s="59" t="s">
        <v>56</v>
      </c>
      <c r="K160" s="60"/>
      <c r="L160" s="60"/>
      <c r="M160" s="60"/>
      <c r="N160" s="60" t="s">
        <v>57</v>
      </c>
      <c r="O160" s="60"/>
      <c r="P160" s="60"/>
      <c r="Q160" s="60"/>
      <c r="R160" s="60" t="s">
        <v>58</v>
      </c>
      <c r="S160" s="60"/>
      <c r="T160" s="60"/>
      <c r="U160" s="60"/>
      <c r="V160" s="60" t="s">
        <v>59</v>
      </c>
      <c r="W160" s="60"/>
      <c r="X160" s="60"/>
      <c r="Y160" s="60"/>
      <c r="Z160" s="60" t="s">
        <v>60</v>
      </c>
      <c r="AA160" s="60"/>
      <c r="AB160" s="60"/>
      <c r="AC160" s="60"/>
      <c r="AD160" s="60" t="s">
        <v>61</v>
      </c>
      <c r="AE160" s="60"/>
      <c r="AF160" s="60"/>
      <c r="AG160" s="60"/>
      <c r="AH160" s="60" t="s">
        <v>62</v>
      </c>
      <c r="AI160" s="60"/>
      <c r="AJ160" s="60"/>
      <c r="AK160" s="60"/>
      <c r="AL160" s="60" t="s">
        <v>63</v>
      </c>
      <c r="AM160" s="60"/>
      <c r="AN160" s="60"/>
      <c r="AO160" s="61"/>
    </row>
    <row r="161" spans="6:41" x14ac:dyDescent="0.4">
      <c r="F161" s="49" t="s">
        <v>81</v>
      </c>
      <c r="G161" s="49"/>
      <c r="H161" s="49"/>
      <c r="I161" s="21"/>
      <c r="J161" s="51" t="s">
        <v>92</v>
      </c>
      <c r="K161" s="52"/>
      <c r="L161" s="52"/>
      <c r="M161" s="52"/>
      <c r="N161" s="52"/>
      <c r="O161" s="52"/>
      <c r="P161" s="52"/>
      <c r="Q161" s="52"/>
      <c r="R161" s="52"/>
      <c r="S161" s="52"/>
      <c r="T161" s="52"/>
      <c r="U161" s="52"/>
      <c r="V161" s="52"/>
      <c r="W161" s="52"/>
      <c r="X161" s="52"/>
      <c r="Y161" s="52"/>
      <c r="Z161" s="52"/>
      <c r="AA161" s="52"/>
      <c r="AB161" s="52"/>
      <c r="AC161" s="52"/>
      <c r="AD161" s="52"/>
      <c r="AE161" s="52"/>
      <c r="AF161" s="52"/>
      <c r="AG161" s="52"/>
      <c r="AH161" s="52"/>
      <c r="AI161" s="52"/>
      <c r="AJ161" s="52"/>
      <c r="AK161" s="52"/>
      <c r="AL161" s="52"/>
      <c r="AM161" s="52"/>
      <c r="AN161" s="52"/>
      <c r="AO161" s="53"/>
    </row>
    <row r="162" spans="6:41" x14ac:dyDescent="0.4">
      <c r="F162" s="65"/>
      <c r="G162" s="65"/>
      <c r="H162" s="65"/>
      <c r="I162" s="2"/>
      <c r="J162" s="59" t="s">
        <v>64</v>
      </c>
      <c r="K162" s="60"/>
      <c r="L162" s="60"/>
      <c r="M162" s="60"/>
      <c r="N162" s="60" t="s">
        <v>65</v>
      </c>
      <c r="O162" s="60"/>
      <c r="P162" s="60"/>
      <c r="Q162" s="60"/>
      <c r="R162" s="60" t="s">
        <v>66</v>
      </c>
      <c r="S162" s="60"/>
      <c r="T162" s="60"/>
      <c r="U162" s="60"/>
      <c r="V162" s="60" t="s">
        <v>67</v>
      </c>
      <c r="W162" s="60"/>
      <c r="X162" s="60"/>
      <c r="Y162" s="60"/>
      <c r="Z162" s="60" t="s">
        <v>68</v>
      </c>
      <c r="AA162" s="60"/>
      <c r="AB162" s="60"/>
      <c r="AC162" s="60"/>
      <c r="AD162" s="60" t="s">
        <v>69</v>
      </c>
      <c r="AE162" s="60"/>
      <c r="AF162" s="60"/>
      <c r="AG162" s="60"/>
      <c r="AH162" s="60" t="s">
        <v>70</v>
      </c>
      <c r="AI162" s="60"/>
      <c r="AJ162" s="60"/>
      <c r="AK162" s="60"/>
      <c r="AL162" s="60" t="s">
        <v>71</v>
      </c>
      <c r="AM162" s="60"/>
      <c r="AN162" s="60"/>
      <c r="AO162" s="61"/>
    </row>
    <row r="163" spans="6:41" x14ac:dyDescent="0.4">
      <c r="F163" s="49" t="s">
        <v>82</v>
      </c>
      <c r="G163" s="49"/>
      <c r="H163" s="49"/>
      <c r="I163" s="21"/>
      <c r="J163" s="51" t="s">
        <v>92</v>
      </c>
      <c r="K163" s="52"/>
      <c r="L163" s="52"/>
      <c r="M163" s="52"/>
      <c r="N163" s="52"/>
      <c r="O163" s="52"/>
      <c r="P163" s="52"/>
      <c r="Q163" s="52"/>
      <c r="R163" s="52"/>
      <c r="S163" s="52"/>
      <c r="T163" s="52"/>
      <c r="U163" s="52"/>
      <c r="V163" s="52"/>
      <c r="W163" s="52"/>
      <c r="X163" s="52"/>
      <c r="Y163" s="52"/>
      <c r="Z163" s="52"/>
      <c r="AA163" s="52"/>
      <c r="AB163" s="52"/>
      <c r="AC163" s="52"/>
      <c r="AD163" s="52"/>
      <c r="AE163" s="52"/>
      <c r="AF163" s="52"/>
      <c r="AG163" s="52"/>
      <c r="AH163" s="52"/>
      <c r="AI163" s="52"/>
      <c r="AJ163" s="52"/>
      <c r="AK163" s="52"/>
      <c r="AL163" s="52"/>
      <c r="AM163" s="52"/>
      <c r="AN163" s="52"/>
      <c r="AO163" s="53"/>
    </row>
    <row r="164" spans="6:41" x14ac:dyDescent="0.4">
      <c r="F164" s="65"/>
      <c r="G164" s="65"/>
      <c r="H164" s="65"/>
      <c r="I164" s="2"/>
      <c r="J164" s="59" t="s">
        <v>72</v>
      </c>
      <c r="K164" s="60"/>
      <c r="L164" s="60"/>
      <c r="M164" s="60"/>
      <c r="N164" s="60" t="s">
        <v>73</v>
      </c>
      <c r="O164" s="60"/>
      <c r="P164" s="60"/>
      <c r="Q164" s="60"/>
      <c r="R164" s="60" t="s">
        <v>74</v>
      </c>
      <c r="S164" s="60"/>
      <c r="T164" s="60"/>
      <c r="U164" s="60"/>
      <c r="V164" s="60" t="s">
        <v>75</v>
      </c>
      <c r="W164" s="60"/>
      <c r="X164" s="60"/>
      <c r="Y164" s="60"/>
      <c r="Z164" s="60" t="s">
        <v>76</v>
      </c>
      <c r="AA164" s="60"/>
      <c r="AB164" s="60"/>
      <c r="AC164" s="60"/>
      <c r="AD164" s="60" t="s">
        <v>77</v>
      </c>
      <c r="AE164" s="60"/>
      <c r="AF164" s="60"/>
      <c r="AG164" s="60"/>
      <c r="AH164" s="60" t="s">
        <v>78</v>
      </c>
      <c r="AI164" s="60"/>
      <c r="AJ164" s="60"/>
      <c r="AK164" s="60"/>
      <c r="AL164" s="60" t="s">
        <v>79</v>
      </c>
      <c r="AM164" s="60"/>
      <c r="AN164" s="60"/>
      <c r="AO164" s="61"/>
    </row>
    <row r="165" spans="6:41" x14ac:dyDescent="0.4">
      <c r="F165" s="49" t="s">
        <v>83</v>
      </c>
      <c r="G165" s="49"/>
      <c r="H165" s="49"/>
      <c r="I165" s="21"/>
      <c r="J165" s="62" t="s">
        <v>92</v>
      </c>
      <c r="K165" s="63"/>
      <c r="L165" s="63"/>
      <c r="M165" s="63"/>
      <c r="N165" s="63"/>
      <c r="O165" s="63"/>
      <c r="P165" s="63"/>
      <c r="Q165" s="63"/>
      <c r="R165" s="63"/>
      <c r="S165" s="63"/>
      <c r="T165" s="63"/>
      <c r="U165" s="63"/>
      <c r="V165" s="63"/>
      <c r="W165" s="63"/>
      <c r="X165" s="63"/>
      <c r="Y165" s="63"/>
      <c r="Z165" s="63"/>
      <c r="AA165" s="63"/>
      <c r="AB165" s="63"/>
      <c r="AC165" s="63"/>
      <c r="AD165" s="63"/>
      <c r="AE165" s="63"/>
      <c r="AF165" s="63"/>
      <c r="AG165" s="63"/>
      <c r="AH165" s="63"/>
      <c r="AI165" s="63"/>
      <c r="AJ165" s="63"/>
      <c r="AK165" s="63"/>
      <c r="AL165" s="63"/>
      <c r="AM165" s="63"/>
      <c r="AN165" s="63"/>
      <c r="AO165" s="64"/>
    </row>
    <row r="166" spans="6:41" x14ac:dyDescent="0.4">
      <c r="F166" s="65"/>
      <c r="G166" s="65"/>
      <c r="H166" s="65"/>
      <c r="I166" s="2"/>
      <c r="J166" s="59" t="s">
        <v>147</v>
      </c>
      <c r="K166" s="60"/>
      <c r="L166" s="60"/>
      <c r="M166" s="60"/>
      <c r="N166" s="60" t="s">
        <v>148</v>
      </c>
      <c r="O166" s="60"/>
      <c r="P166" s="60"/>
      <c r="Q166" s="60"/>
      <c r="R166" s="60" t="s">
        <v>149</v>
      </c>
      <c r="S166" s="60"/>
      <c r="T166" s="60"/>
      <c r="U166" s="60"/>
      <c r="V166" s="60" t="s">
        <v>150</v>
      </c>
      <c r="W166" s="60"/>
      <c r="X166" s="60"/>
      <c r="Y166" s="60"/>
      <c r="Z166" s="60" t="s">
        <v>151</v>
      </c>
      <c r="AA166" s="60"/>
      <c r="AB166" s="60"/>
      <c r="AC166" s="60"/>
      <c r="AD166" s="60" t="s">
        <v>152</v>
      </c>
      <c r="AE166" s="60"/>
      <c r="AF166" s="60"/>
      <c r="AG166" s="60"/>
      <c r="AH166" s="60" t="s">
        <v>153</v>
      </c>
      <c r="AI166" s="60"/>
      <c r="AJ166" s="60"/>
      <c r="AK166" s="60"/>
      <c r="AL166" s="60" t="s">
        <v>154</v>
      </c>
      <c r="AM166" s="60"/>
      <c r="AN166" s="60"/>
      <c r="AO166" s="61"/>
    </row>
    <row r="167" spans="6:41" x14ac:dyDescent="0.4">
      <c r="F167" s="49" t="s">
        <v>84</v>
      </c>
      <c r="G167" s="49"/>
      <c r="H167" s="49"/>
      <c r="I167" s="21"/>
      <c r="J167" s="51" t="s">
        <v>92</v>
      </c>
      <c r="K167" s="52"/>
      <c r="L167" s="52"/>
      <c r="M167" s="52"/>
      <c r="N167" s="52"/>
      <c r="O167" s="52"/>
      <c r="P167" s="52"/>
      <c r="Q167" s="52"/>
      <c r="R167" s="52"/>
      <c r="S167" s="52"/>
      <c r="T167" s="52"/>
      <c r="U167" s="52"/>
      <c r="V167" s="52"/>
      <c r="W167" s="52"/>
      <c r="X167" s="52"/>
      <c r="Y167" s="52"/>
      <c r="Z167" s="52"/>
      <c r="AA167" s="52"/>
      <c r="AB167" s="52"/>
      <c r="AC167" s="52"/>
      <c r="AD167" s="52"/>
      <c r="AE167" s="52"/>
      <c r="AF167" s="52"/>
      <c r="AG167" s="52"/>
      <c r="AH167" s="52"/>
      <c r="AI167" s="52"/>
      <c r="AJ167" s="52"/>
      <c r="AK167" s="52"/>
      <c r="AL167" s="52"/>
      <c r="AM167" s="52"/>
      <c r="AN167" s="52"/>
      <c r="AO167" s="53"/>
    </row>
    <row r="168" spans="6:41" x14ac:dyDescent="0.4">
      <c r="F168" s="65"/>
      <c r="G168" s="65"/>
      <c r="H168" s="65"/>
      <c r="J168" s="59" t="s">
        <v>155</v>
      </c>
      <c r="K168" s="60"/>
      <c r="L168" s="60"/>
      <c r="M168" s="60"/>
      <c r="N168" s="60" t="s">
        <v>156</v>
      </c>
      <c r="O168" s="60"/>
      <c r="P168" s="60"/>
      <c r="Q168" s="60"/>
      <c r="R168" s="60" t="s">
        <v>157</v>
      </c>
      <c r="S168" s="60"/>
      <c r="T168" s="60"/>
      <c r="U168" s="60"/>
      <c r="V168" s="60" t="s">
        <v>158</v>
      </c>
      <c r="W168" s="60"/>
      <c r="X168" s="60"/>
      <c r="Y168" s="60"/>
      <c r="Z168" s="60" t="s">
        <v>159</v>
      </c>
      <c r="AA168" s="60"/>
      <c r="AB168" s="60"/>
      <c r="AC168" s="60"/>
      <c r="AD168" s="60" t="s">
        <v>160</v>
      </c>
      <c r="AE168" s="60"/>
      <c r="AF168" s="60"/>
      <c r="AG168" s="60"/>
      <c r="AH168" s="60" t="s">
        <v>161</v>
      </c>
      <c r="AI168" s="60"/>
      <c r="AJ168" s="60"/>
      <c r="AK168" s="60"/>
      <c r="AL168" s="60" t="s">
        <v>162</v>
      </c>
      <c r="AM168" s="60"/>
      <c r="AN168" s="60"/>
      <c r="AO168" s="61"/>
    </row>
    <row r="169" spans="6:41" x14ac:dyDescent="0.4">
      <c r="F169" s="49" t="s">
        <v>85</v>
      </c>
      <c r="G169" s="49"/>
      <c r="H169" s="49"/>
      <c r="I169" s="21"/>
      <c r="J169" s="51" t="s">
        <v>92</v>
      </c>
      <c r="K169" s="52"/>
      <c r="L169" s="52"/>
      <c r="M169" s="52"/>
      <c r="N169" s="52"/>
      <c r="O169" s="52"/>
      <c r="P169" s="52"/>
      <c r="Q169" s="52"/>
      <c r="R169" s="52"/>
      <c r="S169" s="52"/>
      <c r="T169" s="52"/>
      <c r="U169" s="52"/>
      <c r="V169" s="52"/>
      <c r="W169" s="52"/>
      <c r="X169" s="52"/>
      <c r="Y169" s="52"/>
      <c r="Z169" s="52"/>
      <c r="AA169" s="52"/>
      <c r="AB169" s="52"/>
      <c r="AC169" s="52"/>
      <c r="AD169" s="52"/>
      <c r="AE169" s="52"/>
      <c r="AF169" s="52"/>
      <c r="AG169" s="52"/>
      <c r="AH169" s="52"/>
      <c r="AI169" s="52"/>
      <c r="AJ169" s="52"/>
      <c r="AK169" s="52"/>
      <c r="AL169" s="52"/>
      <c r="AM169" s="52"/>
      <c r="AN169" s="52"/>
      <c r="AO169" s="53"/>
    </row>
    <row r="170" spans="6:41" x14ac:dyDescent="0.4">
      <c r="F170" s="50"/>
      <c r="G170" s="50"/>
      <c r="H170" s="50"/>
      <c r="I170" s="2"/>
      <c r="J170" s="59" t="s">
        <v>163</v>
      </c>
      <c r="K170" s="60"/>
      <c r="L170" s="60"/>
      <c r="M170" s="60"/>
      <c r="N170" s="60" t="s">
        <v>164</v>
      </c>
      <c r="O170" s="60"/>
      <c r="P170" s="60"/>
      <c r="Q170" s="60"/>
      <c r="R170" s="60" t="s">
        <v>165</v>
      </c>
      <c r="S170" s="60"/>
      <c r="T170" s="60"/>
      <c r="U170" s="60"/>
      <c r="V170" s="60" t="s">
        <v>166</v>
      </c>
      <c r="W170" s="60"/>
      <c r="X170" s="60"/>
      <c r="Y170" s="60"/>
      <c r="Z170" s="60" t="s">
        <v>167</v>
      </c>
      <c r="AA170" s="60"/>
      <c r="AB170" s="60"/>
      <c r="AC170" s="60"/>
      <c r="AD170" s="60" t="s">
        <v>168</v>
      </c>
      <c r="AE170" s="60"/>
      <c r="AF170" s="60"/>
      <c r="AG170" s="60"/>
      <c r="AH170" s="60" t="s">
        <v>169</v>
      </c>
      <c r="AI170" s="60"/>
      <c r="AJ170" s="60"/>
      <c r="AK170" s="60"/>
      <c r="AL170" s="60" t="s">
        <v>170</v>
      </c>
      <c r="AM170" s="60"/>
      <c r="AN170" s="60"/>
      <c r="AO170" s="61"/>
    </row>
    <row r="171" spans="6:41" x14ac:dyDescent="0.4">
      <c r="F171" s="49" t="s">
        <v>86</v>
      </c>
      <c r="G171" s="49"/>
      <c r="H171" s="49"/>
      <c r="I171" s="21"/>
      <c r="J171" s="51" t="s">
        <v>92</v>
      </c>
      <c r="K171" s="52"/>
      <c r="L171" s="52"/>
      <c r="M171" s="52"/>
      <c r="N171" s="52"/>
      <c r="O171" s="52"/>
      <c r="P171" s="52"/>
      <c r="Q171" s="52"/>
      <c r="R171" s="52"/>
      <c r="S171" s="52"/>
      <c r="T171" s="52"/>
      <c r="U171" s="52"/>
      <c r="V171" s="52"/>
      <c r="W171" s="52"/>
      <c r="X171" s="52"/>
      <c r="Y171" s="52"/>
      <c r="Z171" s="52"/>
      <c r="AA171" s="52"/>
      <c r="AB171" s="52"/>
      <c r="AC171" s="52"/>
      <c r="AD171" s="52"/>
      <c r="AE171" s="52"/>
      <c r="AF171" s="52"/>
      <c r="AG171" s="52"/>
      <c r="AH171" s="52"/>
      <c r="AI171" s="52"/>
      <c r="AJ171" s="52"/>
      <c r="AK171" s="52"/>
      <c r="AL171" s="52"/>
      <c r="AM171" s="52"/>
      <c r="AN171" s="52"/>
      <c r="AO171" s="53"/>
    </row>
    <row r="172" spans="6:41" ht="19.5" thickBot="1" x14ac:dyDescent="0.45">
      <c r="F172" s="65"/>
      <c r="G172" s="65"/>
      <c r="H172" s="65"/>
      <c r="I172" s="2"/>
      <c r="J172" s="54" t="s">
        <v>171</v>
      </c>
      <c r="K172" s="55"/>
      <c r="L172" s="55"/>
      <c r="M172" s="55"/>
      <c r="N172" s="55" t="s">
        <v>172</v>
      </c>
      <c r="O172" s="55"/>
      <c r="P172" s="55"/>
      <c r="Q172" s="55"/>
      <c r="R172" s="55" t="s">
        <v>173</v>
      </c>
      <c r="S172" s="55"/>
      <c r="T172" s="55"/>
      <c r="U172" s="55"/>
      <c r="V172" s="55" t="s">
        <v>174</v>
      </c>
      <c r="W172" s="55"/>
      <c r="X172" s="55"/>
      <c r="Y172" s="55"/>
      <c r="Z172" s="55" t="s">
        <v>175</v>
      </c>
      <c r="AA172" s="55"/>
      <c r="AB172" s="55"/>
      <c r="AC172" s="55"/>
      <c r="AD172" s="55" t="s">
        <v>176</v>
      </c>
      <c r="AE172" s="55"/>
      <c r="AF172" s="55"/>
      <c r="AG172" s="55"/>
      <c r="AH172" s="55" t="s">
        <v>177</v>
      </c>
      <c r="AI172" s="55"/>
      <c r="AJ172" s="55"/>
      <c r="AK172" s="55"/>
      <c r="AL172" s="55" t="s">
        <v>178</v>
      </c>
      <c r="AM172" s="55"/>
      <c r="AN172" s="55"/>
      <c r="AO172" s="56"/>
    </row>
    <row r="173" spans="6:41" ht="19.5" thickTop="1" x14ac:dyDescent="0.4">
      <c r="F173" s="49" t="s">
        <v>179</v>
      </c>
      <c r="G173" s="49"/>
      <c r="H173" s="49"/>
      <c r="I173" s="21"/>
      <c r="J173" s="81" t="s">
        <v>93</v>
      </c>
      <c r="K173" s="82"/>
      <c r="L173" s="82"/>
      <c r="M173" s="82"/>
      <c r="N173" s="82"/>
      <c r="O173" s="82"/>
      <c r="P173" s="82"/>
      <c r="Q173" s="82"/>
      <c r="R173" s="82"/>
      <c r="S173" s="82"/>
      <c r="T173" s="82"/>
      <c r="U173" s="82"/>
      <c r="V173" s="82"/>
      <c r="W173" s="82"/>
      <c r="X173" s="82"/>
      <c r="Y173" s="82"/>
      <c r="Z173" s="82"/>
      <c r="AA173" s="82"/>
      <c r="AB173" s="82"/>
      <c r="AC173" s="82"/>
      <c r="AD173" s="82"/>
      <c r="AE173" s="82"/>
      <c r="AF173" s="82"/>
      <c r="AG173" s="82"/>
      <c r="AH173" s="82"/>
      <c r="AI173" s="82"/>
      <c r="AJ173" s="82"/>
      <c r="AK173" s="82"/>
      <c r="AL173" s="82"/>
      <c r="AM173" s="82"/>
      <c r="AN173" s="82"/>
      <c r="AO173" s="83"/>
    </row>
    <row r="174" spans="6:41" x14ac:dyDescent="0.4">
      <c r="F174" s="50"/>
      <c r="G174" s="50"/>
      <c r="H174" s="50"/>
      <c r="I174" s="2"/>
      <c r="J174" s="59" t="s">
        <v>2</v>
      </c>
      <c r="K174" s="60"/>
      <c r="L174" s="60"/>
      <c r="M174" s="60"/>
      <c r="N174" s="60" t="s">
        <v>6</v>
      </c>
      <c r="O174" s="60"/>
      <c r="P174" s="60"/>
      <c r="Q174" s="60"/>
      <c r="R174" s="60" t="s">
        <v>5</v>
      </c>
      <c r="S174" s="60"/>
      <c r="T174" s="60"/>
      <c r="U174" s="60"/>
      <c r="V174" s="60" t="s">
        <v>4</v>
      </c>
      <c r="W174" s="60"/>
      <c r="X174" s="60"/>
      <c r="Y174" s="60"/>
      <c r="Z174" s="60" t="s">
        <v>3</v>
      </c>
      <c r="AA174" s="60"/>
      <c r="AB174" s="60"/>
      <c r="AC174" s="60"/>
      <c r="AD174" s="60" t="s">
        <v>53</v>
      </c>
      <c r="AE174" s="60"/>
      <c r="AF174" s="60"/>
      <c r="AG174" s="60"/>
      <c r="AH174" s="60" t="s">
        <v>54</v>
      </c>
      <c r="AI174" s="60"/>
      <c r="AJ174" s="60"/>
      <c r="AK174" s="60"/>
      <c r="AL174" s="60" t="s">
        <v>55</v>
      </c>
      <c r="AM174" s="60"/>
      <c r="AN174" s="60"/>
      <c r="AO174" s="61"/>
    </row>
    <row r="175" spans="6:41" x14ac:dyDescent="0.4">
      <c r="F175" s="65" t="s">
        <v>180</v>
      </c>
      <c r="G175" s="65"/>
      <c r="H175" s="65"/>
      <c r="I175" s="21"/>
      <c r="J175" s="75" t="s">
        <v>93</v>
      </c>
      <c r="K175" s="76"/>
      <c r="L175" s="76"/>
      <c r="M175" s="76"/>
      <c r="N175" s="76"/>
      <c r="O175" s="76"/>
      <c r="P175" s="76"/>
      <c r="Q175" s="76"/>
      <c r="R175" s="76"/>
      <c r="S175" s="76"/>
      <c r="T175" s="76"/>
      <c r="U175" s="76"/>
      <c r="V175" s="76"/>
      <c r="W175" s="76"/>
      <c r="X175" s="76"/>
      <c r="Y175" s="76"/>
      <c r="Z175" s="76"/>
      <c r="AA175" s="76"/>
      <c r="AB175" s="76"/>
      <c r="AC175" s="76"/>
      <c r="AD175" s="76"/>
      <c r="AE175" s="76"/>
      <c r="AF175" s="76"/>
      <c r="AG175" s="76"/>
      <c r="AH175" s="76"/>
      <c r="AI175" s="76"/>
      <c r="AJ175" s="76"/>
      <c r="AK175" s="76"/>
      <c r="AL175" s="76"/>
      <c r="AM175" s="76"/>
      <c r="AN175" s="76"/>
      <c r="AO175" s="77"/>
    </row>
    <row r="176" spans="6:41" x14ac:dyDescent="0.4">
      <c r="F176" s="65"/>
      <c r="G176" s="65"/>
      <c r="H176" s="65"/>
      <c r="J176" s="59" t="s">
        <v>56</v>
      </c>
      <c r="K176" s="60"/>
      <c r="L176" s="60"/>
      <c r="M176" s="60"/>
      <c r="N176" s="60" t="s">
        <v>57</v>
      </c>
      <c r="O176" s="60"/>
      <c r="P176" s="60"/>
      <c r="Q176" s="60"/>
      <c r="R176" s="60" t="s">
        <v>58</v>
      </c>
      <c r="S176" s="60"/>
      <c r="T176" s="60"/>
      <c r="U176" s="60"/>
      <c r="V176" s="60" t="s">
        <v>59</v>
      </c>
      <c r="W176" s="60"/>
      <c r="X176" s="60"/>
      <c r="Y176" s="60"/>
      <c r="Z176" s="60" t="s">
        <v>60</v>
      </c>
      <c r="AA176" s="60"/>
      <c r="AB176" s="60"/>
      <c r="AC176" s="60"/>
      <c r="AD176" s="60" t="s">
        <v>61</v>
      </c>
      <c r="AE176" s="60"/>
      <c r="AF176" s="60"/>
      <c r="AG176" s="60"/>
      <c r="AH176" s="60" t="s">
        <v>62</v>
      </c>
      <c r="AI176" s="60"/>
      <c r="AJ176" s="60"/>
      <c r="AK176" s="60"/>
      <c r="AL176" s="60" t="s">
        <v>63</v>
      </c>
      <c r="AM176" s="60"/>
      <c r="AN176" s="60"/>
      <c r="AO176" s="61"/>
    </row>
    <row r="177" spans="6:41" x14ac:dyDescent="0.4">
      <c r="F177" s="49" t="s">
        <v>181</v>
      </c>
      <c r="G177" s="49"/>
      <c r="H177" s="49"/>
      <c r="I177" s="21"/>
      <c r="J177" s="75" t="s">
        <v>93</v>
      </c>
      <c r="K177" s="76"/>
      <c r="L177" s="76"/>
      <c r="M177" s="76"/>
      <c r="N177" s="76"/>
      <c r="O177" s="76"/>
      <c r="P177" s="76"/>
      <c r="Q177" s="76"/>
      <c r="R177" s="76"/>
      <c r="S177" s="76"/>
      <c r="T177" s="76"/>
      <c r="U177" s="76"/>
      <c r="V177" s="76"/>
      <c r="W177" s="76"/>
      <c r="X177" s="76"/>
      <c r="Y177" s="76"/>
      <c r="Z177" s="76"/>
      <c r="AA177" s="76"/>
      <c r="AB177" s="76"/>
      <c r="AC177" s="76"/>
      <c r="AD177" s="76"/>
      <c r="AE177" s="76"/>
      <c r="AF177" s="76"/>
      <c r="AG177" s="76"/>
      <c r="AH177" s="76"/>
      <c r="AI177" s="76"/>
      <c r="AJ177" s="76"/>
      <c r="AK177" s="76"/>
      <c r="AL177" s="76"/>
      <c r="AM177" s="76"/>
      <c r="AN177" s="76"/>
      <c r="AO177" s="77"/>
    </row>
    <row r="178" spans="6:41" x14ac:dyDescent="0.4">
      <c r="F178" s="65"/>
      <c r="G178" s="65"/>
      <c r="H178" s="65"/>
      <c r="I178" s="2"/>
      <c r="J178" s="59" t="s">
        <v>64</v>
      </c>
      <c r="K178" s="60"/>
      <c r="L178" s="60"/>
      <c r="M178" s="60"/>
      <c r="N178" s="60" t="s">
        <v>65</v>
      </c>
      <c r="O178" s="60"/>
      <c r="P178" s="60"/>
      <c r="Q178" s="60"/>
      <c r="R178" s="60" t="s">
        <v>66</v>
      </c>
      <c r="S178" s="60"/>
      <c r="T178" s="60"/>
      <c r="U178" s="60"/>
      <c r="V178" s="60" t="s">
        <v>67</v>
      </c>
      <c r="W178" s="60"/>
      <c r="X178" s="60"/>
      <c r="Y178" s="60"/>
      <c r="Z178" s="60" t="s">
        <v>68</v>
      </c>
      <c r="AA178" s="60"/>
      <c r="AB178" s="60"/>
      <c r="AC178" s="60"/>
      <c r="AD178" s="60" t="s">
        <v>69</v>
      </c>
      <c r="AE178" s="60"/>
      <c r="AF178" s="60"/>
      <c r="AG178" s="60"/>
      <c r="AH178" s="60" t="s">
        <v>70</v>
      </c>
      <c r="AI178" s="60"/>
      <c r="AJ178" s="60"/>
      <c r="AK178" s="60"/>
      <c r="AL178" s="60" t="s">
        <v>71</v>
      </c>
      <c r="AM178" s="60"/>
      <c r="AN178" s="60"/>
      <c r="AO178" s="61"/>
    </row>
    <row r="179" spans="6:41" x14ac:dyDescent="0.4">
      <c r="F179" s="49" t="s">
        <v>182</v>
      </c>
      <c r="G179" s="49"/>
      <c r="H179" s="49"/>
      <c r="I179" s="21"/>
      <c r="J179" s="75" t="s">
        <v>93</v>
      </c>
      <c r="K179" s="76"/>
      <c r="L179" s="76"/>
      <c r="M179" s="76"/>
      <c r="N179" s="76"/>
      <c r="O179" s="76"/>
      <c r="P179" s="76"/>
      <c r="Q179" s="76"/>
      <c r="R179" s="76"/>
      <c r="S179" s="76"/>
      <c r="T179" s="76"/>
      <c r="U179" s="76"/>
      <c r="V179" s="76"/>
      <c r="W179" s="76"/>
      <c r="X179" s="76"/>
      <c r="Y179" s="76"/>
      <c r="Z179" s="76"/>
      <c r="AA179" s="76"/>
      <c r="AB179" s="76"/>
      <c r="AC179" s="76"/>
      <c r="AD179" s="76"/>
      <c r="AE179" s="76"/>
      <c r="AF179" s="76"/>
      <c r="AG179" s="76"/>
      <c r="AH179" s="76"/>
      <c r="AI179" s="76"/>
      <c r="AJ179" s="76"/>
      <c r="AK179" s="76"/>
      <c r="AL179" s="76"/>
      <c r="AM179" s="76"/>
      <c r="AN179" s="76"/>
      <c r="AO179" s="77"/>
    </row>
    <row r="180" spans="6:41" x14ac:dyDescent="0.4">
      <c r="F180" s="65"/>
      <c r="G180" s="65"/>
      <c r="H180" s="65"/>
      <c r="I180" s="2"/>
      <c r="J180" s="59" t="s">
        <v>72</v>
      </c>
      <c r="K180" s="60"/>
      <c r="L180" s="60"/>
      <c r="M180" s="60"/>
      <c r="N180" s="60" t="s">
        <v>73</v>
      </c>
      <c r="O180" s="60"/>
      <c r="P180" s="60"/>
      <c r="Q180" s="60"/>
      <c r="R180" s="60" t="s">
        <v>74</v>
      </c>
      <c r="S180" s="60"/>
      <c r="T180" s="60"/>
      <c r="U180" s="60"/>
      <c r="V180" s="60" t="s">
        <v>75</v>
      </c>
      <c r="W180" s="60"/>
      <c r="X180" s="60"/>
      <c r="Y180" s="60"/>
      <c r="Z180" s="60" t="s">
        <v>76</v>
      </c>
      <c r="AA180" s="60"/>
      <c r="AB180" s="60"/>
      <c r="AC180" s="60"/>
      <c r="AD180" s="60" t="s">
        <v>77</v>
      </c>
      <c r="AE180" s="60"/>
      <c r="AF180" s="60"/>
      <c r="AG180" s="60"/>
      <c r="AH180" s="60" t="s">
        <v>78</v>
      </c>
      <c r="AI180" s="60"/>
      <c r="AJ180" s="60"/>
      <c r="AK180" s="60"/>
      <c r="AL180" s="60" t="s">
        <v>79</v>
      </c>
      <c r="AM180" s="60"/>
      <c r="AN180" s="60"/>
      <c r="AO180" s="61"/>
    </row>
    <row r="181" spans="6:41" x14ac:dyDescent="0.4">
      <c r="F181" s="49" t="s">
        <v>184</v>
      </c>
      <c r="G181" s="49"/>
      <c r="H181" s="49"/>
      <c r="I181" s="21"/>
      <c r="J181" s="78" t="s">
        <v>93</v>
      </c>
      <c r="K181" s="79"/>
      <c r="L181" s="79"/>
      <c r="M181" s="79"/>
      <c r="N181" s="79"/>
      <c r="O181" s="79"/>
      <c r="P181" s="79"/>
      <c r="Q181" s="79"/>
      <c r="R181" s="79"/>
      <c r="S181" s="79"/>
      <c r="T181" s="79"/>
      <c r="U181" s="79"/>
      <c r="V181" s="79"/>
      <c r="W181" s="79"/>
      <c r="X181" s="79"/>
      <c r="Y181" s="79"/>
      <c r="Z181" s="79"/>
      <c r="AA181" s="79"/>
      <c r="AB181" s="79"/>
      <c r="AC181" s="79"/>
      <c r="AD181" s="79"/>
      <c r="AE181" s="79"/>
      <c r="AF181" s="79"/>
      <c r="AG181" s="79"/>
      <c r="AH181" s="79"/>
      <c r="AI181" s="79"/>
      <c r="AJ181" s="79"/>
      <c r="AK181" s="79"/>
      <c r="AL181" s="79"/>
      <c r="AM181" s="79"/>
      <c r="AN181" s="79"/>
      <c r="AO181" s="80"/>
    </row>
    <row r="182" spans="6:41" x14ac:dyDescent="0.4">
      <c r="F182" s="65"/>
      <c r="G182" s="65"/>
      <c r="H182" s="65"/>
      <c r="I182" s="2"/>
      <c r="J182" s="59" t="s">
        <v>147</v>
      </c>
      <c r="K182" s="60"/>
      <c r="L182" s="60"/>
      <c r="M182" s="60"/>
      <c r="N182" s="60" t="s">
        <v>148</v>
      </c>
      <c r="O182" s="60"/>
      <c r="P182" s="60"/>
      <c r="Q182" s="60"/>
      <c r="R182" s="60" t="s">
        <v>149</v>
      </c>
      <c r="S182" s="60"/>
      <c r="T182" s="60"/>
      <c r="U182" s="60"/>
      <c r="V182" s="60" t="s">
        <v>150</v>
      </c>
      <c r="W182" s="60"/>
      <c r="X182" s="60"/>
      <c r="Y182" s="60"/>
      <c r="Z182" s="60" t="s">
        <v>151</v>
      </c>
      <c r="AA182" s="60"/>
      <c r="AB182" s="60"/>
      <c r="AC182" s="60"/>
      <c r="AD182" s="60" t="s">
        <v>152</v>
      </c>
      <c r="AE182" s="60"/>
      <c r="AF182" s="60"/>
      <c r="AG182" s="60"/>
      <c r="AH182" s="60" t="s">
        <v>153</v>
      </c>
      <c r="AI182" s="60"/>
      <c r="AJ182" s="60"/>
      <c r="AK182" s="60"/>
      <c r="AL182" s="60" t="s">
        <v>154</v>
      </c>
      <c r="AM182" s="60"/>
      <c r="AN182" s="60"/>
      <c r="AO182" s="61"/>
    </row>
    <row r="183" spans="6:41" x14ac:dyDescent="0.4">
      <c r="F183" s="49" t="s">
        <v>185</v>
      </c>
      <c r="G183" s="49"/>
      <c r="H183" s="49"/>
      <c r="I183" s="21"/>
      <c r="J183" s="75" t="s">
        <v>93</v>
      </c>
      <c r="K183" s="76"/>
      <c r="L183" s="76"/>
      <c r="M183" s="76"/>
      <c r="N183" s="76"/>
      <c r="O183" s="76"/>
      <c r="P183" s="76"/>
      <c r="Q183" s="76"/>
      <c r="R183" s="76"/>
      <c r="S183" s="76"/>
      <c r="T183" s="76"/>
      <c r="U183" s="76"/>
      <c r="V183" s="76"/>
      <c r="W183" s="76"/>
      <c r="X183" s="76"/>
      <c r="Y183" s="76"/>
      <c r="Z183" s="76"/>
      <c r="AA183" s="76"/>
      <c r="AB183" s="76"/>
      <c r="AC183" s="76"/>
      <c r="AD183" s="76"/>
      <c r="AE183" s="76"/>
      <c r="AF183" s="76"/>
      <c r="AG183" s="76"/>
      <c r="AH183" s="76"/>
      <c r="AI183" s="76"/>
      <c r="AJ183" s="76"/>
      <c r="AK183" s="76"/>
      <c r="AL183" s="76"/>
      <c r="AM183" s="76"/>
      <c r="AN183" s="76"/>
      <c r="AO183" s="77"/>
    </row>
    <row r="184" spans="6:41" x14ac:dyDescent="0.4">
      <c r="F184" s="65"/>
      <c r="G184" s="65"/>
      <c r="H184" s="65"/>
      <c r="J184" s="59" t="s">
        <v>155</v>
      </c>
      <c r="K184" s="60"/>
      <c r="L184" s="60"/>
      <c r="M184" s="60"/>
      <c r="N184" s="60" t="s">
        <v>156</v>
      </c>
      <c r="O184" s="60"/>
      <c r="P184" s="60"/>
      <c r="Q184" s="60"/>
      <c r="R184" s="60" t="s">
        <v>157</v>
      </c>
      <c r="S184" s="60"/>
      <c r="T184" s="60"/>
      <c r="U184" s="60"/>
      <c r="V184" s="60" t="s">
        <v>158</v>
      </c>
      <c r="W184" s="60"/>
      <c r="X184" s="60"/>
      <c r="Y184" s="60"/>
      <c r="Z184" s="60" t="s">
        <v>159</v>
      </c>
      <c r="AA184" s="60"/>
      <c r="AB184" s="60"/>
      <c r="AC184" s="60"/>
      <c r="AD184" s="60" t="s">
        <v>160</v>
      </c>
      <c r="AE184" s="60"/>
      <c r="AF184" s="60"/>
      <c r="AG184" s="60"/>
      <c r="AH184" s="60" t="s">
        <v>161</v>
      </c>
      <c r="AI184" s="60"/>
      <c r="AJ184" s="60"/>
      <c r="AK184" s="60"/>
      <c r="AL184" s="60" t="s">
        <v>162</v>
      </c>
      <c r="AM184" s="60"/>
      <c r="AN184" s="60"/>
      <c r="AO184" s="61"/>
    </row>
    <row r="185" spans="6:41" x14ac:dyDescent="0.4">
      <c r="F185" s="49" t="s">
        <v>186</v>
      </c>
      <c r="G185" s="49"/>
      <c r="H185" s="49"/>
      <c r="I185" s="21"/>
      <c r="J185" s="75" t="s">
        <v>93</v>
      </c>
      <c r="K185" s="76"/>
      <c r="L185" s="76"/>
      <c r="M185" s="76"/>
      <c r="N185" s="76"/>
      <c r="O185" s="76"/>
      <c r="P185" s="76"/>
      <c r="Q185" s="76"/>
      <c r="R185" s="76"/>
      <c r="S185" s="76"/>
      <c r="T185" s="76"/>
      <c r="U185" s="76"/>
      <c r="V185" s="76"/>
      <c r="W185" s="76"/>
      <c r="X185" s="76"/>
      <c r="Y185" s="76"/>
      <c r="Z185" s="76"/>
      <c r="AA185" s="76"/>
      <c r="AB185" s="76"/>
      <c r="AC185" s="76"/>
      <c r="AD185" s="76"/>
      <c r="AE185" s="76"/>
      <c r="AF185" s="76"/>
      <c r="AG185" s="76"/>
      <c r="AH185" s="76"/>
      <c r="AI185" s="76"/>
      <c r="AJ185" s="76"/>
      <c r="AK185" s="76"/>
      <c r="AL185" s="76"/>
      <c r="AM185" s="76"/>
      <c r="AN185" s="76"/>
      <c r="AO185" s="77"/>
    </row>
    <row r="186" spans="6:41" x14ac:dyDescent="0.4">
      <c r="F186" s="50"/>
      <c r="G186" s="50"/>
      <c r="H186" s="50"/>
      <c r="I186" s="2"/>
      <c r="J186" s="59" t="s">
        <v>163</v>
      </c>
      <c r="K186" s="60"/>
      <c r="L186" s="60"/>
      <c r="M186" s="60"/>
      <c r="N186" s="60" t="s">
        <v>164</v>
      </c>
      <c r="O186" s="60"/>
      <c r="P186" s="60"/>
      <c r="Q186" s="60"/>
      <c r="R186" s="60" t="s">
        <v>165</v>
      </c>
      <c r="S186" s="60"/>
      <c r="T186" s="60"/>
      <c r="U186" s="60"/>
      <c r="V186" s="60" t="s">
        <v>166</v>
      </c>
      <c r="W186" s="60"/>
      <c r="X186" s="60"/>
      <c r="Y186" s="60"/>
      <c r="Z186" s="60" t="s">
        <v>167</v>
      </c>
      <c r="AA186" s="60"/>
      <c r="AB186" s="60"/>
      <c r="AC186" s="60"/>
      <c r="AD186" s="60" t="s">
        <v>168</v>
      </c>
      <c r="AE186" s="60"/>
      <c r="AF186" s="60"/>
      <c r="AG186" s="60"/>
      <c r="AH186" s="60" t="s">
        <v>169</v>
      </c>
      <c r="AI186" s="60"/>
      <c r="AJ186" s="60"/>
      <c r="AK186" s="60"/>
      <c r="AL186" s="60" t="s">
        <v>170</v>
      </c>
      <c r="AM186" s="60"/>
      <c r="AN186" s="60"/>
      <c r="AO186" s="61"/>
    </row>
    <row r="187" spans="6:41" x14ac:dyDescent="0.4">
      <c r="F187" s="49" t="s">
        <v>183</v>
      </c>
      <c r="G187" s="49"/>
      <c r="H187" s="49"/>
      <c r="I187" s="21"/>
      <c r="J187" s="75" t="s">
        <v>93</v>
      </c>
      <c r="K187" s="76"/>
      <c r="L187" s="76"/>
      <c r="M187" s="76"/>
      <c r="N187" s="76"/>
      <c r="O187" s="76"/>
      <c r="P187" s="76"/>
      <c r="Q187" s="76"/>
      <c r="R187" s="76"/>
      <c r="S187" s="76"/>
      <c r="T187" s="76"/>
      <c r="U187" s="76"/>
      <c r="V187" s="76"/>
      <c r="W187" s="76"/>
      <c r="X187" s="76"/>
      <c r="Y187" s="76"/>
      <c r="Z187" s="76"/>
      <c r="AA187" s="76"/>
      <c r="AB187" s="76"/>
      <c r="AC187" s="76"/>
      <c r="AD187" s="76"/>
      <c r="AE187" s="76"/>
      <c r="AF187" s="76"/>
      <c r="AG187" s="76"/>
      <c r="AH187" s="76"/>
      <c r="AI187" s="76"/>
      <c r="AJ187" s="76"/>
      <c r="AK187" s="76"/>
      <c r="AL187" s="76"/>
      <c r="AM187" s="76"/>
      <c r="AN187" s="76"/>
      <c r="AO187" s="77"/>
    </row>
    <row r="188" spans="6:41" ht="19.5" thickBot="1" x14ac:dyDescent="0.45">
      <c r="F188" s="65"/>
      <c r="G188" s="65"/>
      <c r="H188" s="65"/>
      <c r="I188" s="2"/>
      <c r="J188" s="54" t="s">
        <v>171</v>
      </c>
      <c r="K188" s="55"/>
      <c r="L188" s="55"/>
      <c r="M188" s="55"/>
      <c r="N188" s="55" t="s">
        <v>172</v>
      </c>
      <c r="O188" s="55"/>
      <c r="P188" s="55"/>
      <c r="Q188" s="55"/>
      <c r="R188" s="55" t="s">
        <v>173</v>
      </c>
      <c r="S188" s="55"/>
      <c r="T188" s="55"/>
      <c r="U188" s="55"/>
      <c r="V188" s="55" t="s">
        <v>174</v>
      </c>
      <c r="W188" s="55"/>
      <c r="X188" s="55"/>
      <c r="Y188" s="55"/>
      <c r="Z188" s="55" t="s">
        <v>175</v>
      </c>
      <c r="AA188" s="55"/>
      <c r="AB188" s="55"/>
      <c r="AC188" s="55"/>
      <c r="AD188" s="55" t="s">
        <v>176</v>
      </c>
      <c r="AE188" s="55"/>
      <c r="AF188" s="55"/>
      <c r="AG188" s="55"/>
      <c r="AH188" s="55" t="s">
        <v>177</v>
      </c>
      <c r="AI188" s="55"/>
      <c r="AJ188" s="55"/>
      <c r="AK188" s="55"/>
      <c r="AL188" s="55" t="s">
        <v>178</v>
      </c>
      <c r="AM188" s="55"/>
      <c r="AN188" s="55"/>
      <c r="AO188" s="56"/>
    </row>
    <row r="189" spans="6:41" ht="19.5" thickTop="1" x14ac:dyDescent="0.4">
      <c r="F189" s="49" t="s">
        <v>0</v>
      </c>
      <c r="G189" s="49"/>
      <c r="H189" s="49"/>
      <c r="I189" s="21"/>
      <c r="J189" s="66" t="s">
        <v>0</v>
      </c>
      <c r="K189" s="67"/>
      <c r="L189" s="67"/>
      <c r="M189" s="67"/>
      <c r="N189" s="67"/>
      <c r="O189" s="67"/>
      <c r="P189" s="67"/>
      <c r="Q189" s="67"/>
      <c r="R189" s="67"/>
      <c r="S189" s="67"/>
      <c r="T189" s="67"/>
      <c r="U189" s="67"/>
      <c r="V189" s="67"/>
      <c r="W189" s="67"/>
      <c r="X189" s="67"/>
      <c r="Y189" s="67"/>
      <c r="Z189" s="67"/>
      <c r="AA189" s="67"/>
      <c r="AB189" s="67"/>
      <c r="AC189" s="67"/>
      <c r="AD189" s="67"/>
      <c r="AE189" s="67"/>
      <c r="AF189" s="67"/>
      <c r="AG189" s="67"/>
      <c r="AH189" s="67"/>
      <c r="AI189" s="67"/>
      <c r="AJ189" s="67"/>
      <c r="AK189" s="67"/>
      <c r="AL189" s="67"/>
      <c r="AM189" s="67"/>
      <c r="AN189" s="67"/>
      <c r="AO189" s="68"/>
    </row>
    <row r="190" spans="6:41" ht="19.5" thickBot="1" x14ac:dyDescent="0.45">
      <c r="F190" s="65"/>
      <c r="G190" s="65"/>
      <c r="H190" s="65"/>
      <c r="I190" s="2"/>
      <c r="J190" s="69"/>
      <c r="K190" s="70"/>
      <c r="L190" s="70"/>
      <c r="M190" s="70"/>
      <c r="N190" s="70"/>
      <c r="O190" s="70"/>
      <c r="P190" s="70"/>
      <c r="Q190" s="70"/>
      <c r="R190" s="70"/>
      <c r="S190" s="70"/>
      <c r="T190" s="70"/>
      <c r="U190" s="70"/>
      <c r="V190" s="70"/>
      <c r="W190" s="70"/>
      <c r="X190" s="70"/>
      <c r="Y190" s="70"/>
      <c r="Z190" s="70"/>
      <c r="AA190" s="70"/>
      <c r="AB190" s="70"/>
      <c r="AC190" s="70"/>
      <c r="AD190" s="70"/>
      <c r="AE190" s="70"/>
      <c r="AF190" s="70"/>
      <c r="AG190" s="70"/>
      <c r="AH190" s="70"/>
      <c r="AI190" s="70"/>
      <c r="AJ190" s="70"/>
      <c r="AK190" s="70"/>
      <c r="AL190" s="70"/>
      <c r="AM190" s="70"/>
      <c r="AN190" s="70"/>
      <c r="AO190" s="71"/>
    </row>
    <row r="191" spans="6:41" ht="19.5" thickTop="1" x14ac:dyDescent="0.4">
      <c r="F191" s="57" t="s">
        <v>194</v>
      </c>
      <c r="G191" s="49"/>
      <c r="H191" s="49"/>
      <c r="I191" s="21"/>
      <c r="J191" s="72" t="s">
        <v>126</v>
      </c>
      <c r="K191" s="73"/>
      <c r="L191" s="73"/>
      <c r="M191" s="73"/>
      <c r="N191" s="73"/>
      <c r="O191" s="73"/>
      <c r="P191" s="73"/>
      <c r="Q191" s="73"/>
      <c r="R191" s="73"/>
      <c r="S191" s="73"/>
      <c r="T191" s="73"/>
      <c r="U191" s="73"/>
      <c r="V191" s="73"/>
      <c r="W191" s="73"/>
      <c r="X191" s="73"/>
      <c r="Y191" s="73"/>
      <c r="Z191" s="73"/>
      <c r="AA191" s="73"/>
      <c r="AB191" s="73"/>
      <c r="AC191" s="73"/>
      <c r="AD191" s="73"/>
      <c r="AE191" s="73"/>
      <c r="AF191" s="73"/>
      <c r="AG191" s="73"/>
      <c r="AH191" s="73"/>
      <c r="AI191" s="73"/>
      <c r="AJ191" s="73"/>
      <c r="AK191" s="73"/>
      <c r="AL191" s="73"/>
      <c r="AM191" s="73"/>
      <c r="AN191" s="73"/>
      <c r="AO191" s="74"/>
    </row>
    <row r="192" spans="6:41" x14ac:dyDescent="0.4">
      <c r="F192" s="50"/>
      <c r="G192" s="50"/>
      <c r="H192" s="50"/>
      <c r="I192" s="2"/>
      <c r="J192" s="59" t="s">
        <v>2</v>
      </c>
      <c r="K192" s="60"/>
      <c r="L192" s="60"/>
      <c r="M192" s="60"/>
      <c r="N192" s="60" t="s">
        <v>6</v>
      </c>
      <c r="O192" s="60"/>
      <c r="P192" s="60"/>
      <c r="Q192" s="60"/>
      <c r="R192" s="60" t="s">
        <v>5</v>
      </c>
      <c r="S192" s="60"/>
      <c r="T192" s="60"/>
      <c r="U192" s="60"/>
      <c r="V192" s="60" t="s">
        <v>4</v>
      </c>
      <c r="W192" s="60"/>
      <c r="X192" s="60"/>
      <c r="Y192" s="60"/>
      <c r="Z192" s="60" t="s">
        <v>3</v>
      </c>
      <c r="AA192" s="60"/>
      <c r="AB192" s="60"/>
      <c r="AC192" s="60"/>
      <c r="AD192" s="60" t="s">
        <v>53</v>
      </c>
      <c r="AE192" s="60"/>
      <c r="AF192" s="60"/>
      <c r="AG192" s="60"/>
      <c r="AH192" s="60" t="s">
        <v>54</v>
      </c>
      <c r="AI192" s="60"/>
      <c r="AJ192" s="60"/>
      <c r="AK192" s="60"/>
      <c r="AL192" s="60" t="s">
        <v>55</v>
      </c>
      <c r="AM192" s="60"/>
      <c r="AN192" s="60"/>
      <c r="AO192" s="61"/>
    </row>
    <row r="193" spans="6:41" x14ac:dyDescent="0.4">
      <c r="F193" s="57" t="s">
        <v>193</v>
      </c>
      <c r="G193" s="49"/>
      <c r="H193" s="49"/>
      <c r="I193" s="21"/>
      <c r="J193" s="51" t="s">
        <v>126</v>
      </c>
      <c r="K193" s="52"/>
      <c r="L193" s="52"/>
      <c r="M193" s="52"/>
      <c r="N193" s="52"/>
      <c r="O193" s="52"/>
      <c r="P193" s="52"/>
      <c r="Q193" s="52"/>
      <c r="R193" s="52"/>
      <c r="S193" s="52"/>
      <c r="T193" s="52"/>
      <c r="U193" s="52"/>
      <c r="V193" s="52"/>
      <c r="W193" s="52"/>
      <c r="X193" s="52"/>
      <c r="Y193" s="52"/>
      <c r="Z193" s="52"/>
      <c r="AA193" s="52"/>
      <c r="AB193" s="52"/>
      <c r="AC193" s="52"/>
      <c r="AD193" s="52"/>
      <c r="AE193" s="52"/>
      <c r="AF193" s="52"/>
      <c r="AG193" s="52"/>
      <c r="AH193" s="52"/>
      <c r="AI193" s="52"/>
      <c r="AJ193" s="52"/>
      <c r="AK193" s="52"/>
      <c r="AL193" s="52"/>
      <c r="AM193" s="52"/>
      <c r="AN193" s="52"/>
      <c r="AO193" s="53"/>
    </row>
    <row r="194" spans="6:41" x14ac:dyDescent="0.4">
      <c r="F194" s="50"/>
      <c r="G194" s="50"/>
      <c r="H194" s="50"/>
      <c r="J194" s="59" t="s">
        <v>56</v>
      </c>
      <c r="K194" s="60"/>
      <c r="L194" s="60"/>
      <c r="M194" s="60"/>
      <c r="N194" s="60" t="s">
        <v>57</v>
      </c>
      <c r="O194" s="60"/>
      <c r="P194" s="60"/>
      <c r="Q194" s="60"/>
      <c r="R194" s="60" t="s">
        <v>58</v>
      </c>
      <c r="S194" s="60"/>
      <c r="T194" s="60"/>
      <c r="U194" s="60"/>
      <c r="V194" s="60" t="s">
        <v>59</v>
      </c>
      <c r="W194" s="60"/>
      <c r="X194" s="60"/>
      <c r="Y194" s="60"/>
      <c r="Z194" s="60" t="s">
        <v>60</v>
      </c>
      <c r="AA194" s="60"/>
      <c r="AB194" s="60"/>
      <c r="AC194" s="60"/>
      <c r="AD194" s="60" t="s">
        <v>61</v>
      </c>
      <c r="AE194" s="60"/>
      <c r="AF194" s="60"/>
      <c r="AG194" s="60"/>
      <c r="AH194" s="60" t="s">
        <v>62</v>
      </c>
      <c r="AI194" s="60"/>
      <c r="AJ194" s="60"/>
      <c r="AK194" s="60"/>
      <c r="AL194" s="60" t="s">
        <v>63</v>
      </c>
      <c r="AM194" s="60"/>
      <c r="AN194" s="60"/>
      <c r="AO194" s="61"/>
    </row>
    <row r="195" spans="6:41" x14ac:dyDescent="0.4">
      <c r="F195" s="57" t="s">
        <v>192</v>
      </c>
      <c r="G195" s="49"/>
      <c r="H195" s="49"/>
      <c r="I195" s="21"/>
      <c r="J195" s="51" t="s">
        <v>126</v>
      </c>
      <c r="K195" s="52"/>
      <c r="L195" s="52"/>
      <c r="M195" s="52"/>
      <c r="N195" s="52"/>
      <c r="O195" s="52"/>
      <c r="P195" s="52"/>
      <c r="Q195" s="52"/>
      <c r="R195" s="52"/>
      <c r="S195" s="52"/>
      <c r="T195" s="52"/>
      <c r="U195" s="52"/>
      <c r="V195" s="52"/>
      <c r="W195" s="52"/>
      <c r="X195" s="52"/>
      <c r="Y195" s="52"/>
      <c r="Z195" s="52"/>
      <c r="AA195" s="52"/>
      <c r="AB195" s="52"/>
      <c r="AC195" s="52"/>
      <c r="AD195" s="52"/>
      <c r="AE195" s="52"/>
      <c r="AF195" s="52"/>
      <c r="AG195" s="52"/>
      <c r="AH195" s="52"/>
      <c r="AI195" s="52"/>
      <c r="AJ195" s="52"/>
      <c r="AK195" s="52"/>
      <c r="AL195" s="52"/>
      <c r="AM195" s="52"/>
      <c r="AN195" s="52"/>
      <c r="AO195" s="53"/>
    </row>
    <row r="196" spans="6:41" x14ac:dyDescent="0.4">
      <c r="F196" s="50"/>
      <c r="G196" s="50"/>
      <c r="H196" s="50"/>
      <c r="I196" s="2"/>
      <c r="J196" s="59" t="s">
        <v>64</v>
      </c>
      <c r="K196" s="60"/>
      <c r="L196" s="60"/>
      <c r="M196" s="60"/>
      <c r="N196" s="60" t="s">
        <v>65</v>
      </c>
      <c r="O196" s="60"/>
      <c r="P196" s="60"/>
      <c r="Q196" s="60"/>
      <c r="R196" s="60" t="s">
        <v>66</v>
      </c>
      <c r="S196" s="60"/>
      <c r="T196" s="60"/>
      <c r="U196" s="60"/>
      <c r="V196" s="60" t="s">
        <v>67</v>
      </c>
      <c r="W196" s="60"/>
      <c r="X196" s="60"/>
      <c r="Y196" s="60"/>
      <c r="Z196" s="60" t="s">
        <v>68</v>
      </c>
      <c r="AA196" s="60"/>
      <c r="AB196" s="60"/>
      <c r="AC196" s="60"/>
      <c r="AD196" s="60" t="s">
        <v>69</v>
      </c>
      <c r="AE196" s="60"/>
      <c r="AF196" s="60"/>
      <c r="AG196" s="60"/>
      <c r="AH196" s="60" t="s">
        <v>70</v>
      </c>
      <c r="AI196" s="60"/>
      <c r="AJ196" s="60"/>
      <c r="AK196" s="60"/>
      <c r="AL196" s="60" t="s">
        <v>71</v>
      </c>
      <c r="AM196" s="60"/>
      <c r="AN196" s="60"/>
      <c r="AO196" s="61"/>
    </row>
    <row r="197" spans="6:41" x14ac:dyDescent="0.4">
      <c r="F197" s="57" t="s">
        <v>191</v>
      </c>
      <c r="G197" s="49"/>
      <c r="H197" s="49"/>
      <c r="I197" s="21"/>
      <c r="J197" s="51" t="s">
        <v>126</v>
      </c>
      <c r="K197" s="52"/>
      <c r="L197" s="52"/>
      <c r="M197" s="52"/>
      <c r="N197" s="52"/>
      <c r="O197" s="52"/>
      <c r="P197" s="52"/>
      <c r="Q197" s="52"/>
      <c r="R197" s="52"/>
      <c r="S197" s="52"/>
      <c r="T197" s="52"/>
      <c r="U197" s="52"/>
      <c r="V197" s="52"/>
      <c r="W197" s="52"/>
      <c r="X197" s="52"/>
      <c r="Y197" s="52"/>
      <c r="Z197" s="52"/>
      <c r="AA197" s="52"/>
      <c r="AB197" s="52"/>
      <c r="AC197" s="52"/>
      <c r="AD197" s="52"/>
      <c r="AE197" s="52"/>
      <c r="AF197" s="52"/>
      <c r="AG197" s="52"/>
      <c r="AH197" s="52"/>
      <c r="AI197" s="52"/>
      <c r="AJ197" s="52"/>
      <c r="AK197" s="52"/>
      <c r="AL197" s="52"/>
      <c r="AM197" s="52"/>
      <c r="AN197" s="52"/>
      <c r="AO197" s="53"/>
    </row>
    <row r="198" spans="6:41" x14ac:dyDescent="0.4">
      <c r="F198" s="50"/>
      <c r="G198" s="50"/>
      <c r="H198" s="50"/>
      <c r="I198" s="2"/>
      <c r="J198" s="59" t="s">
        <v>72</v>
      </c>
      <c r="K198" s="60"/>
      <c r="L198" s="60"/>
      <c r="M198" s="60"/>
      <c r="N198" s="60" t="s">
        <v>73</v>
      </c>
      <c r="O198" s="60"/>
      <c r="P198" s="60"/>
      <c r="Q198" s="60"/>
      <c r="R198" s="60" t="s">
        <v>74</v>
      </c>
      <c r="S198" s="60"/>
      <c r="T198" s="60"/>
      <c r="U198" s="60"/>
      <c r="V198" s="60" t="s">
        <v>75</v>
      </c>
      <c r="W198" s="60"/>
      <c r="X198" s="60"/>
      <c r="Y198" s="60"/>
      <c r="Z198" s="60" t="s">
        <v>76</v>
      </c>
      <c r="AA198" s="60"/>
      <c r="AB198" s="60"/>
      <c r="AC198" s="60"/>
      <c r="AD198" s="60" t="s">
        <v>77</v>
      </c>
      <c r="AE198" s="60"/>
      <c r="AF198" s="60"/>
      <c r="AG198" s="60"/>
      <c r="AH198" s="60" t="s">
        <v>78</v>
      </c>
      <c r="AI198" s="60"/>
      <c r="AJ198" s="60"/>
      <c r="AK198" s="60"/>
      <c r="AL198" s="60" t="s">
        <v>79</v>
      </c>
      <c r="AM198" s="60"/>
      <c r="AN198" s="60"/>
      <c r="AO198" s="61"/>
    </row>
    <row r="199" spans="6:41" x14ac:dyDescent="0.4">
      <c r="F199" s="57" t="s">
        <v>187</v>
      </c>
      <c r="G199" s="57"/>
      <c r="H199" s="57"/>
      <c r="I199" s="21"/>
      <c r="J199" s="62" t="s">
        <v>126</v>
      </c>
      <c r="K199" s="63"/>
      <c r="L199" s="63"/>
      <c r="M199" s="63"/>
      <c r="N199" s="63"/>
      <c r="O199" s="63"/>
      <c r="P199" s="63"/>
      <c r="Q199" s="63"/>
      <c r="R199" s="63"/>
      <c r="S199" s="63"/>
      <c r="T199" s="63"/>
      <c r="U199" s="63"/>
      <c r="V199" s="63"/>
      <c r="W199" s="63"/>
      <c r="X199" s="63"/>
      <c r="Y199" s="63"/>
      <c r="Z199" s="63"/>
      <c r="AA199" s="63"/>
      <c r="AB199" s="63"/>
      <c r="AC199" s="63"/>
      <c r="AD199" s="63"/>
      <c r="AE199" s="63"/>
      <c r="AF199" s="63"/>
      <c r="AG199" s="63"/>
      <c r="AH199" s="63"/>
      <c r="AI199" s="63"/>
      <c r="AJ199" s="63"/>
      <c r="AK199" s="63"/>
      <c r="AL199" s="63"/>
      <c r="AM199" s="63"/>
      <c r="AN199" s="63"/>
      <c r="AO199" s="64"/>
    </row>
    <row r="200" spans="6:41" x14ac:dyDescent="0.4">
      <c r="F200" s="58"/>
      <c r="G200" s="58"/>
      <c r="H200" s="58"/>
      <c r="I200" s="2"/>
      <c r="J200" s="59" t="s">
        <v>147</v>
      </c>
      <c r="K200" s="60"/>
      <c r="L200" s="60"/>
      <c r="M200" s="60"/>
      <c r="N200" s="60" t="s">
        <v>148</v>
      </c>
      <c r="O200" s="60"/>
      <c r="P200" s="60"/>
      <c r="Q200" s="60"/>
      <c r="R200" s="60" t="s">
        <v>149</v>
      </c>
      <c r="S200" s="60"/>
      <c r="T200" s="60"/>
      <c r="U200" s="60"/>
      <c r="V200" s="60" t="s">
        <v>150</v>
      </c>
      <c r="W200" s="60"/>
      <c r="X200" s="60"/>
      <c r="Y200" s="60"/>
      <c r="Z200" s="60" t="s">
        <v>151</v>
      </c>
      <c r="AA200" s="60"/>
      <c r="AB200" s="60"/>
      <c r="AC200" s="60"/>
      <c r="AD200" s="60" t="s">
        <v>152</v>
      </c>
      <c r="AE200" s="60"/>
      <c r="AF200" s="60"/>
      <c r="AG200" s="60"/>
      <c r="AH200" s="60" t="s">
        <v>153</v>
      </c>
      <c r="AI200" s="60"/>
      <c r="AJ200" s="60"/>
      <c r="AK200" s="60"/>
      <c r="AL200" s="60" t="s">
        <v>154</v>
      </c>
      <c r="AM200" s="60"/>
      <c r="AN200" s="60"/>
      <c r="AO200" s="61"/>
    </row>
    <row r="201" spans="6:41" x14ac:dyDescent="0.4">
      <c r="F201" s="57" t="s">
        <v>190</v>
      </c>
      <c r="G201" s="57"/>
      <c r="H201" s="57"/>
      <c r="I201" s="21"/>
      <c r="J201" s="51" t="s">
        <v>126</v>
      </c>
      <c r="K201" s="52"/>
      <c r="L201" s="52"/>
      <c r="M201" s="52"/>
      <c r="N201" s="52"/>
      <c r="O201" s="52"/>
      <c r="P201" s="52"/>
      <c r="Q201" s="52"/>
      <c r="R201" s="52"/>
      <c r="S201" s="52"/>
      <c r="T201" s="52"/>
      <c r="U201" s="52"/>
      <c r="V201" s="52"/>
      <c r="W201" s="52"/>
      <c r="X201" s="52"/>
      <c r="Y201" s="52"/>
      <c r="Z201" s="52"/>
      <c r="AA201" s="52"/>
      <c r="AB201" s="52"/>
      <c r="AC201" s="52"/>
      <c r="AD201" s="52"/>
      <c r="AE201" s="52"/>
      <c r="AF201" s="52"/>
      <c r="AG201" s="52"/>
      <c r="AH201" s="52"/>
      <c r="AI201" s="52"/>
      <c r="AJ201" s="52"/>
      <c r="AK201" s="52"/>
      <c r="AL201" s="52"/>
      <c r="AM201" s="52"/>
      <c r="AN201" s="52"/>
      <c r="AO201" s="53"/>
    </row>
    <row r="202" spans="6:41" x14ac:dyDescent="0.4">
      <c r="F202" s="58"/>
      <c r="G202" s="58"/>
      <c r="H202" s="58"/>
      <c r="J202" s="59" t="s">
        <v>155</v>
      </c>
      <c r="K202" s="60"/>
      <c r="L202" s="60"/>
      <c r="M202" s="60"/>
      <c r="N202" s="60" t="s">
        <v>156</v>
      </c>
      <c r="O202" s="60"/>
      <c r="P202" s="60"/>
      <c r="Q202" s="60"/>
      <c r="R202" s="60" t="s">
        <v>157</v>
      </c>
      <c r="S202" s="60"/>
      <c r="T202" s="60"/>
      <c r="U202" s="60"/>
      <c r="V202" s="60" t="s">
        <v>158</v>
      </c>
      <c r="W202" s="60"/>
      <c r="X202" s="60"/>
      <c r="Y202" s="60"/>
      <c r="Z202" s="60" t="s">
        <v>159</v>
      </c>
      <c r="AA202" s="60"/>
      <c r="AB202" s="60"/>
      <c r="AC202" s="60"/>
      <c r="AD202" s="60" t="s">
        <v>160</v>
      </c>
      <c r="AE202" s="60"/>
      <c r="AF202" s="60"/>
      <c r="AG202" s="60"/>
      <c r="AH202" s="60" t="s">
        <v>161</v>
      </c>
      <c r="AI202" s="60"/>
      <c r="AJ202" s="60"/>
      <c r="AK202" s="60"/>
      <c r="AL202" s="60" t="s">
        <v>162</v>
      </c>
      <c r="AM202" s="60"/>
      <c r="AN202" s="60"/>
      <c r="AO202" s="61"/>
    </row>
    <row r="203" spans="6:41" x14ac:dyDescent="0.4">
      <c r="F203" s="57" t="s">
        <v>189</v>
      </c>
      <c r="G203" s="57"/>
      <c r="H203" s="57"/>
      <c r="I203" s="21"/>
      <c r="J203" s="51" t="s">
        <v>126</v>
      </c>
      <c r="K203" s="52"/>
      <c r="L203" s="52"/>
      <c r="M203" s="52"/>
      <c r="N203" s="52"/>
      <c r="O203" s="52"/>
      <c r="P203" s="52"/>
      <c r="Q203" s="52"/>
      <c r="R203" s="52"/>
      <c r="S203" s="52"/>
      <c r="T203" s="52"/>
      <c r="U203" s="52"/>
      <c r="V203" s="52"/>
      <c r="W203" s="52"/>
      <c r="X203" s="52"/>
      <c r="Y203" s="52"/>
      <c r="Z203" s="52"/>
      <c r="AA203" s="52"/>
      <c r="AB203" s="52"/>
      <c r="AC203" s="52"/>
      <c r="AD203" s="52"/>
      <c r="AE203" s="52"/>
      <c r="AF203" s="52"/>
      <c r="AG203" s="52"/>
      <c r="AH203" s="52"/>
      <c r="AI203" s="52"/>
      <c r="AJ203" s="52"/>
      <c r="AK203" s="52"/>
      <c r="AL203" s="52"/>
      <c r="AM203" s="52"/>
      <c r="AN203" s="52"/>
      <c r="AO203" s="53"/>
    </row>
    <row r="204" spans="6:41" x14ac:dyDescent="0.4">
      <c r="F204" s="58"/>
      <c r="G204" s="58"/>
      <c r="H204" s="58"/>
      <c r="I204" s="2"/>
      <c r="J204" s="59" t="s">
        <v>163</v>
      </c>
      <c r="K204" s="60"/>
      <c r="L204" s="60"/>
      <c r="M204" s="60"/>
      <c r="N204" s="60" t="s">
        <v>164</v>
      </c>
      <c r="O204" s="60"/>
      <c r="P204" s="60"/>
      <c r="Q204" s="60"/>
      <c r="R204" s="60" t="s">
        <v>165</v>
      </c>
      <c r="S204" s="60"/>
      <c r="T204" s="60"/>
      <c r="U204" s="60"/>
      <c r="V204" s="60" t="s">
        <v>166</v>
      </c>
      <c r="W204" s="60"/>
      <c r="X204" s="60"/>
      <c r="Y204" s="60"/>
      <c r="Z204" s="60" t="s">
        <v>167</v>
      </c>
      <c r="AA204" s="60"/>
      <c r="AB204" s="60"/>
      <c r="AC204" s="60"/>
      <c r="AD204" s="60" t="s">
        <v>168</v>
      </c>
      <c r="AE204" s="60"/>
      <c r="AF204" s="60"/>
      <c r="AG204" s="60"/>
      <c r="AH204" s="60" t="s">
        <v>169</v>
      </c>
      <c r="AI204" s="60"/>
      <c r="AJ204" s="60"/>
      <c r="AK204" s="60"/>
      <c r="AL204" s="60" t="s">
        <v>170</v>
      </c>
      <c r="AM204" s="60"/>
      <c r="AN204" s="60"/>
      <c r="AO204" s="61"/>
    </row>
    <row r="205" spans="6:41" x14ac:dyDescent="0.4">
      <c r="F205" s="49" t="s">
        <v>188</v>
      </c>
      <c r="G205" s="49"/>
      <c r="H205" s="49"/>
      <c r="I205" s="21"/>
      <c r="J205" s="51" t="s">
        <v>126</v>
      </c>
      <c r="K205" s="52"/>
      <c r="L205" s="52"/>
      <c r="M205" s="52"/>
      <c r="N205" s="52"/>
      <c r="O205" s="52"/>
      <c r="P205" s="52"/>
      <c r="Q205" s="52"/>
      <c r="R205" s="52"/>
      <c r="S205" s="52"/>
      <c r="T205" s="52"/>
      <c r="U205" s="52"/>
      <c r="V205" s="52"/>
      <c r="W205" s="52"/>
      <c r="X205" s="52"/>
      <c r="Y205" s="52"/>
      <c r="Z205" s="52"/>
      <c r="AA205" s="52"/>
      <c r="AB205" s="52"/>
      <c r="AC205" s="52"/>
      <c r="AD205" s="52"/>
      <c r="AE205" s="52"/>
      <c r="AF205" s="52"/>
      <c r="AG205" s="52"/>
      <c r="AH205" s="52"/>
      <c r="AI205" s="52"/>
      <c r="AJ205" s="52"/>
      <c r="AK205" s="52"/>
      <c r="AL205" s="52"/>
      <c r="AM205" s="52"/>
      <c r="AN205" s="52"/>
      <c r="AO205" s="53"/>
    </row>
    <row r="206" spans="6:41" ht="19.5" thickBot="1" x14ac:dyDescent="0.45">
      <c r="F206" s="50"/>
      <c r="G206" s="50"/>
      <c r="H206" s="50"/>
      <c r="I206" s="2"/>
      <c r="J206" s="54" t="s">
        <v>171</v>
      </c>
      <c r="K206" s="55"/>
      <c r="L206" s="55"/>
      <c r="M206" s="55"/>
      <c r="N206" s="55" t="s">
        <v>172</v>
      </c>
      <c r="O206" s="55"/>
      <c r="P206" s="55"/>
      <c r="Q206" s="55"/>
      <c r="R206" s="55" t="s">
        <v>173</v>
      </c>
      <c r="S206" s="55"/>
      <c r="T206" s="55"/>
      <c r="U206" s="55"/>
      <c r="V206" s="55" t="s">
        <v>174</v>
      </c>
      <c r="W206" s="55"/>
      <c r="X206" s="55"/>
      <c r="Y206" s="55"/>
      <c r="Z206" s="55" t="s">
        <v>175</v>
      </c>
      <c r="AA206" s="55"/>
      <c r="AB206" s="55"/>
      <c r="AC206" s="55"/>
      <c r="AD206" s="55" t="s">
        <v>176</v>
      </c>
      <c r="AE206" s="55"/>
      <c r="AF206" s="55"/>
      <c r="AG206" s="55"/>
      <c r="AH206" s="55" t="s">
        <v>177</v>
      </c>
      <c r="AI206" s="55"/>
      <c r="AJ206" s="55"/>
      <c r="AK206" s="55"/>
      <c r="AL206" s="55" t="s">
        <v>178</v>
      </c>
      <c r="AM206" s="55"/>
      <c r="AN206" s="55"/>
      <c r="AO206" s="56"/>
    </row>
    <row r="207" spans="6:41" ht="19.5" thickTop="1" x14ac:dyDescent="0.4"/>
    <row r="211" spans="6:41" ht="19.5" thickBot="1" x14ac:dyDescent="0.45">
      <c r="I211" s="3"/>
      <c r="J211" s="84" t="str">
        <f>"+0"</f>
        <v>+0</v>
      </c>
      <c r="K211" s="65"/>
      <c r="L211" s="65"/>
      <c r="M211" s="85"/>
      <c r="N211" s="105" t="str">
        <f>"+1"</f>
        <v>+1</v>
      </c>
      <c r="O211" s="106"/>
      <c r="P211" s="106"/>
      <c r="Q211" s="107"/>
      <c r="R211" s="84" t="str">
        <f>"+2"</f>
        <v>+2</v>
      </c>
      <c r="S211" s="65"/>
      <c r="T211" s="65"/>
      <c r="U211" s="85"/>
      <c r="V211" s="84" t="str">
        <f>"+3"</f>
        <v>+3</v>
      </c>
      <c r="W211" s="65"/>
      <c r="X211" s="65"/>
      <c r="Y211" s="85"/>
      <c r="Z211" s="84" t="str">
        <f>"+4"</f>
        <v>+4</v>
      </c>
      <c r="AA211" s="65"/>
      <c r="AB211" s="65"/>
      <c r="AC211" s="85"/>
      <c r="AD211" s="84" t="str">
        <f>"+5"</f>
        <v>+5</v>
      </c>
      <c r="AE211" s="65"/>
      <c r="AF211" s="65"/>
      <c r="AG211" s="85"/>
      <c r="AH211" s="84" t="str">
        <f>"+6"</f>
        <v>+6</v>
      </c>
      <c r="AI211" s="65"/>
      <c r="AJ211" s="65"/>
      <c r="AK211" s="85"/>
      <c r="AL211" s="84" t="str">
        <f>"+7"</f>
        <v>+7</v>
      </c>
      <c r="AM211" s="65"/>
      <c r="AN211" s="65"/>
      <c r="AO211" s="85"/>
    </row>
    <row r="212" spans="6:41" x14ac:dyDescent="0.4">
      <c r="F212" s="49" t="s">
        <v>7</v>
      </c>
      <c r="G212" s="49"/>
      <c r="H212" s="49"/>
      <c r="I212" s="21"/>
      <c r="J212" s="97" t="s">
        <v>123</v>
      </c>
      <c r="K212" s="98"/>
      <c r="L212" s="98"/>
      <c r="M212" s="98"/>
      <c r="N212" s="99" t="s">
        <v>1</v>
      </c>
      <c r="O212" s="99"/>
      <c r="P212" s="99"/>
      <c r="Q212" s="99"/>
      <c r="R212" s="99"/>
      <c r="S212" s="99"/>
      <c r="T212" s="99"/>
      <c r="U212" s="99"/>
      <c r="V212" s="99"/>
      <c r="W212" s="99"/>
      <c r="X212" s="99"/>
      <c r="Y212" s="99"/>
      <c r="Z212" s="99"/>
      <c r="AA212" s="99"/>
      <c r="AB212" s="99"/>
      <c r="AC212" s="99"/>
      <c r="AD212" s="99"/>
      <c r="AE212" s="99"/>
      <c r="AF212" s="99"/>
      <c r="AG212" s="100"/>
      <c r="AH212" s="101" t="s">
        <v>127</v>
      </c>
      <c r="AI212" s="101"/>
      <c r="AJ212" s="101"/>
      <c r="AK212" s="101"/>
      <c r="AL212" s="101"/>
      <c r="AM212" s="101"/>
      <c r="AN212" s="101"/>
      <c r="AO212" s="102"/>
    </row>
    <row r="213" spans="6:41" ht="19.5" thickBot="1" x14ac:dyDescent="0.45">
      <c r="F213" s="50"/>
      <c r="G213" s="50"/>
      <c r="H213" s="50"/>
      <c r="I213" s="2"/>
      <c r="J213" s="103" t="s">
        <v>2</v>
      </c>
      <c r="K213" s="95"/>
      <c r="L213" s="95"/>
      <c r="M213" s="95"/>
      <c r="N213" s="104" t="s">
        <v>3</v>
      </c>
      <c r="O213" s="95"/>
      <c r="P213" s="95"/>
      <c r="Q213" s="95"/>
      <c r="R213" s="95" t="s">
        <v>4</v>
      </c>
      <c r="S213" s="95"/>
      <c r="T213" s="95"/>
      <c r="U213" s="95"/>
      <c r="V213" s="95" t="s">
        <v>5</v>
      </c>
      <c r="W213" s="95"/>
      <c r="X213" s="95"/>
      <c r="Y213" s="95"/>
      <c r="Z213" s="95" t="s">
        <v>6</v>
      </c>
      <c r="AA213" s="95"/>
      <c r="AB213" s="95"/>
      <c r="AC213" s="95"/>
      <c r="AD213" s="95" t="s">
        <v>2</v>
      </c>
      <c r="AE213" s="95"/>
      <c r="AF213" s="95"/>
      <c r="AG213" s="95"/>
      <c r="AH213" s="95" t="s">
        <v>6</v>
      </c>
      <c r="AI213" s="95"/>
      <c r="AJ213" s="95"/>
      <c r="AK213" s="95"/>
      <c r="AL213" s="95" t="s">
        <v>2</v>
      </c>
      <c r="AM213" s="95"/>
      <c r="AN213" s="95"/>
      <c r="AO213" s="96"/>
    </row>
  </sheetData>
  <mergeCells count="788">
    <mergeCell ref="R89:U89"/>
    <mergeCell ref="V89:Y89"/>
    <mergeCell ref="J59:Q59"/>
    <mergeCell ref="R59:Y59"/>
    <mergeCell ref="J60:M60"/>
    <mergeCell ref="N60:Q60"/>
    <mergeCell ref="R60:U60"/>
    <mergeCell ref="V60:Y60"/>
    <mergeCell ref="F61:H62"/>
    <mergeCell ref="J61:Y61"/>
    <mergeCell ref="J62:M62"/>
    <mergeCell ref="N62:Q62"/>
    <mergeCell ref="R62:U62"/>
    <mergeCell ref="V62:Y62"/>
    <mergeCell ref="F65:H66"/>
    <mergeCell ref="J65:Y66"/>
    <mergeCell ref="F67:H68"/>
    <mergeCell ref="J67:Y67"/>
    <mergeCell ref="J68:M68"/>
    <mergeCell ref="N68:Q68"/>
    <mergeCell ref="R68:U68"/>
    <mergeCell ref="V68:Y68"/>
    <mergeCell ref="J71:M71"/>
    <mergeCell ref="N71:Q71"/>
    <mergeCell ref="G51:H52"/>
    <mergeCell ref="J51:Q51"/>
    <mergeCell ref="R51:Y51"/>
    <mergeCell ref="J52:M52"/>
    <mergeCell ref="N52:Q52"/>
    <mergeCell ref="R52:U52"/>
    <mergeCell ref="V52:Y52"/>
    <mergeCell ref="J56:M56"/>
    <mergeCell ref="N56:Q56"/>
    <mergeCell ref="R56:U56"/>
    <mergeCell ref="V56:Y56"/>
    <mergeCell ref="J48:M48"/>
    <mergeCell ref="N48:Q48"/>
    <mergeCell ref="R48:U48"/>
    <mergeCell ref="V48:Y48"/>
    <mergeCell ref="G49:H50"/>
    <mergeCell ref="N49:Y49"/>
    <mergeCell ref="N50:Q50"/>
    <mergeCell ref="R50:U50"/>
    <mergeCell ref="V50:Y50"/>
    <mergeCell ref="J49:M49"/>
    <mergeCell ref="J50:M50"/>
    <mergeCell ref="G41:H42"/>
    <mergeCell ref="N41:Y41"/>
    <mergeCell ref="N42:Q42"/>
    <mergeCell ref="R42:U42"/>
    <mergeCell ref="V42:Y42"/>
    <mergeCell ref="J41:M41"/>
    <mergeCell ref="J42:M42"/>
    <mergeCell ref="R44:U44"/>
    <mergeCell ref="V44:Y44"/>
    <mergeCell ref="G43:H44"/>
    <mergeCell ref="J43:Q43"/>
    <mergeCell ref="R43:Y43"/>
    <mergeCell ref="J44:M44"/>
    <mergeCell ref="N44:Q44"/>
    <mergeCell ref="F35:H36"/>
    <mergeCell ref="J35:Y36"/>
    <mergeCell ref="F37:H38"/>
    <mergeCell ref="J37:Y37"/>
    <mergeCell ref="J38:M38"/>
    <mergeCell ref="N38:Q38"/>
    <mergeCell ref="R38:U38"/>
    <mergeCell ref="V38:Y38"/>
    <mergeCell ref="J40:M40"/>
    <mergeCell ref="N40:Q40"/>
    <mergeCell ref="R40:U40"/>
    <mergeCell ref="V40:Y40"/>
    <mergeCell ref="F27:H28"/>
    <mergeCell ref="N27:Y27"/>
    <mergeCell ref="N28:Q28"/>
    <mergeCell ref="R28:U28"/>
    <mergeCell ref="V28:Y28"/>
    <mergeCell ref="F29:H30"/>
    <mergeCell ref="J29:Q29"/>
    <mergeCell ref="R29:Y29"/>
    <mergeCell ref="J30:M30"/>
    <mergeCell ref="N30:Q30"/>
    <mergeCell ref="R30:U30"/>
    <mergeCell ref="V30:Y30"/>
    <mergeCell ref="J27:M27"/>
    <mergeCell ref="J28:M28"/>
    <mergeCell ref="F20:H21"/>
    <mergeCell ref="J20:Y21"/>
    <mergeCell ref="F22:H23"/>
    <mergeCell ref="J22:Y22"/>
    <mergeCell ref="J23:M23"/>
    <mergeCell ref="N23:Q23"/>
    <mergeCell ref="R23:U23"/>
    <mergeCell ref="V23:Y23"/>
    <mergeCell ref="J26:M26"/>
    <mergeCell ref="N26:Q26"/>
    <mergeCell ref="R26:U26"/>
    <mergeCell ref="V26:Y26"/>
    <mergeCell ref="J13:M13"/>
    <mergeCell ref="J16:Y16"/>
    <mergeCell ref="J17:M17"/>
    <mergeCell ref="N17:Q17"/>
    <mergeCell ref="R17:U17"/>
    <mergeCell ref="V17:Y17"/>
    <mergeCell ref="F18:H19"/>
    <mergeCell ref="J18:Y18"/>
    <mergeCell ref="J19:M19"/>
    <mergeCell ref="N19:Q19"/>
    <mergeCell ref="R19:U19"/>
    <mergeCell ref="V19:Y19"/>
    <mergeCell ref="F16:H17"/>
    <mergeCell ref="J3:M3"/>
    <mergeCell ref="N3:Q3"/>
    <mergeCell ref="R3:U3"/>
    <mergeCell ref="V3:Y3"/>
    <mergeCell ref="G4:H5"/>
    <mergeCell ref="N4:Y4"/>
    <mergeCell ref="N5:Q5"/>
    <mergeCell ref="R5:U5"/>
    <mergeCell ref="V5:Y5"/>
    <mergeCell ref="J4:M4"/>
    <mergeCell ref="J5:M5"/>
    <mergeCell ref="G6:H7"/>
    <mergeCell ref="J6:Q6"/>
    <mergeCell ref="R6:Y6"/>
    <mergeCell ref="J7:M7"/>
    <mergeCell ref="N7:Q7"/>
    <mergeCell ref="R7:U7"/>
    <mergeCell ref="V7:Y7"/>
    <mergeCell ref="F14:H15"/>
    <mergeCell ref="J14:Q14"/>
    <mergeCell ref="R14:Y14"/>
    <mergeCell ref="J15:M15"/>
    <mergeCell ref="N15:Q15"/>
    <mergeCell ref="R15:U15"/>
    <mergeCell ref="V15:Y15"/>
    <mergeCell ref="J11:M11"/>
    <mergeCell ref="N11:Q11"/>
    <mergeCell ref="R11:U11"/>
    <mergeCell ref="V11:Y11"/>
    <mergeCell ref="F12:H13"/>
    <mergeCell ref="N12:Y12"/>
    <mergeCell ref="N13:Q13"/>
    <mergeCell ref="R13:U13"/>
    <mergeCell ref="V13:Y13"/>
    <mergeCell ref="J12:M12"/>
    <mergeCell ref="F31:H32"/>
    <mergeCell ref="J31:Y31"/>
    <mergeCell ref="J32:M32"/>
    <mergeCell ref="N32:Q32"/>
    <mergeCell ref="R32:U32"/>
    <mergeCell ref="V32:Y32"/>
    <mergeCell ref="F33:H34"/>
    <mergeCell ref="J33:Y33"/>
    <mergeCell ref="J34:M34"/>
    <mergeCell ref="N34:Q34"/>
    <mergeCell ref="R34:U34"/>
    <mergeCell ref="V34:Y34"/>
    <mergeCell ref="J57:M57"/>
    <mergeCell ref="J58:M58"/>
    <mergeCell ref="F57:H58"/>
    <mergeCell ref="N57:Y57"/>
    <mergeCell ref="N58:Q58"/>
    <mergeCell ref="R58:U58"/>
    <mergeCell ref="V58:Y58"/>
    <mergeCell ref="F59:H60"/>
    <mergeCell ref="F63:H64"/>
    <mergeCell ref="J63:Y63"/>
    <mergeCell ref="J64:M64"/>
    <mergeCell ref="N64:Q64"/>
    <mergeCell ref="R64:U64"/>
    <mergeCell ref="V64:Y64"/>
    <mergeCell ref="R71:U71"/>
    <mergeCell ref="V71:Y71"/>
    <mergeCell ref="F72:H73"/>
    <mergeCell ref="N72:Y72"/>
    <mergeCell ref="N73:Q73"/>
    <mergeCell ref="R73:U73"/>
    <mergeCell ref="V73:Y73"/>
    <mergeCell ref="J72:M72"/>
    <mergeCell ref="J73:M73"/>
    <mergeCell ref="F74:H75"/>
    <mergeCell ref="J74:Q74"/>
    <mergeCell ref="R74:Y74"/>
    <mergeCell ref="J75:M75"/>
    <mergeCell ref="N75:Q75"/>
    <mergeCell ref="R75:U75"/>
    <mergeCell ref="V75:Y75"/>
    <mergeCell ref="F76:H77"/>
    <mergeCell ref="J76:Y76"/>
    <mergeCell ref="J77:M77"/>
    <mergeCell ref="N77:Q77"/>
    <mergeCell ref="R77:U77"/>
    <mergeCell ref="V77:Y77"/>
    <mergeCell ref="F78:H79"/>
    <mergeCell ref="J78:Y78"/>
    <mergeCell ref="J79:M79"/>
    <mergeCell ref="N79:Q79"/>
    <mergeCell ref="R79:U79"/>
    <mergeCell ref="V79:Y79"/>
    <mergeCell ref="F80:H81"/>
    <mergeCell ref="J80:Y81"/>
    <mergeCell ref="F82:H83"/>
    <mergeCell ref="J82:Y82"/>
    <mergeCell ref="J83:M83"/>
    <mergeCell ref="N83:Q83"/>
    <mergeCell ref="R83:U83"/>
    <mergeCell ref="V83:Y83"/>
    <mergeCell ref="J85:M85"/>
    <mergeCell ref="N85:Q85"/>
    <mergeCell ref="R85:U85"/>
    <mergeCell ref="V85:Y85"/>
    <mergeCell ref="G86:H87"/>
    <mergeCell ref="N86:Y86"/>
    <mergeCell ref="N87:Q87"/>
    <mergeCell ref="J86:M86"/>
    <mergeCell ref="J87:M87"/>
    <mergeCell ref="R87:U87"/>
    <mergeCell ref="V87:Y87"/>
    <mergeCell ref="G88:H89"/>
    <mergeCell ref="J88:Q88"/>
    <mergeCell ref="R88:Y88"/>
    <mergeCell ref="J89:M89"/>
    <mergeCell ref="N89:Q89"/>
    <mergeCell ref="Z96:AC96"/>
    <mergeCell ref="AD96:AG96"/>
    <mergeCell ref="AH96:AK96"/>
    <mergeCell ref="AL96:AO96"/>
    <mergeCell ref="AH94:AK94"/>
    <mergeCell ref="AL94:AO94"/>
    <mergeCell ref="F95:H96"/>
    <mergeCell ref="J95:M95"/>
    <mergeCell ref="N95:AG95"/>
    <mergeCell ref="AH95:AO95"/>
    <mergeCell ref="J96:M96"/>
    <mergeCell ref="N96:Q96"/>
    <mergeCell ref="R96:U96"/>
    <mergeCell ref="V96:Y96"/>
    <mergeCell ref="J94:M94"/>
    <mergeCell ref="N94:Q94"/>
    <mergeCell ref="R94:U94"/>
    <mergeCell ref="V94:Y94"/>
    <mergeCell ref="Z94:AC94"/>
    <mergeCell ref="AD94:AG94"/>
    <mergeCell ref="AH99:AK99"/>
    <mergeCell ref="AL99:AO99"/>
    <mergeCell ref="F100:H101"/>
    <mergeCell ref="J100:M100"/>
    <mergeCell ref="N100:AG100"/>
    <mergeCell ref="AH100:AO100"/>
    <mergeCell ref="J101:M101"/>
    <mergeCell ref="N101:Q101"/>
    <mergeCell ref="R101:U101"/>
    <mergeCell ref="V101:Y101"/>
    <mergeCell ref="J99:M99"/>
    <mergeCell ref="N99:Q99"/>
    <mergeCell ref="R99:U99"/>
    <mergeCell ref="V99:Y99"/>
    <mergeCell ref="Z99:AC99"/>
    <mergeCell ref="AD99:AG99"/>
    <mergeCell ref="Z101:AC101"/>
    <mergeCell ref="AD101:AG101"/>
    <mergeCell ref="AH101:AK101"/>
    <mergeCell ref="AL101:AO101"/>
    <mergeCell ref="F102:H103"/>
    <mergeCell ref="J102:AO102"/>
    <mergeCell ref="J103:M103"/>
    <mergeCell ref="N103:Q103"/>
    <mergeCell ref="R103:U103"/>
    <mergeCell ref="V103:Y103"/>
    <mergeCell ref="Z103:AC103"/>
    <mergeCell ref="AD103:AG103"/>
    <mergeCell ref="AH103:AK103"/>
    <mergeCell ref="AL103:AO103"/>
    <mergeCell ref="F104:H105"/>
    <mergeCell ref="J104:AO104"/>
    <mergeCell ref="J105:M105"/>
    <mergeCell ref="N105:Q105"/>
    <mergeCell ref="R105:U105"/>
    <mergeCell ref="V105:Y105"/>
    <mergeCell ref="Z105:AC105"/>
    <mergeCell ref="AD105:AG105"/>
    <mergeCell ref="AH105:AK105"/>
    <mergeCell ref="AL105:AO105"/>
    <mergeCell ref="F106:H107"/>
    <mergeCell ref="J106:AO106"/>
    <mergeCell ref="J107:M107"/>
    <mergeCell ref="N107:Q107"/>
    <mergeCell ref="R107:U107"/>
    <mergeCell ref="V107:Y107"/>
    <mergeCell ref="Z107:AC107"/>
    <mergeCell ref="AD107:AG107"/>
    <mergeCell ref="AH107:AK107"/>
    <mergeCell ref="AL107:AO107"/>
    <mergeCell ref="F108:H109"/>
    <mergeCell ref="J108:AO108"/>
    <mergeCell ref="J109:M109"/>
    <mergeCell ref="N109:Q109"/>
    <mergeCell ref="R109:U109"/>
    <mergeCell ref="V109:Y109"/>
    <mergeCell ref="Z109:AC109"/>
    <mergeCell ref="AD109:AG109"/>
    <mergeCell ref="AH109:AK109"/>
    <mergeCell ref="AL109:AO109"/>
    <mergeCell ref="F110:H111"/>
    <mergeCell ref="J110:AO110"/>
    <mergeCell ref="J111:M111"/>
    <mergeCell ref="N111:Q111"/>
    <mergeCell ref="R111:U111"/>
    <mergeCell ref="V111:Y111"/>
    <mergeCell ref="Z111:AC111"/>
    <mergeCell ref="AD111:AG111"/>
    <mergeCell ref="AH111:AK111"/>
    <mergeCell ref="AL111:AO111"/>
    <mergeCell ref="F112:H113"/>
    <mergeCell ref="J112:AO112"/>
    <mergeCell ref="J113:M113"/>
    <mergeCell ref="N113:Q113"/>
    <mergeCell ref="R113:U113"/>
    <mergeCell ref="V113:Y113"/>
    <mergeCell ref="Z113:AC113"/>
    <mergeCell ref="AD113:AG113"/>
    <mergeCell ref="AH113:AK113"/>
    <mergeCell ref="AL113:AO113"/>
    <mergeCell ref="F134:H135"/>
    <mergeCell ref="Z115:AC115"/>
    <mergeCell ref="AD115:AG115"/>
    <mergeCell ref="AH115:AK115"/>
    <mergeCell ref="AL115:AO115"/>
    <mergeCell ref="F116:H117"/>
    <mergeCell ref="J116:AO116"/>
    <mergeCell ref="J117:M117"/>
    <mergeCell ref="N117:Q117"/>
    <mergeCell ref="R117:U117"/>
    <mergeCell ref="V117:Y117"/>
    <mergeCell ref="J134:AO135"/>
    <mergeCell ref="F114:H115"/>
    <mergeCell ref="J114:AO114"/>
    <mergeCell ref="J115:M115"/>
    <mergeCell ref="N115:Q115"/>
    <mergeCell ref="R115:U115"/>
    <mergeCell ref="V115:Y115"/>
    <mergeCell ref="Z117:AC117"/>
    <mergeCell ref="AD117:AG117"/>
    <mergeCell ref="AH117:AK117"/>
    <mergeCell ref="AL117:AO117"/>
    <mergeCell ref="F118:H119"/>
    <mergeCell ref="J118:AO118"/>
    <mergeCell ref="F136:H137"/>
    <mergeCell ref="J136:AO136"/>
    <mergeCell ref="J137:M137"/>
    <mergeCell ref="N137:Q137"/>
    <mergeCell ref="R137:U137"/>
    <mergeCell ref="V137:Y137"/>
    <mergeCell ref="Z137:AC137"/>
    <mergeCell ref="AD137:AG137"/>
    <mergeCell ref="AH137:AK137"/>
    <mergeCell ref="AL137:AO137"/>
    <mergeCell ref="F138:H139"/>
    <mergeCell ref="J138:AO138"/>
    <mergeCell ref="J139:M139"/>
    <mergeCell ref="N139:Q139"/>
    <mergeCell ref="R139:U139"/>
    <mergeCell ref="V139:Y139"/>
    <mergeCell ref="Z139:AC139"/>
    <mergeCell ref="AD139:AG139"/>
    <mergeCell ref="AH139:AK139"/>
    <mergeCell ref="AL139:AO139"/>
    <mergeCell ref="F140:H141"/>
    <mergeCell ref="J140:AO140"/>
    <mergeCell ref="J141:M141"/>
    <mergeCell ref="N141:Q141"/>
    <mergeCell ref="R141:U141"/>
    <mergeCell ref="V141:Y141"/>
    <mergeCell ref="Z141:AC141"/>
    <mergeCell ref="AD141:AG141"/>
    <mergeCell ref="AH141:AK141"/>
    <mergeCell ref="AL141:AO141"/>
    <mergeCell ref="F142:H143"/>
    <mergeCell ref="J142:AO142"/>
    <mergeCell ref="J143:M143"/>
    <mergeCell ref="N143:Q143"/>
    <mergeCell ref="R143:U143"/>
    <mergeCell ref="V143:Y143"/>
    <mergeCell ref="Z143:AC143"/>
    <mergeCell ref="AD143:AG143"/>
    <mergeCell ref="AH143:AK143"/>
    <mergeCell ref="AL143:AO143"/>
    <mergeCell ref="Z213:AC213"/>
    <mergeCell ref="AD213:AG213"/>
    <mergeCell ref="AH213:AK213"/>
    <mergeCell ref="AL213:AO213"/>
    <mergeCell ref="AH211:AK211"/>
    <mergeCell ref="AL211:AO211"/>
    <mergeCell ref="F212:H213"/>
    <mergeCell ref="J212:M212"/>
    <mergeCell ref="N212:AG212"/>
    <mergeCell ref="AH212:AO212"/>
    <mergeCell ref="J213:M213"/>
    <mergeCell ref="N213:Q213"/>
    <mergeCell ref="R213:U213"/>
    <mergeCell ref="V213:Y213"/>
    <mergeCell ref="J211:M211"/>
    <mergeCell ref="N211:Q211"/>
    <mergeCell ref="R211:U211"/>
    <mergeCell ref="V211:Y211"/>
    <mergeCell ref="Z211:AC211"/>
    <mergeCell ref="AD211:AG211"/>
    <mergeCell ref="J119:M119"/>
    <mergeCell ref="N119:Q119"/>
    <mergeCell ref="R119:U119"/>
    <mergeCell ref="V119:Y119"/>
    <mergeCell ref="Z119:AC119"/>
    <mergeCell ref="AD119:AG119"/>
    <mergeCell ref="AH119:AK119"/>
    <mergeCell ref="AL119:AO119"/>
    <mergeCell ref="F120:H121"/>
    <mergeCell ref="J120:AO120"/>
    <mergeCell ref="J121:M121"/>
    <mergeCell ref="N121:Q121"/>
    <mergeCell ref="R121:U121"/>
    <mergeCell ref="V121:Y121"/>
    <mergeCell ref="Z121:AC121"/>
    <mergeCell ref="AD121:AG121"/>
    <mergeCell ref="AH121:AK121"/>
    <mergeCell ref="AL121:AO121"/>
    <mergeCell ref="F122:H123"/>
    <mergeCell ref="J122:AO122"/>
    <mergeCell ref="J123:M123"/>
    <mergeCell ref="N123:Q123"/>
    <mergeCell ref="R123:U123"/>
    <mergeCell ref="V123:Y123"/>
    <mergeCell ref="Z123:AC123"/>
    <mergeCell ref="AD123:AG123"/>
    <mergeCell ref="AH123:AK123"/>
    <mergeCell ref="AL123:AO123"/>
    <mergeCell ref="F124:H125"/>
    <mergeCell ref="J124:AO124"/>
    <mergeCell ref="J125:M125"/>
    <mergeCell ref="N125:Q125"/>
    <mergeCell ref="R125:U125"/>
    <mergeCell ref="V125:Y125"/>
    <mergeCell ref="Z125:AC125"/>
    <mergeCell ref="AD125:AG125"/>
    <mergeCell ref="AH125:AK125"/>
    <mergeCell ref="AL125:AO125"/>
    <mergeCell ref="F126:H127"/>
    <mergeCell ref="J126:AO126"/>
    <mergeCell ref="J127:M127"/>
    <mergeCell ref="N127:Q127"/>
    <mergeCell ref="R127:U127"/>
    <mergeCell ref="V127:Y127"/>
    <mergeCell ref="Z127:AC127"/>
    <mergeCell ref="AD127:AG127"/>
    <mergeCell ref="AH127:AK127"/>
    <mergeCell ref="AL127:AO127"/>
    <mergeCell ref="F128:H129"/>
    <mergeCell ref="J128:AO128"/>
    <mergeCell ref="J129:M129"/>
    <mergeCell ref="N129:Q129"/>
    <mergeCell ref="R129:U129"/>
    <mergeCell ref="V129:Y129"/>
    <mergeCell ref="Z129:AC129"/>
    <mergeCell ref="AD129:AG129"/>
    <mergeCell ref="AH129:AK129"/>
    <mergeCell ref="AL129:AO129"/>
    <mergeCell ref="F130:H131"/>
    <mergeCell ref="J130:AO130"/>
    <mergeCell ref="J131:M131"/>
    <mergeCell ref="N131:Q131"/>
    <mergeCell ref="R131:U131"/>
    <mergeCell ref="V131:Y131"/>
    <mergeCell ref="Z131:AC131"/>
    <mergeCell ref="AD131:AG131"/>
    <mergeCell ref="AH131:AK131"/>
    <mergeCell ref="AL131:AO131"/>
    <mergeCell ref="F132:H133"/>
    <mergeCell ref="J132:AO132"/>
    <mergeCell ref="J133:M133"/>
    <mergeCell ref="N133:Q133"/>
    <mergeCell ref="R133:U133"/>
    <mergeCell ref="V133:Y133"/>
    <mergeCell ref="Z133:AC133"/>
    <mergeCell ref="AD133:AG133"/>
    <mergeCell ref="AH133:AK133"/>
    <mergeCell ref="AL133:AO133"/>
    <mergeCell ref="F144:H145"/>
    <mergeCell ref="J144:AO144"/>
    <mergeCell ref="J145:M145"/>
    <mergeCell ref="N145:Q145"/>
    <mergeCell ref="R145:U145"/>
    <mergeCell ref="V145:Y145"/>
    <mergeCell ref="Z145:AC145"/>
    <mergeCell ref="AD145:AG145"/>
    <mergeCell ref="AH145:AK145"/>
    <mergeCell ref="AL145:AO145"/>
    <mergeCell ref="F146:H147"/>
    <mergeCell ref="J146:AO146"/>
    <mergeCell ref="J147:M147"/>
    <mergeCell ref="N147:Q147"/>
    <mergeCell ref="R147:U147"/>
    <mergeCell ref="V147:Y147"/>
    <mergeCell ref="Z147:AC147"/>
    <mergeCell ref="AD147:AG147"/>
    <mergeCell ref="AH147:AK147"/>
    <mergeCell ref="AL147:AO147"/>
    <mergeCell ref="F148:H149"/>
    <mergeCell ref="J148:AO148"/>
    <mergeCell ref="J149:M149"/>
    <mergeCell ref="N149:Q149"/>
    <mergeCell ref="R149:U149"/>
    <mergeCell ref="V149:Y149"/>
    <mergeCell ref="Z149:AC149"/>
    <mergeCell ref="AD149:AG149"/>
    <mergeCell ref="AH149:AK149"/>
    <mergeCell ref="AL149:AO149"/>
    <mergeCell ref="F150:H151"/>
    <mergeCell ref="J150:AO150"/>
    <mergeCell ref="J151:M151"/>
    <mergeCell ref="N151:Q151"/>
    <mergeCell ref="R151:U151"/>
    <mergeCell ref="V151:Y151"/>
    <mergeCell ref="Z151:AC151"/>
    <mergeCell ref="AD151:AG151"/>
    <mergeCell ref="AH151:AK151"/>
    <mergeCell ref="AL151:AO151"/>
    <mergeCell ref="J154:M154"/>
    <mergeCell ref="N154:Q154"/>
    <mergeCell ref="R154:U154"/>
    <mergeCell ref="V154:Y154"/>
    <mergeCell ref="Z154:AC154"/>
    <mergeCell ref="AD154:AG154"/>
    <mergeCell ref="AH154:AK154"/>
    <mergeCell ref="AL154:AO154"/>
    <mergeCell ref="F155:H156"/>
    <mergeCell ref="J155:M155"/>
    <mergeCell ref="N155:AG155"/>
    <mergeCell ref="AH155:AO155"/>
    <mergeCell ref="J156:M156"/>
    <mergeCell ref="N156:Q156"/>
    <mergeCell ref="R156:U156"/>
    <mergeCell ref="V156:Y156"/>
    <mergeCell ref="Z156:AC156"/>
    <mergeCell ref="AD156:AG156"/>
    <mergeCell ref="AH156:AK156"/>
    <mergeCell ref="AL156:AO156"/>
    <mergeCell ref="F157:H158"/>
    <mergeCell ref="J157:AO157"/>
    <mergeCell ref="J158:M158"/>
    <mergeCell ref="N158:Q158"/>
    <mergeCell ref="R158:U158"/>
    <mergeCell ref="V158:Y158"/>
    <mergeCell ref="Z158:AC158"/>
    <mergeCell ref="AD158:AG158"/>
    <mergeCell ref="AH158:AK158"/>
    <mergeCell ref="AL158:AO158"/>
    <mergeCell ref="F159:H160"/>
    <mergeCell ref="J159:AO159"/>
    <mergeCell ref="J160:M160"/>
    <mergeCell ref="N160:Q160"/>
    <mergeCell ref="R160:U160"/>
    <mergeCell ref="V160:Y160"/>
    <mergeCell ref="Z160:AC160"/>
    <mergeCell ref="AD160:AG160"/>
    <mergeCell ref="AH160:AK160"/>
    <mergeCell ref="AL160:AO160"/>
    <mergeCell ref="F161:H162"/>
    <mergeCell ref="J161:AO161"/>
    <mergeCell ref="J162:M162"/>
    <mergeCell ref="N162:Q162"/>
    <mergeCell ref="R162:U162"/>
    <mergeCell ref="V162:Y162"/>
    <mergeCell ref="Z162:AC162"/>
    <mergeCell ref="AD162:AG162"/>
    <mergeCell ref="AH162:AK162"/>
    <mergeCell ref="AL162:AO162"/>
    <mergeCell ref="F163:H164"/>
    <mergeCell ref="J163:AO163"/>
    <mergeCell ref="J164:M164"/>
    <mergeCell ref="N164:Q164"/>
    <mergeCell ref="R164:U164"/>
    <mergeCell ref="V164:Y164"/>
    <mergeCell ref="Z164:AC164"/>
    <mergeCell ref="AD164:AG164"/>
    <mergeCell ref="AH164:AK164"/>
    <mergeCell ref="AL164:AO164"/>
    <mergeCell ref="F165:H166"/>
    <mergeCell ref="J165:AO165"/>
    <mergeCell ref="J166:M166"/>
    <mergeCell ref="N166:Q166"/>
    <mergeCell ref="R166:U166"/>
    <mergeCell ref="V166:Y166"/>
    <mergeCell ref="Z166:AC166"/>
    <mergeCell ref="AD166:AG166"/>
    <mergeCell ref="AH166:AK166"/>
    <mergeCell ref="AL166:AO166"/>
    <mergeCell ref="F167:H168"/>
    <mergeCell ref="J167:AO167"/>
    <mergeCell ref="J168:M168"/>
    <mergeCell ref="N168:Q168"/>
    <mergeCell ref="R168:U168"/>
    <mergeCell ref="V168:Y168"/>
    <mergeCell ref="Z168:AC168"/>
    <mergeCell ref="AD168:AG168"/>
    <mergeCell ref="AH168:AK168"/>
    <mergeCell ref="AL168:AO168"/>
    <mergeCell ref="F169:H170"/>
    <mergeCell ref="J169:AO169"/>
    <mergeCell ref="J170:M170"/>
    <mergeCell ref="N170:Q170"/>
    <mergeCell ref="R170:U170"/>
    <mergeCell ref="V170:Y170"/>
    <mergeCell ref="Z170:AC170"/>
    <mergeCell ref="AD170:AG170"/>
    <mergeCell ref="AH170:AK170"/>
    <mergeCell ref="AL170:AO170"/>
    <mergeCell ref="F171:H172"/>
    <mergeCell ref="J171:AO171"/>
    <mergeCell ref="J172:M172"/>
    <mergeCell ref="N172:Q172"/>
    <mergeCell ref="R172:U172"/>
    <mergeCell ref="V172:Y172"/>
    <mergeCell ref="Z172:AC172"/>
    <mergeCell ref="AD172:AG172"/>
    <mergeCell ref="AH172:AK172"/>
    <mergeCell ref="AL172:AO172"/>
    <mergeCell ref="F173:H174"/>
    <mergeCell ref="J173:AO173"/>
    <mergeCell ref="J174:M174"/>
    <mergeCell ref="N174:Q174"/>
    <mergeCell ref="R174:U174"/>
    <mergeCell ref="V174:Y174"/>
    <mergeCell ref="Z174:AC174"/>
    <mergeCell ref="AD174:AG174"/>
    <mergeCell ref="AH174:AK174"/>
    <mergeCell ref="AL174:AO174"/>
    <mergeCell ref="F175:H176"/>
    <mergeCell ref="J175:AO175"/>
    <mergeCell ref="J176:M176"/>
    <mergeCell ref="N176:Q176"/>
    <mergeCell ref="R176:U176"/>
    <mergeCell ref="V176:Y176"/>
    <mergeCell ref="Z176:AC176"/>
    <mergeCell ref="AD176:AG176"/>
    <mergeCell ref="AH176:AK176"/>
    <mergeCell ref="AL176:AO176"/>
    <mergeCell ref="F177:H178"/>
    <mergeCell ref="J177:AO177"/>
    <mergeCell ref="J178:M178"/>
    <mergeCell ref="N178:Q178"/>
    <mergeCell ref="R178:U178"/>
    <mergeCell ref="V178:Y178"/>
    <mergeCell ref="Z178:AC178"/>
    <mergeCell ref="AD178:AG178"/>
    <mergeCell ref="AH178:AK178"/>
    <mergeCell ref="AL178:AO178"/>
    <mergeCell ref="F179:H180"/>
    <mergeCell ref="J179:AO179"/>
    <mergeCell ref="J180:M180"/>
    <mergeCell ref="N180:Q180"/>
    <mergeCell ref="R180:U180"/>
    <mergeCell ref="V180:Y180"/>
    <mergeCell ref="Z180:AC180"/>
    <mergeCell ref="AD180:AG180"/>
    <mergeCell ref="AH180:AK180"/>
    <mergeCell ref="AL180:AO180"/>
    <mergeCell ref="F181:H182"/>
    <mergeCell ref="J181:AO181"/>
    <mergeCell ref="J182:M182"/>
    <mergeCell ref="N182:Q182"/>
    <mergeCell ref="R182:U182"/>
    <mergeCell ref="V182:Y182"/>
    <mergeCell ref="Z182:AC182"/>
    <mergeCell ref="AD182:AG182"/>
    <mergeCell ref="AH182:AK182"/>
    <mergeCell ref="AL182:AO182"/>
    <mergeCell ref="F183:H184"/>
    <mergeCell ref="J183:AO183"/>
    <mergeCell ref="J184:M184"/>
    <mergeCell ref="N184:Q184"/>
    <mergeCell ref="R184:U184"/>
    <mergeCell ref="V184:Y184"/>
    <mergeCell ref="Z184:AC184"/>
    <mergeCell ref="AD184:AG184"/>
    <mergeCell ref="AH184:AK184"/>
    <mergeCell ref="AL184:AO184"/>
    <mergeCell ref="F185:H186"/>
    <mergeCell ref="J185:AO185"/>
    <mergeCell ref="J186:M186"/>
    <mergeCell ref="N186:Q186"/>
    <mergeCell ref="R186:U186"/>
    <mergeCell ref="V186:Y186"/>
    <mergeCell ref="Z186:AC186"/>
    <mergeCell ref="AD186:AG186"/>
    <mergeCell ref="AH186:AK186"/>
    <mergeCell ref="AL186:AO186"/>
    <mergeCell ref="F187:H188"/>
    <mergeCell ref="J187:AO187"/>
    <mergeCell ref="J188:M188"/>
    <mergeCell ref="N188:Q188"/>
    <mergeCell ref="R188:U188"/>
    <mergeCell ref="V188:Y188"/>
    <mergeCell ref="Z188:AC188"/>
    <mergeCell ref="AD188:AG188"/>
    <mergeCell ref="AH188:AK188"/>
    <mergeCell ref="AL188:AO188"/>
    <mergeCell ref="F189:H190"/>
    <mergeCell ref="J189:AO190"/>
    <mergeCell ref="F191:H192"/>
    <mergeCell ref="J191:AO191"/>
    <mergeCell ref="J192:M192"/>
    <mergeCell ref="N192:Q192"/>
    <mergeCell ref="R192:U192"/>
    <mergeCell ref="V192:Y192"/>
    <mergeCell ref="Z192:AC192"/>
    <mergeCell ref="AD192:AG192"/>
    <mergeCell ref="AH192:AK192"/>
    <mergeCell ref="AL192:AO192"/>
    <mergeCell ref="F193:H194"/>
    <mergeCell ref="J193:AO193"/>
    <mergeCell ref="J194:M194"/>
    <mergeCell ref="N194:Q194"/>
    <mergeCell ref="R194:U194"/>
    <mergeCell ref="V194:Y194"/>
    <mergeCell ref="Z194:AC194"/>
    <mergeCell ref="AD194:AG194"/>
    <mergeCell ref="AH194:AK194"/>
    <mergeCell ref="AL194:AO194"/>
    <mergeCell ref="F195:H196"/>
    <mergeCell ref="J195:AO195"/>
    <mergeCell ref="J196:M196"/>
    <mergeCell ref="N196:Q196"/>
    <mergeCell ref="R196:U196"/>
    <mergeCell ref="V196:Y196"/>
    <mergeCell ref="Z196:AC196"/>
    <mergeCell ref="AD196:AG196"/>
    <mergeCell ref="AH196:AK196"/>
    <mergeCell ref="AL196:AO196"/>
    <mergeCell ref="F197:H198"/>
    <mergeCell ref="J197:AO197"/>
    <mergeCell ref="J198:M198"/>
    <mergeCell ref="N198:Q198"/>
    <mergeCell ref="R198:U198"/>
    <mergeCell ref="V198:Y198"/>
    <mergeCell ref="Z198:AC198"/>
    <mergeCell ref="AD198:AG198"/>
    <mergeCell ref="AH198:AK198"/>
    <mergeCell ref="AL198:AO198"/>
    <mergeCell ref="F199:H200"/>
    <mergeCell ref="J199:AO199"/>
    <mergeCell ref="J200:M200"/>
    <mergeCell ref="N200:Q200"/>
    <mergeCell ref="R200:U200"/>
    <mergeCell ref="V200:Y200"/>
    <mergeCell ref="Z200:AC200"/>
    <mergeCell ref="AD200:AG200"/>
    <mergeCell ref="AH200:AK200"/>
    <mergeCell ref="AL200:AO200"/>
    <mergeCell ref="F201:H202"/>
    <mergeCell ref="J201:AO201"/>
    <mergeCell ref="J202:M202"/>
    <mergeCell ref="N202:Q202"/>
    <mergeCell ref="R202:U202"/>
    <mergeCell ref="V202:Y202"/>
    <mergeCell ref="Z202:AC202"/>
    <mergeCell ref="AD202:AG202"/>
    <mergeCell ref="AH202:AK202"/>
    <mergeCell ref="AL202:AO202"/>
    <mergeCell ref="F203:H204"/>
    <mergeCell ref="J203:AO203"/>
    <mergeCell ref="J204:M204"/>
    <mergeCell ref="N204:Q204"/>
    <mergeCell ref="R204:U204"/>
    <mergeCell ref="V204:Y204"/>
    <mergeCell ref="Z204:AC204"/>
    <mergeCell ref="AD204:AG204"/>
    <mergeCell ref="AH204:AK204"/>
    <mergeCell ref="AL204:AO204"/>
    <mergeCell ref="F205:H206"/>
    <mergeCell ref="J205:AO205"/>
    <mergeCell ref="J206:M206"/>
    <mergeCell ref="N206:Q206"/>
    <mergeCell ref="R206:U206"/>
    <mergeCell ref="V206:Y206"/>
    <mergeCell ref="Z206:AC206"/>
    <mergeCell ref="AD206:AG206"/>
    <mergeCell ref="AH206:AK206"/>
    <mergeCell ref="AL206:AO206"/>
  </mergeCells>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04D98F-90C9-4FC7-869D-8293E316DFE0}">
  <dimension ref="C4:CI175"/>
  <sheetViews>
    <sheetView showGridLines="0" zoomScale="70" zoomScaleNormal="70" workbookViewId="0">
      <selection activeCell="AZ33" sqref="AZ33"/>
    </sheetView>
  </sheetViews>
  <sheetFormatPr defaultRowHeight="18.75" x14ac:dyDescent="0.4"/>
  <cols>
    <col min="1" max="46" width="3.625" customWidth="1"/>
    <col min="47" max="47" width="3.625" style="1" customWidth="1"/>
    <col min="48" max="290" width="3.625" customWidth="1"/>
  </cols>
  <sheetData>
    <row r="4" spans="6:87" x14ac:dyDescent="0.4">
      <c r="AW4" s="65" t="s">
        <v>19</v>
      </c>
      <c r="AX4" s="65"/>
      <c r="AY4" s="65"/>
      <c r="AZ4" s="65"/>
    </row>
    <row r="5" spans="6:87" x14ac:dyDescent="0.4">
      <c r="F5" s="149">
        <v>255</v>
      </c>
      <c r="G5" s="150"/>
      <c r="H5" s="2"/>
      <c r="I5" s="109">
        <v>224</v>
      </c>
      <c r="J5" s="151"/>
      <c r="K5" s="150">
        <v>223</v>
      </c>
      <c r="L5" s="150"/>
      <c r="N5" s="109">
        <v>192</v>
      </c>
      <c r="O5" s="151"/>
      <c r="P5" s="150">
        <v>191</v>
      </c>
      <c r="Q5" s="150"/>
      <c r="S5" s="109">
        <v>160</v>
      </c>
      <c r="T5" s="151"/>
      <c r="U5" s="45"/>
      <c r="V5" s="150">
        <v>159</v>
      </c>
      <c r="W5" s="150"/>
      <c r="Y5" s="109">
        <v>128</v>
      </c>
      <c r="Z5" s="151"/>
      <c r="AA5" s="150">
        <v>127</v>
      </c>
      <c r="AB5" s="150"/>
      <c r="AE5" s="10">
        <v>96</v>
      </c>
      <c r="AF5" s="7">
        <v>95</v>
      </c>
      <c r="AJ5" s="10">
        <v>64</v>
      </c>
      <c r="AK5" s="7">
        <v>63</v>
      </c>
      <c r="AO5" s="8">
        <v>32</v>
      </c>
      <c r="AP5" s="9">
        <v>31</v>
      </c>
      <c r="AQ5" s="2"/>
      <c r="AR5" s="2"/>
      <c r="AS5" s="2"/>
      <c r="AT5" s="8">
        <v>0</v>
      </c>
      <c r="AU5" s="27"/>
      <c r="AW5" s="146" t="s">
        <v>41</v>
      </c>
      <c r="AX5" s="146"/>
      <c r="AY5" s="146"/>
      <c r="AZ5" s="146"/>
    </row>
    <row r="6" spans="6:87" x14ac:dyDescent="0.4">
      <c r="F6" s="131" t="s">
        <v>11</v>
      </c>
      <c r="G6" s="131"/>
      <c r="H6" s="131"/>
      <c r="I6" s="131"/>
      <c r="J6" s="131"/>
      <c r="K6" s="52" t="s">
        <v>12</v>
      </c>
      <c r="L6" s="52"/>
      <c r="M6" s="52"/>
      <c r="N6" s="52"/>
      <c r="O6" s="52"/>
      <c r="P6" s="131" t="s">
        <v>13</v>
      </c>
      <c r="Q6" s="131"/>
      <c r="R6" s="131"/>
      <c r="S6" s="131"/>
      <c r="T6" s="131"/>
      <c r="U6" s="46"/>
      <c r="V6" s="52" t="s">
        <v>14</v>
      </c>
      <c r="W6" s="52"/>
      <c r="X6" s="52"/>
      <c r="Y6" s="52"/>
      <c r="Z6" s="52"/>
      <c r="AA6" s="131" t="s">
        <v>15</v>
      </c>
      <c r="AB6" s="131"/>
      <c r="AC6" s="131"/>
      <c r="AD6" s="131"/>
      <c r="AE6" s="131"/>
      <c r="AF6" s="52" t="s">
        <v>16</v>
      </c>
      <c r="AG6" s="52"/>
      <c r="AH6" s="52"/>
      <c r="AI6" s="52"/>
      <c r="AJ6" s="52"/>
      <c r="AK6" s="131" t="s">
        <v>17</v>
      </c>
      <c r="AL6" s="131"/>
      <c r="AM6" s="131"/>
      <c r="AN6" s="131"/>
      <c r="AO6" s="131"/>
      <c r="AP6" s="52" t="s">
        <v>18</v>
      </c>
      <c r="AQ6" s="52"/>
      <c r="AR6" s="52"/>
      <c r="AS6" s="52"/>
      <c r="AT6" s="52"/>
      <c r="AU6" s="11">
        <v>0</v>
      </c>
      <c r="AV6" s="3"/>
      <c r="AW6" s="136" t="s">
        <v>42</v>
      </c>
      <c r="AX6" s="137"/>
      <c r="AY6" s="137"/>
      <c r="AZ6" s="138"/>
    </row>
    <row r="7" spans="6:87" x14ac:dyDescent="0.4">
      <c r="F7" s="131" t="s">
        <v>27</v>
      </c>
      <c r="G7" s="131"/>
      <c r="H7" s="131"/>
      <c r="I7" s="131"/>
      <c r="J7" s="131"/>
      <c r="K7" s="52" t="s">
        <v>26</v>
      </c>
      <c r="L7" s="52"/>
      <c r="M7" s="52"/>
      <c r="N7" s="52"/>
      <c r="O7" s="52"/>
      <c r="P7" s="131" t="s">
        <v>25</v>
      </c>
      <c r="Q7" s="131"/>
      <c r="R7" s="131"/>
      <c r="S7" s="131"/>
      <c r="T7" s="131"/>
      <c r="U7" s="46"/>
      <c r="V7" s="52" t="s">
        <v>24</v>
      </c>
      <c r="W7" s="52"/>
      <c r="X7" s="52"/>
      <c r="Y7" s="52"/>
      <c r="Z7" s="52"/>
      <c r="AA7" s="131" t="s">
        <v>23</v>
      </c>
      <c r="AB7" s="131"/>
      <c r="AC7" s="131"/>
      <c r="AD7" s="131"/>
      <c r="AE7" s="131"/>
      <c r="AF7" s="52" t="s">
        <v>22</v>
      </c>
      <c r="AG7" s="52"/>
      <c r="AH7" s="52"/>
      <c r="AI7" s="52"/>
      <c r="AJ7" s="52"/>
      <c r="AK7" s="131" t="s">
        <v>21</v>
      </c>
      <c r="AL7" s="131"/>
      <c r="AM7" s="131"/>
      <c r="AN7" s="131"/>
      <c r="AO7" s="131"/>
      <c r="AP7" s="52" t="s">
        <v>20</v>
      </c>
      <c r="AQ7" s="52"/>
      <c r="AR7" s="52"/>
      <c r="AS7" s="52"/>
      <c r="AT7" s="52"/>
      <c r="AU7" s="11">
        <v>1</v>
      </c>
      <c r="AV7" s="3"/>
      <c r="AW7" s="136" t="s">
        <v>43</v>
      </c>
      <c r="AX7" s="137"/>
      <c r="AY7" s="137"/>
      <c r="AZ7" s="138"/>
      <c r="BL7" s="65" t="s">
        <v>103</v>
      </c>
      <c r="BM7" s="65"/>
      <c r="BN7" s="65"/>
      <c r="BO7" s="65"/>
      <c r="BP7" s="65"/>
      <c r="BQ7" s="65"/>
      <c r="BR7" s="65"/>
      <c r="BT7" s="65" t="s">
        <v>1</v>
      </c>
      <c r="BU7" s="65"/>
      <c r="BV7" s="65"/>
      <c r="BW7" s="65"/>
      <c r="BX7" s="65"/>
      <c r="BY7" s="65"/>
      <c r="BZ7" s="65"/>
      <c r="CA7" s="65"/>
      <c r="CB7" s="65"/>
      <c r="CC7" s="65"/>
      <c r="CD7" s="65"/>
      <c r="CF7" s="65" t="s">
        <v>129</v>
      </c>
      <c r="CG7" s="65"/>
      <c r="CH7" s="65"/>
      <c r="CI7" s="65"/>
    </row>
    <row r="8" spans="6:87" x14ac:dyDescent="0.4">
      <c r="F8" s="60" t="s">
        <v>0</v>
      </c>
      <c r="G8" s="60"/>
      <c r="H8" s="60"/>
      <c r="I8" s="60"/>
      <c r="J8" s="60"/>
      <c r="K8" s="60"/>
      <c r="L8" s="60"/>
      <c r="M8" s="60"/>
      <c r="N8" s="60"/>
      <c r="O8" s="60"/>
      <c r="P8" s="60"/>
      <c r="Q8" s="60"/>
      <c r="R8" s="60"/>
      <c r="S8" s="60"/>
      <c r="T8" s="60"/>
      <c r="U8" s="60"/>
      <c r="V8" s="60"/>
      <c r="W8" s="60"/>
      <c r="X8" s="60"/>
      <c r="Y8" s="60"/>
      <c r="Z8" s="60"/>
      <c r="AA8" s="60"/>
      <c r="AB8" s="60"/>
      <c r="AC8" s="60"/>
      <c r="AD8" s="60"/>
      <c r="AE8" s="60"/>
      <c r="AF8" s="60"/>
      <c r="AG8" s="60"/>
      <c r="AH8" s="60"/>
      <c r="AI8" s="60"/>
      <c r="AJ8" s="60"/>
      <c r="AK8" s="60"/>
      <c r="AL8" s="60"/>
      <c r="AM8" s="60"/>
      <c r="AN8" s="60"/>
      <c r="AO8" s="60"/>
      <c r="AP8" s="60"/>
      <c r="AQ8" s="60"/>
      <c r="AR8" s="60"/>
      <c r="AS8" s="60"/>
      <c r="AT8" s="60"/>
      <c r="AU8" s="12" t="s">
        <v>0</v>
      </c>
      <c r="AV8" s="3"/>
      <c r="AW8" s="139" t="s">
        <v>0</v>
      </c>
      <c r="AX8" s="140"/>
      <c r="AY8" s="140"/>
      <c r="AZ8" s="141"/>
      <c r="BL8" s="52" t="s">
        <v>94</v>
      </c>
      <c r="BM8" s="52"/>
      <c r="BN8" s="52"/>
      <c r="BO8" s="52"/>
      <c r="BP8" s="52"/>
      <c r="BQ8" s="52"/>
      <c r="BR8" s="52"/>
      <c r="BT8" s="131" t="s">
        <v>131</v>
      </c>
      <c r="BU8" s="131"/>
      <c r="BV8" s="131"/>
      <c r="BW8" s="131"/>
      <c r="BX8" s="132"/>
      <c r="BY8" s="15" t="s">
        <v>102</v>
      </c>
      <c r="BZ8" s="133" t="s">
        <v>130</v>
      </c>
      <c r="CA8" s="131"/>
      <c r="CB8" s="131"/>
      <c r="CC8" s="131"/>
      <c r="CD8" s="131"/>
      <c r="CF8" s="131">
        <v>512</v>
      </c>
      <c r="CG8" s="131"/>
      <c r="CH8" s="131"/>
      <c r="CI8" s="131"/>
    </row>
    <row r="9" spans="6:87" x14ac:dyDescent="0.4">
      <c r="F9" s="131" t="s">
        <v>35</v>
      </c>
      <c r="G9" s="131"/>
      <c r="H9" s="131"/>
      <c r="I9" s="131"/>
      <c r="J9" s="131"/>
      <c r="K9" s="52" t="s">
        <v>34</v>
      </c>
      <c r="L9" s="52"/>
      <c r="M9" s="52"/>
      <c r="N9" s="52"/>
      <c r="O9" s="52"/>
      <c r="P9" s="131" t="s">
        <v>32</v>
      </c>
      <c r="Q9" s="131"/>
      <c r="R9" s="131"/>
      <c r="S9" s="131"/>
      <c r="T9" s="131"/>
      <c r="U9" s="46"/>
      <c r="V9" s="52" t="s">
        <v>33</v>
      </c>
      <c r="W9" s="52"/>
      <c r="X9" s="52"/>
      <c r="Y9" s="52"/>
      <c r="Z9" s="52"/>
      <c r="AA9" s="131" t="s">
        <v>31</v>
      </c>
      <c r="AB9" s="131"/>
      <c r="AC9" s="131"/>
      <c r="AD9" s="131"/>
      <c r="AE9" s="131"/>
      <c r="AF9" s="52" t="s">
        <v>30</v>
      </c>
      <c r="AG9" s="52"/>
      <c r="AH9" s="52"/>
      <c r="AI9" s="52"/>
      <c r="AJ9" s="52"/>
      <c r="AK9" s="131" t="s">
        <v>29</v>
      </c>
      <c r="AL9" s="131"/>
      <c r="AM9" s="131"/>
      <c r="AN9" s="131"/>
      <c r="AO9" s="131"/>
      <c r="AP9" s="52" t="s">
        <v>28</v>
      </c>
      <c r="AQ9" s="52"/>
      <c r="AR9" s="52"/>
      <c r="AS9" s="52"/>
      <c r="AT9" s="52"/>
      <c r="AU9" s="11" t="s">
        <v>40</v>
      </c>
      <c r="AV9" s="3"/>
      <c r="AW9" s="136" t="s">
        <v>44</v>
      </c>
      <c r="AX9" s="137"/>
      <c r="AY9" s="137"/>
      <c r="AZ9" s="138"/>
      <c r="BL9" s="52" t="s">
        <v>95</v>
      </c>
      <c r="BM9" s="52"/>
      <c r="BN9" s="52"/>
      <c r="BO9" s="52"/>
      <c r="BP9" s="52"/>
      <c r="BQ9" s="52"/>
      <c r="BR9" s="52"/>
      <c r="BT9" s="131" t="s">
        <v>132</v>
      </c>
      <c r="BU9" s="131"/>
      <c r="BV9" s="131"/>
      <c r="BW9" s="131"/>
      <c r="BX9" s="132"/>
      <c r="BY9" s="15" t="s">
        <v>102</v>
      </c>
      <c r="BZ9" s="133" t="s">
        <v>133</v>
      </c>
      <c r="CA9" s="131"/>
      <c r="CB9" s="131"/>
      <c r="CC9" s="131"/>
      <c r="CD9" s="131"/>
      <c r="CF9" s="131">
        <v>512</v>
      </c>
      <c r="CG9" s="131"/>
      <c r="CH9" s="131"/>
      <c r="CI9" s="131"/>
    </row>
    <row r="10" spans="6:87" x14ac:dyDescent="0.4">
      <c r="BL10" s="52" t="s">
        <v>96</v>
      </c>
      <c r="BM10" s="52"/>
      <c r="BN10" s="52"/>
      <c r="BO10" s="52"/>
      <c r="BP10" s="52"/>
      <c r="BQ10" s="52"/>
      <c r="BR10" s="52"/>
      <c r="BT10" s="131" t="s">
        <v>134</v>
      </c>
      <c r="BU10" s="131"/>
      <c r="BV10" s="131"/>
      <c r="BW10" s="131"/>
      <c r="BX10" s="132"/>
      <c r="BY10" s="15" t="s">
        <v>102</v>
      </c>
      <c r="BZ10" s="133" t="s">
        <v>135</v>
      </c>
      <c r="CA10" s="131"/>
      <c r="CB10" s="131"/>
      <c r="CC10" s="131"/>
      <c r="CD10" s="131"/>
      <c r="CF10" s="131">
        <v>512</v>
      </c>
      <c r="CG10" s="131"/>
      <c r="CH10" s="131"/>
      <c r="CI10" s="131"/>
    </row>
    <row r="11" spans="6:87" x14ac:dyDescent="0.4">
      <c r="Y11" s="1"/>
      <c r="Z11" s="1"/>
      <c r="AA11" s="1"/>
      <c r="AB11" s="1"/>
      <c r="AC11" s="1"/>
      <c r="AD11" s="1"/>
      <c r="BL11" s="52" t="s">
        <v>97</v>
      </c>
      <c r="BM11" s="52"/>
      <c r="BN11" s="52"/>
      <c r="BO11" s="52"/>
      <c r="BP11" s="52"/>
      <c r="BQ11" s="52"/>
      <c r="BR11" s="52"/>
      <c r="BT11" s="131" t="s">
        <v>136</v>
      </c>
      <c r="BU11" s="131"/>
      <c r="BV11" s="131"/>
      <c r="BW11" s="131"/>
      <c r="BX11" s="132"/>
      <c r="BY11" s="15" t="s">
        <v>102</v>
      </c>
      <c r="BZ11" s="133" t="s">
        <v>137</v>
      </c>
      <c r="CA11" s="131"/>
      <c r="CB11" s="131"/>
      <c r="CC11" s="131"/>
      <c r="CD11" s="131"/>
      <c r="CF11" s="131">
        <v>512</v>
      </c>
      <c r="CG11" s="131"/>
      <c r="CH11" s="131"/>
      <c r="CI11" s="131"/>
    </row>
    <row r="12" spans="6:87" x14ac:dyDescent="0.4">
      <c r="V12" s="147">
        <v>31</v>
      </c>
      <c r="W12" s="148"/>
      <c r="X12" s="7">
        <v>30</v>
      </c>
      <c r="AA12" s="8">
        <v>23</v>
      </c>
      <c r="AB12" s="7">
        <v>22</v>
      </c>
      <c r="AJ12" s="8">
        <v>0</v>
      </c>
      <c r="BL12" s="52" t="s">
        <v>98</v>
      </c>
      <c r="BM12" s="52"/>
      <c r="BN12" s="52"/>
      <c r="BO12" s="52"/>
      <c r="BP12" s="52"/>
      <c r="BQ12" s="52"/>
      <c r="BR12" s="52"/>
      <c r="BT12" s="131" t="s">
        <v>138</v>
      </c>
      <c r="BU12" s="131"/>
      <c r="BV12" s="131"/>
      <c r="BW12" s="131"/>
      <c r="BX12" s="132"/>
      <c r="BY12" s="15" t="s">
        <v>102</v>
      </c>
      <c r="BZ12" s="133" t="s">
        <v>139</v>
      </c>
      <c r="CA12" s="131"/>
      <c r="CB12" s="131"/>
      <c r="CC12" s="131"/>
      <c r="CD12" s="131"/>
      <c r="CF12" s="131">
        <v>512</v>
      </c>
      <c r="CG12" s="131"/>
      <c r="CH12" s="131"/>
      <c r="CI12" s="131"/>
    </row>
    <row r="13" spans="6:87" x14ac:dyDescent="0.4">
      <c r="V13" s="131" t="s">
        <v>38</v>
      </c>
      <c r="W13" s="131"/>
      <c r="X13" s="131" t="s">
        <v>37</v>
      </c>
      <c r="Y13" s="131"/>
      <c r="Z13" s="131"/>
      <c r="AA13" s="131"/>
      <c r="AB13" s="131" t="s">
        <v>36</v>
      </c>
      <c r="AC13" s="131"/>
      <c r="AD13" s="131"/>
      <c r="AE13" s="131"/>
      <c r="AF13" s="131"/>
      <c r="AG13" s="131"/>
      <c r="AH13" s="131"/>
      <c r="AI13" s="131"/>
      <c r="AJ13" s="131"/>
      <c r="BL13" s="52" t="s">
        <v>99</v>
      </c>
      <c r="BM13" s="52"/>
      <c r="BN13" s="52"/>
      <c r="BO13" s="52"/>
      <c r="BP13" s="52"/>
      <c r="BQ13" s="52"/>
      <c r="BR13" s="52"/>
      <c r="BT13" s="131" t="s">
        <v>140</v>
      </c>
      <c r="BU13" s="131"/>
      <c r="BV13" s="131"/>
      <c r="BW13" s="131"/>
      <c r="BX13" s="132"/>
      <c r="BY13" s="15" t="s">
        <v>102</v>
      </c>
      <c r="BZ13" s="133" t="s">
        <v>141</v>
      </c>
      <c r="CA13" s="131"/>
      <c r="CB13" s="131"/>
      <c r="CC13" s="131"/>
      <c r="CD13" s="131"/>
      <c r="CF13" s="131">
        <v>512</v>
      </c>
      <c r="CG13" s="131"/>
      <c r="CH13" s="131"/>
      <c r="CI13" s="131"/>
    </row>
    <row r="14" spans="6:87" x14ac:dyDescent="0.4">
      <c r="Z14" s="49" t="s">
        <v>39</v>
      </c>
      <c r="AA14" s="49"/>
      <c r="AB14" s="49"/>
      <c r="AC14" s="49"/>
      <c r="AD14" s="49"/>
      <c r="AE14" s="49"/>
      <c r="AF14" s="49"/>
      <c r="BL14" s="52" t="s">
        <v>100</v>
      </c>
      <c r="BM14" s="52"/>
      <c r="BN14" s="52"/>
      <c r="BO14" s="52"/>
      <c r="BP14" s="52"/>
      <c r="BQ14" s="52"/>
      <c r="BR14" s="52"/>
      <c r="BT14" s="131" t="s">
        <v>142</v>
      </c>
      <c r="BU14" s="131"/>
      <c r="BV14" s="131"/>
      <c r="BW14" s="131"/>
      <c r="BX14" s="132"/>
      <c r="BY14" s="15" t="s">
        <v>102</v>
      </c>
      <c r="BZ14" s="133" t="s">
        <v>143</v>
      </c>
      <c r="CA14" s="131"/>
      <c r="CB14" s="131"/>
      <c r="CC14" s="131"/>
      <c r="CD14" s="131"/>
      <c r="CF14" s="131">
        <v>512</v>
      </c>
      <c r="CG14" s="131"/>
      <c r="CH14" s="131"/>
      <c r="CI14" s="131"/>
    </row>
    <row r="15" spans="6:87" x14ac:dyDescent="0.4">
      <c r="BL15" s="52" t="s">
        <v>101</v>
      </c>
      <c r="BM15" s="52"/>
      <c r="BN15" s="52"/>
      <c r="BO15" s="52"/>
      <c r="BP15" s="52"/>
      <c r="BQ15" s="52"/>
      <c r="BR15" s="52"/>
      <c r="BT15" s="131" t="s">
        <v>144</v>
      </c>
      <c r="BU15" s="131"/>
      <c r="BV15" s="131"/>
      <c r="BW15" s="131"/>
      <c r="BX15" s="132"/>
      <c r="BY15" s="15" t="s">
        <v>102</v>
      </c>
      <c r="BZ15" s="133" t="s">
        <v>145</v>
      </c>
      <c r="CA15" s="131"/>
      <c r="CB15" s="131"/>
      <c r="CC15" s="131"/>
      <c r="CD15" s="131"/>
      <c r="CF15" s="131">
        <v>512</v>
      </c>
      <c r="CG15" s="131"/>
      <c r="CH15" s="131"/>
      <c r="CI15" s="131"/>
    </row>
    <row r="20" spans="6:47" x14ac:dyDescent="0.4">
      <c r="AR20" s="65" t="s">
        <v>19</v>
      </c>
      <c r="AS20" s="65"/>
      <c r="AT20" s="65"/>
      <c r="AU20" s="65"/>
    </row>
    <row r="21" spans="6:47" x14ac:dyDescent="0.4">
      <c r="F21" s="144">
        <v>511</v>
      </c>
      <c r="G21" s="142"/>
      <c r="I21" s="119">
        <v>496</v>
      </c>
      <c r="J21" s="145"/>
      <c r="K21" s="142">
        <v>495</v>
      </c>
      <c r="L21" s="142"/>
      <c r="N21" s="119">
        <v>480</v>
      </c>
      <c r="O21" s="145"/>
      <c r="P21" s="142"/>
      <c r="Q21" s="142"/>
      <c r="S21" s="119"/>
      <c r="T21" s="145"/>
      <c r="U21" s="13"/>
      <c r="V21" s="142">
        <v>63</v>
      </c>
      <c r="W21" s="142"/>
      <c r="Z21" s="16">
        <v>48</v>
      </c>
      <c r="AA21" s="7">
        <v>47</v>
      </c>
      <c r="AE21" s="16">
        <v>32</v>
      </c>
      <c r="AF21" s="7">
        <v>31</v>
      </c>
      <c r="AJ21" s="3">
        <v>16</v>
      </c>
      <c r="AK21" s="7">
        <v>15</v>
      </c>
      <c r="AO21" s="3">
        <v>0</v>
      </c>
      <c r="AR21" s="146" t="s">
        <v>41</v>
      </c>
      <c r="AS21" s="146"/>
      <c r="AT21" s="146"/>
      <c r="AU21" s="146"/>
    </row>
    <row r="22" spans="6:47" x14ac:dyDescent="0.4">
      <c r="F22" s="131" t="s">
        <v>49</v>
      </c>
      <c r="G22" s="131"/>
      <c r="H22" s="131"/>
      <c r="I22" s="131"/>
      <c r="J22" s="131"/>
      <c r="K22" s="52" t="s">
        <v>48</v>
      </c>
      <c r="L22" s="52"/>
      <c r="M22" s="52"/>
      <c r="N22" s="52"/>
      <c r="O22" s="52"/>
      <c r="P22" s="60" t="s">
        <v>0</v>
      </c>
      <c r="Q22" s="60"/>
      <c r="R22" s="60"/>
      <c r="S22" s="60"/>
      <c r="T22" s="60"/>
      <c r="U22" s="28"/>
      <c r="V22" s="131" t="s">
        <v>15</v>
      </c>
      <c r="W22" s="131"/>
      <c r="X22" s="131"/>
      <c r="Y22" s="131"/>
      <c r="Z22" s="131"/>
      <c r="AA22" s="52" t="s">
        <v>16</v>
      </c>
      <c r="AB22" s="52"/>
      <c r="AC22" s="52"/>
      <c r="AD22" s="52"/>
      <c r="AE22" s="52"/>
      <c r="AF22" s="131" t="s">
        <v>17</v>
      </c>
      <c r="AG22" s="131"/>
      <c r="AH22" s="131"/>
      <c r="AI22" s="131"/>
      <c r="AJ22" s="131"/>
      <c r="AK22" s="52" t="s">
        <v>18</v>
      </c>
      <c r="AL22" s="52"/>
      <c r="AM22" s="52"/>
      <c r="AN22" s="52"/>
      <c r="AO22" s="52"/>
      <c r="AP22" s="17">
        <v>0</v>
      </c>
      <c r="AQ22" s="3"/>
      <c r="AR22" s="136" t="s">
        <v>42</v>
      </c>
      <c r="AS22" s="137"/>
      <c r="AT22" s="137"/>
      <c r="AU22" s="138"/>
    </row>
    <row r="23" spans="6:47" x14ac:dyDescent="0.4">
      <c r="F23" s="131" t="s">
        <v>210</v>
      </c>
      <c r="G23" s="131"/>
      <c r="H23" s="131"/>
      <c r="I23" s="131"/>
      <c r="J23" s="131"/>
      <c r="K23" s="52" t="s">
        <v>209</v>
      </c>
      <c r="L23" s="52"/>
      <c r="M23" s="52"/>
      <c r="N23" s="52"/>
      <c r="O23" s="52"/>
      <c r="P23" s="60" t="s">
        <v>0</v>
      </c>
      <c r="Q23" s="60"/>
      <c r="R23" s="60"/>
      <c r="S23" s="60"/>
      <c r="T23" s="60"/>
      <c r="U23" s="28"/>
      <c r="V23" s="131" t="s">
        <v>200</v>
      </c>
      <c r="W23" s="131"/>
      <c r="X23" s="131"/>
      <c r="Y23" s="131"/>
      <c r="Z23" s="131"/>
      <c r="AA23" s="52" t="s">
        <v>199</v>
      </c>
      <c r="AB23" s="52"/>
      <c r="AC23" s="52"/>
      <c r="AD23" s="52"/>
      <c r="AE23" s="52"/>
      <c r="AF23" s="131" t="s">
        <v>198</v>
      </c>
      <c r="AG23" s="131"/>
      <c r="AH23" s="131"/>
      <c r="AI23" s="131"/>
      <c r="AJ23" s="131"/>
      <c r="AK23" s="52" t="s">
        <v>197</v>
      </c>
      <c r="AL23" s="52"/>
      <c r="AM23" s="52"/>
      <c r="AN23" s="52"/>
      <c r="AO23" s="52"/>
      <c r="AP23" s="17">
        <v>1</v>
      </c>
      <c r="AQ23" s="3"/>
      <c r="AR23" s="136" t="s">
        <v>207</v>
      </c>
      <c r="AS23" s="137"/>
      <c r="AT23" s="137"/>
      <c r="AU23" s="138"/>
    </row>
    <row r="24" spans="6:47" x14ac:dyDescent="0.4">
      <c r="F24" s="60" t="s">
        <v>0</v>
      </c>
      <c r="G24" s="60"/>
      <c r="H24" s="60"/>
      <c r="I24" s="60"/>
      <c r="J24" s="60"/>
      <c r="K24" s="60"/>
      <c r="L24" s="60"/>
      <c r="M24" s="60"/>
      <c r="N24" s="60"/>
      <c r="O24" s="60"/>
      <c r="P24" s="60"/>
      <c r="Q24" s="60"/>
      <c r="R24" s="60"/>
      <c r="S24" s="60"/>
      <c r="T24" s="60"/>
      <c r="U24" s="60"/>
      <c r="V24" s="60"/>
      <c r="W24" s="60"/>
      <c r="X24" s="60"/>
      <c r="Y24" s="60"/>
      <c r="Z24" s="60"/>
      <c r="AA24" s="60"/>
      <c r="AB24" s="60"/>
      <c r="AC24" s="60"/>
      <c r="AD24" s="60"/>
      <c r="AE24" s="60"/>
      <c r="AF24" s="60"/>
      <c r="AG24" s="60"/>
      <c r="AH24" s="60"/>
      <c r="AI24" s="60"/>
      <c r="AJ24" s="60"/>
      <c r="AK24" s="60"/>
      <c r="AL24" s="60"/>
      <c r="AM24" s="60"/>
      <c r="AN24" s="60"/>
      <c r="AO24" s="60"/>
      <c r="AP24" s="18" t="s">
        <v>0</v>
      </c>
      <c r="AQ24" s="3"/>
      <c r="AR24" s="139" t="s">
        <v>0</v>
      </c>
      <c r="AS24" s="140"/>
      <c r="AT24" s="140"/>
      <c r="AU24" s="141"/>
    </row>
    <row r="25" spans="6:47" x14ac:dyDescent="0.4">
      <c r="F25" s="131" t="s">
        <v>206</v>
      </c>
      <c r="G25" s="131"/>
      <c r="H25" s="131"/>
      <c r="I25" s="131"/>
      <c r="J25" s="131"/>
      <c r="K25" s="52" t="s">
        <v>205</v>
      </c>
      <c r="L25" s="52"/>
      <c r="M25" s="52"/>
      <c r="N25" s="52"/>
      <c r="O25" s="52"/>
      <c r="P25" s="60" t="s">
        <v>0</v>
      </c>
      <c r="Q25" s="60"/>
      <c r="R25" s="60"/>
      <c r="S25" s="60"/>
      <c r="T25" s="60"/>
      <c r="U25" s="28"/>
      <c r="V25" s="131" t="s">
        <v>204</v>
      </c>
      <c r="W25" s="131"/>
      <c r="X25" s="131"/>
      <c r="Y25" s="131"/>
      <c r="Z25" s="131"/>
      <c r="AA25" s="52" t="s">
        <v>203</v>
      </c>
      <c r="AB25" s="52"/>
      <c r="AC25" s="52"/>
      <c r="AD25" s="52"/>
      <c r="AE25" s="52"/>
      <c r="AF25" s="131" t="s">
        <v>202</v>
      </c>
      <c r="AG25" s="131"/>
      <c r="AH25" s="131"/>
      <c r="AI25" s="131"/>
      <c r="AJ25" s="131"/>
      <c r="AK25" s="52" t="s">
        <v>201</v>
      </c>
      <c r="AL25" s="52"/>
      <c r="AM25" s="52"/>
      <c r="AN25" s="52"/>
      <c r="AO25" s="52"/>
      <c r="AP25" s="17" t="s">
        <v>40</v>
      </c>
      <c r="AQ25" s="3"/>
      <c r="AR25" s="136" t="s">
        <v>208</v>
      </c>
      <c r="AS25" s="137"/>
      <c r="AT25" s="137"/>
      <c r="AU25" s="138"/>
    </row>
    <row r="27" spans="6:47" x14ac:dyDescent="0.4">
      <c r="P27" s="142"/>
      <c r="Q27" s="142"/>
      <c r="R27" s="7"/>
      <c r="T27" s="14">
        <v>15</v>
      </c>
      <c r="U27" s="7"/>
      <c r="V27" s="7"/>
      <c r="W27" s="7"/>
      <c r="AA27" s="8">
        <v>0</v>
      </c>
    </row>
    <row r="28" spans="6:47" x14ac:dyDescent="0.4">
      <c r="P28" s="142"/>
      <c r="Q28" s="142"/>
      <c r="T28" s="19" t="s">
        <v>52</v>
      </c>
      <c r="U28" s="20"/>
      <c r="V28" s="20"/>
      <c r="W28" s="20"/>
      <c r="X28" s="20"/>
      <c r="Y28" s="20"/>
      <c r="Z28" s="143" t="s">
        <v>51</v>
      </c>
      <c r="AA28" s="134"/>
    </row>
    <row r="29" spans="6:47" x14ac:dyDescent="0.4">
      <c r="T29" s="65" t="s">
        <v>50</v>
      </c>
      <c r="U29" s="65"/>
      <c r="V29" s="65"/>
      <c r="W29" s="65"/>
      <c r="X29" s="65"/>
      <c r="Y29" s="65"/>
      <c r="Z29" s="65"/>
      <c r="AA29" s="65"/>
    </row>
    <row r="35" spans="6:48" x14ac:dyDescent="0.4">
      <c r="AF35" s="65" t="s">
        <v>19</v>
      </c>
      <c r="AG35" s="65"/>
      <c r="AH35" s="65"/>
      <c r="AI35" s="65"/>
      <c r="AR35" s="65"/>
      <c r="AS35" s="65"/>
      <c r="AT35" s="65"/>
      <c r="AU35" s="65"/>
    </row>
    <row r="36" spans="6:48" x14ac:dyDescent="0.4">
      <c r="F36" s="144">
        <v>255</v>
      </c>
      <c r="G36" s="142"/>
      <c r="J36" s="119">
        <v>254</v>
      </c>
      <c r="K36" s="145"/>
      <c r="L36" s="142"/>
      <c r="M36" s="142"/>
      <c r="O36" s="119"/>
      <c r="P36" s="145"/>
      <c r="Q36" s="7">
        <v>3</v>
      </c>
      <c r="W36" s="3">
        <v>2</v>
      </c>
      <c r="X36" s="7">
        <v>1</v>
      </c>
      <c r="AC36" s="3">
        <v>0</v>
      </c>
      <c r="AF36" s="146" t="s">
        <v>41</v>
      </c>
      <c r="AG36" s="146"/>
      <c r="AH36" s="146"/>
      <c r="AI36" s="146"/>
    </row>
    <row r="37" spans="6:48" x14ac:dyDescent="0.4">
      <c r="F37" s="131" t="s">
        <v>106</v>
      </c>
      <c r="G37" s="131"/>
      <c r="H37" s="131"/>
      <c r="I37" s="131"/>
      <c r="J37" s="131"/>
      <c r="K37" s="131"/>
      <c r="L37" s="60" t="s">
        <v>0</v>
      </c>
      <c r="M37" s="60"/>
      <c r="N37" s="60"/>
      <c r="O37" s="60"/>
      <c r="P37" s="60"/>
      <c r="Q37" s="131" t="s">
        <v>105</v>
      </c>
      <c r="R37" s="131"/>
      <c r="S37" s="131"/>
      <c r="T37" s="131"/>
      <c r="U37" s="131"/>
      <c r="V37" s="131"/>
      <c r="W37" s="131"/>
      <c r="X37" s="131" t="s">
        <v>104</v>
      </c>
      <c r="Y37" s="131"/>
      <c r="Z37" s="131"/>
      <c r="AA37" s="131"/>
      <c r="AB37" s="131"/>
      <c r="AC37" s="131"/>
      <c r="AD37" s="17">
        <v>0</v>
      </c>
      <c r="AE37" s="3"/>
      <c r="AF37" s="136" t="s">
        <v>42</v>
      </c>
      <c r="AG37" s="137"/>
      <c r="AH37" s="137"/>
      <c r="AI37" s="138"/>
    </row>
    <row r="38" spans="6:48" x14ac:dyDescent="0.4">
      <c r="F38" s="131" t="s">
        <v>109</v>
      </c>
      <c r="G38" s="131"/>
      <c r="H38" s="131"/>
      <c r="I38" s="131"/>
      <c r="J38" s="131"/>
      <c r="K38" s="131"/>
      <c r="L38" s="60" t="s">
        <v>0</v>
      </c>
      <c r="M38" s="60"/>
      <c r="N38" s="60"/>
      <c r="O38" s="60"/>
      <c r="P38" s="60"/>
      <c r="Q38" s="131" t="s">
        <v>108</v>
      </c>
      <c r="R38" s="131"/>
      <c r="S38" s="131"/>
      <c r="T38" s="131"/>
      <c r="U38" s="131"/>
      <c r="V38" s="131"/>
      <c r="W38" s="131"/>
      <c r="X38" s="131" t="s">
        <v>107</v>
      </c>
      <c r="Y38" s="131"/>
      <c r="Z38" s="131"/>
      <c r="AA38" s="131"/>
      <c r="AB38" s="131"/>
      <c r="AC38" s="131"/>
      <c r="AD38" s="17">
        <v>1</v>
      </c>
      <c r="AE38" s="3"/>
      <c r="AF38" s="136" t="s">
        <v>43</v>
      </c>
      <c r="AG38" s="137"/>
      <c r="AH38" s="137"/>
      <c r="AI38" s="138"/>
    </row>
    <row r="39" spans="6:48" x14ac:dyDescent="0.4">
      <c r="F39" s="60" t="s">
        <v>0</v>
      </c>
      <c r="G39" s="60"/>
      <c r="H39" s="60"/>
      <c r="I39" s="60"/>
      <c r="J39" s="60"/>
      <c r="K39" s="60"/>
      <c r="L39" s="60"/>
      <c r="M39" s="60"/>
      <c r="N39" s="60"/>
      <c r="O39" s="60"/>
      <c r="P39" s="60"/>
      <c r="Q39" s="60"/>
      <c r="R39" s="60"/>
      <c r="S39" s="60"/>
      <c r="T39" s="60"/>
      <c r="U39" s="60"/>
      <c r="V39" s="60"/>
      <c r="W39" s="60"/>
      <c r="X39" s="60"/>
      <c r="Y39" s="60"/>
      <c r="Z39" s="60"/>
      <c r="AA39" s="60"/>
      <c r="AB39" s="60"/>
      <c r="AC39" s="60"/>
      <c r="AD39" s="18" t="s">
        <v>0</v>
      </c>
      <c r="AE39" s="3"/>
      <c r="AF39" s="139" t="s">
        <v>0</v>
      </c>
      <c r="AG39" s="140"/>
      <c r="AH39" s="140"/>
      <c r="AI39" s="141"/>
    </row>
    <row r="40" spans="6:48" x14ac:dyDescent="0.4">
      <c r="F40" s="131" t="s">
        <v>112</v>
      </c>
      <c r="G40" s="131"/>
      <c r="H40" s="131"/>
      <c r="I40" s="131"/>
      <c r="J40" s="131"/>
      <c r="K40" s="131"/>
      <c r="L40" s="60" t="s">
        <v>0</v>
      </c>
      <c r="M40" s="60"/>
      <c r="N40" s="60"/>
      <c r="O40" s="60"/>
      <c r="P40" s="60"/>
      <c r="Q40" s="131" t="s">
        <v>111</v>
      </c>
      <c r="R40" s="131"/>
      <c r="S40" s="131"/>
      <c r="T40" s="131"/>
      <c r="U40" s="131"/>
      <c r="V40" s="131"/>
      <c r="W40" s="131"/>
      <c r="X40" s="131" t="s">
        <v>110</v>
      </c>
      <c r="Y40" s="131"/>
      <c r="Z40" s="131"/>
      <c r="AA40" s="131"/>
      <c r="AB40" s="131"/>
      <c r="AC40" s="131"/>
      <c r="AD40" s="17" t="s">
        <v>40</v>
      </c>
      <c r="AE40" s="3"/>
      <c r="AF40" s="136" t="s">
        <v>44</v>
      </c>
      <c r="AG40" s="137"/>
      <c r="AH40" s="137"/>
      <c r="AI40" s="138"/>
    </row>
    <row r="42" spans="6:48" x14ac:dyDescent="0.4">
      <c r="P42" s="23">
        <v>1</v>
      </c>
      <c r="Q42" s="7"/>
      <c r="R42" s="7"/>
      <c r="S42" s="7"/>
      <c r="X42" s="3">
        <v>0</v>
      </c>
    </row>
    <row r="43" spans="6:48" x14ac:dyDescent="0.4">
      <c r="P43" s="24" t="s">
        <v>52</v>
      </c>
      <c r="Q43" s="19"/>
      <c r="R43" s="20"/>
      <c r="S43" s="20"/>
      <c r="T43" s="20"/>
      <c r="U43" s="20"/>
      <c r="V43" s="20"/>
      <c r="W43" s="134" t="s">
        <v>51</v>
      </c>
      <c r="X43" s="135"/>
    </row>
    <row r="44" spans="6:48" x14ac:dyDescent="0.4">
      <c r="P44" s="49" t="s">
        <v>113</v>
      </c>
      <c r="Q44" s="49"/>
      <c r="R44" s="49"/>
      <c r="S44" s="49"/>
      <c r="T44" s="49"/>
      <c r="U44" s="49"/>
      <c r="V44" s="49"/>
      <c r="W44" s="49"/>
      <c r="X44" s="49"/>
    </row>
    <row r="45" spans="6:48" x14ac:dyDescent="0.4">
      <c r="P45" s="1"/>
      <c r="Q45" s="1"/>
      <c r="R45" s="1"/>
      <c r="S45" s="1"/>
      <c r="T45" s="1"/>
      <c r="U45" s="1"/>
      <c r="V45" s="1"/>
      <c r="W45" s="1"/>
      <c r="X45" s="1"/>
    </row>
    <row r="46" spans="6:48" x14ac:dyDescent="0.4">
      <c r="AU46"/>
      <c r="AV46" s="1"/>
    </row>
    <row r="47" spans="6:48" x14ac:dyDescent="0.4">
      <c r="O47" s="65" t="s">
        <v>19</v>
      </c>
      <c r="P47" s="65"/>
      <c r="Q47" s="65"/>
      <c r="R47" s="65"/>
      <c r="AF47" s="65" t="s">
        <v>19</v>
      </c>
      <c r="AG47" s="65"/>
      <c r="AH47" s="65"/>
      <c r="AI47" s="65"/>
      <c r="AU47"/>
      <c r="AV47" s="1"/>
    </row>
    <row r="48" spans="6:48" x14ac:dyDescent="0.4">
      <c r="I48" s="142"/>
      <c r="J48" s="142"/>
      <c r="O48" s="146" t="s">
        <v>41</v>
      </c>
      <c r="P48" s="146"/>
      <c r="Q48" s="146"/>
      <c r="R48" s="146"/>
      <c r="AF48" s="146" t="s">
        <v>41</v>
      </c>
      <c r="AG48" s="146"/>
      <c r="AH48" s="146"/>
      <c r="AI48" s="146"/>
      <c r="AU48"/>
      <c r="AV48" s="1"/>
    </row>
    <row r="49" spans="9:48" x14ac:dyDescent="0.4">
      <c r="I49" s="132" t="s">
        <v>87</v>
      </c>
      <c r="J49" s="48"/>
      <c r="K49" s="48"/>
      <c r="L49" s="48"/>
      <c r="M49" s="133"/>
      <c r="O49" s="136" t="s">
        <v>131</v>
      </c>
      <c r="P49" s="137"/>
      <c r="Q49" s="137"/>
      <c r="R49" s="138"/>
      <c r="Z49" s="132" t="s">
        <v>87</v>
      </c>
      <c r="AA49" s="48"/>
      <c r="AB49" s="48"/>
      <c r="AC49" s="48"/>
      <c r="AD49" s="133"/>
      <c r="AF49" s="136" t="s">
        <v>131</v>
      </c>
      <c r="AG49" s="137"/>
      <c r="AH49" s="137"/>
      <c r="AI49" s="138"/>
      <c r="AU49"/>
      <c r="AV49" s="1"/>
    </row>
    <row r="50" spans="9:48" x14ac:dyDescent="0.4">
      <c r="I50" s="132" t="s">
        <v>88</v>
      </c>
      <c r="J50" s="48"/>
      <c r="K50" s="48"/>
      <c r="L50" s="48"/>
      <c r="M50" s="133"/>
      <c r="O50" s="136" t="s">
        <v>996</v>
      </c>
      <c r="P50" s="137"/>
      <c r="Q50" s="137"/>
      <c r="R50" s="138"/>
      <c r="Z50" s="132" t="s">
        <v>88</v>
      </c>
      <c r="AA50" s="48"/>
      <c r="AB50" s="48"/>
      <c r="AC50" s="48"/>
      <c r="AD50" s="133"/>
      <c r="AF50" s="136" t="s">
        <v>996</v>
      </c>
      <c r="AG50" s="137"/>
      <c r="AH50" s="137"/>
      <c r="AI50" s="138"/>
      <c r="AU50"/>
      <c r="AV50" s="1"/>
    </row>
    <row r="51" spans="9:48" x14ac:dyDescent="0.4">
      <c r="I51" s="132" t="s">
        <v>89</v>
      </c>
      <c r="J51" s="48"/>
      <c r="K51" s="48"/>
      <c r="L51" s="48"/>
      <c r="M51" s="133"/>
      <c r="O51" s="136" t="s">
        <v>997</v>
      </c>
      <c r="P51" s="137"/>
      <c r="Q51" s="137"/>
      <c r="R51" s="138"/>
      <c r="Z51" s="132" t="s">
        <v>89</v>
      </c>
      <c r="AA51" s="48"/>
      <c r="AB51" s="48"/>
      <c r="AC51" s="48"/>
      <c r="AD51" s="133"/>
      <c r="AF51" s="136" t="s">
        <v>997</v>
      </c>
      <c r="AG51" s="137"/>
      <c r="AH51" s="137"/>
      <c r="AI51" s="138"/>
      <c r="AU51"/>
      <c r="AV51" s="1"/>
    </row>
    <row r="52" spans="9:48" x14ac:dyDescent="0.4">
      <c r="I52" s="139" t="s">
        <v>0</v>
      </c>
      <c r="J52" s="140"/>
      <c r="K52" s="140"/>
      <c r="L52" s="140"/>
      <c r="M52" s="141"/>
      <c r="O52" s="139" t="s">
        <v>0</v>
      </c>
      <c r="P52" s="140"/>
      <c r="Q52" s="140"/>
      <c r="R52" s="141"/>
      <c r="Z52" s="139" t="s">
        <v>0</v>
      </c>
      <c r="AA52" s="140"/>
      <c r="AB52" s="140"/>
      <c r="AC52" s="140"/>
      <c r="AD52" s="141"/>
      <c r="AF52" s="139" t="s">
        <v>0</v>
      </c>
      <c r="AG52" s="140"/>
      <c r="AH52" s="140"/>
      <c r="AI52" s="141"/>
      <c r="AU52"/>
      <c r="AV52" s="1"/>
    </row>
    <row r="53" spans="9:48" x14ac:dyDescent="0.4">
      <c r="I53" s="132" t="s">
        <v>196</v>
      </c>
      <c r="J53" s="48"/>
      <c r="K53" s="48"/>
      <c r="L53" s="48"/>
      <c r="M53" s="133"/>
      <c r="O53" s="136" t="s">
        <v>195</v>
      </c>
      <c r="P53" s="137"/>
      <c r="Q53" s="137"/>
      <c r="R53" s="138"/>
      <c r="Z53" s="132" t="s">
        <v>795</v>
      </c>
      <c r="AA53" s="48"/>
      <c r="AB53" s="48"/>
      <c r="AC53" s="48"/>
      <c r="AD53" s="133"/>
      <c r="AF53" s="136" t="s">
        <v>796</v>
      </c>
      <c r="AG53" s="137"/>
      <c r="AH53" s="137"/>
      <c r="AI53" s="138"/>
      <c r="AU53"/>
      <c r="AV53" s="1"/>
    </row>
    <row r="54" spans="9:48" x14ac:dyDescent="0.4">
      <c r="Z54" s="132" t="s">
        <v>797</v>
      </c>
      <c r="AA54" s="48"/>
      <c r="AB54" s="48"/>
      <c r="AC54" s="48"/>
      <c r="AD54" s="133"/>
      <c r="AF54" s="136" t="s">
        <v>142</v>
      </c>
      <c r="AG54" s="137"/>
      <c r="AH54" s="137"/>
      <c r="AI54" s="138"/>
      <c r="AU54"/>
      <c r="AV54" s="1"/>
    </row>
    <row r="55" spans="9:48" x14ac:dyDescent="0.4">
      <c r="Z55" s="139" t="s">
        <v>0</v>
      </c>
      <c r="AA55" s="140"/>
      <c r="AB55" s="140"/>
      <c r="AC55" s="140"/>
      <c r="AD55" s="141"/>
      <c r="AF55" s="139" t="s">
        <v>0</v>
      </c>
      <c r="AG55" s="140"/>
      <c r="AH55" s="140"/>
      <c r="AI55" s="141"/>
      <c r="AU55"/>
      <c r="AV55" s="1"/>
    </row>
    <row r="56" spans="9:48" x14ac:dyDescent="0.4">
      <c r="Z56" s="132" t="s">
        <v>799</v>
      </c>
      <c r="AA56" s="48"/>
      <c r="AB56" s="48"/>
      <c r="AC56" s="48"/>
      <c r="AD56" s="133"/>
      <c r="AF56" s="136" t="s">
        <v>798</v>
      </c>
      <c r="AG56" s="137"/>
      <c r="AH56" s="137"/>
      <c r="AI56" s="138"/>
      <c r="AU56"/>
      <c r="AV56" s="1"/>
    </row>
    <row r="57" spans="9:48" x14ac:dyDescent="0.4">
      <c r="Z57" s="154" t="s">
        <v>800</v>
      </c>
      <c r="AA57" s="155"/>
      <c r="AB57" s="155"/>
      <c r="AC57" s="155"/>
      <c r="AD57" s="155"/>
      <c r="AF57" s="153" t="s">
        <v>800</v>
      </c>
      <c r="AG57" s="154"/>
      <c r="AH57" s="154"/>
      <c r="AI57" s="154"/>
      <c r="AU57"/>
      <c r="AV57" s="1"/>
    </row>
    <row r="58" spans="9:48" x14ac:dyDescent="0.4">
      <c r="Z58" s="155"/>
      <c r="AA58" s="155"/>
      <c r="AB58" s="155"/>
      <c r="AC58" s="155"/>
      <c r="AD58" s="155"/>
      <c r="AF58" s="154"/>
      <c r="AG58" s="154"/>
      <c r="AH58" s="154"/>
      <c r="AI58" s="154"/>
      <c r="AU58"/>
      <c r="AV58" s="1"/>
    </row>
    <row r="59" spans="9:48" x14ac:dyDescent="0.4">
      <c r="Z59" s="132" t="s">
        <v>801</v>
      </c>
      <c r="AA59" s="48"/>
      <c r="AB59" s="48"/>
      <c r="AC59" s="48"/>
      <c r="AD59" s="133"/>
      <c r="AF59" s="136" t="s">
        <v>144</v>
      </c>
      <c r="AG59" s="137"/>
      <c r="AH59" s="137"/>
      <c r="AI59" s="138"/>
      <c r="AU59"/>
      <c r="AV59" s="1"/>
    </row>
    <row r="60" spans="9:48" x14ac:dyDescent="0.4">
      <c r="Z60" s="139" t="s">
        <v>0</v>
      </c>
      <c r="AA60" s="140"/>
      <c r="AB60" s="140"/>
      <c r="AC60" s="140"/>
      <c r="AD60" s="141"/>
      <c r="AF60" s="139" t="s">
        <v>0</v>
      </c>
      <c r="AG60" s="140"/>
      <c r="AH60" s="140"/>
      <c r="AI60" s="141"/>
      <c r="AU60"/>
      <c r="AV60" s="1"/>
    </row>
    <row r="61" spans="9:48" x14ac:dyDescent="0.4">
      <c r="Z61" s="132" t="s">
        <v>803</v>
      </c>
      <c r="AA61" s="48"/>
      <c r="AB61" s="48"/>
      <c r="AC61" s="48"/>
      <c r="AD61" s="133"/>
      <c r="AF61" s="136" t="s">
        <v>802</v>
      </c>
      <c r="AG61" s="137"/>
      <c r="AH61" s="137"/>
      <c r="AI61" s="138"/>
      <c r="AU61"/>
      <c r="AV61" s="1"/>
    </row>
    <row r="64" spans="9:48" x14ac:dyDescent="0.4">
      <c r="AE64" s="1"/>
      <c r="AU64"/>
    </row>
    <row r="65" spans="9:47" x14ac:dyDescent="0.4">
      <c r="O65" s="65" t="s">
        <v>19</v>
      </c>
      <c r="P65" s="65"/>
      <c r="Q65" s="65"/>
      <c r="R65" s="65"/>
      <c r="S65" s="65"/>
      <c r="AE65" s="1"/>
      <c r="AU65"/>
    </row>
    <row r="66" spans="9:47" x14ac:dyDescent="0.4">
      <c r="O66" s="146" t="s">
        <v>41</v>
      </c>
      <c r="P66" s="146"/>
      <c r="Q66" s="146"/>
      <c r="R66" s="146"/>
      <c r="S66" s="146"/>
      <c r="AE66" s="1"/>
      <c r="AU66"/>
    </row>
    <row r="67" spans="9:47" x14ac:dyDescent="0.4">
      <c r="I67" s="132" t="s">
        <v>87</v>
      </c>
      <c r="J67" s="48"/>
      <c r="K67" s="48"/>
      <c r="L67" s="48"/>
      <c r="M67" s="133"/>
      <c r="O67" s="152" t="s">
        <v>988</v>
      </c>
      <c r="P67" s="152"/>
      <c r="Q67" s="152"/>
      <c r="R67" s="152"/>
      <c r="S67" s="152"/>
      <c r="Z67" s="132" t="s">
        <v>87</v>
      </c>
      <c r="AA67" s="48"/>
      <c r="AB67" s="48"/>
      <c r="AC67" s="48"/>
      <c r="AD67" s="133"/>
      <c r="AF67" s="152" t="s">
        <v>988</v>
      </c>
      <c r="AG67" s="152"/>
      <c r="AH67" s="152"/>
      <c r="AI67" s="152"/>
      <c r="AJ67" s="152"/>
      <c r="AU67"/>
    </row>
    <row r="68" spans="9:47" x14ac:dyDescent="0.4">
      <c r="I68" s="132" t="s">
        <v>88</v>
      </c>
      <c r="J68" s="48"/>
      <c r="K68" s="48"/>
      <c r="L68" s="48"/>
      <c r="M68" s="133"/>
      <c r="O68" s="152" t="s">
        <v>989</v>
      </c>
      <c r="P68" s="152"/>
      <c r="Q68" s="152"/>
      <c r="R68" s="152"/>
      <c r="S68" s="152"/>
      <c r="Z68" s="132" t="s">
        <v>88</v>
      </c>
      <c r="AA68" s="48"/>
      <c r="AB68" s="48"/>
      <c r="AC68" s="48"/>
      <c r="AD68" s="133"/>
      <c r="AF68" s="152" t="s">
        <v>989</v>
      </c>
      <c r="AG68" s="152"/>
      <c r="AH68" s="152"/>
      <c r="AI68" s="152"/>
      <c r="AJ68" s="152"/>
      <c r="AU68"/>
    </row>
    <row r="69" spans="9:47" x14ac:dyDescent="0.4">
      <c r="I69" s="132" t="s">
        <v>89</v>
      </c>
      <c r="J69" s="48"/>
      <c r="K69" s="48"/>
      <c r="L69" s="48"/>
      <c r="M69" s="133"/>
      <c r="O69" s="152" t="s">
        <v>990</v>
      </c>
      <c r="P69" s="152"/>
      <c r="Q69" s="152"/>
      <c r="R69" s="152"/>
      <c r="S69" s="152"/>
      <c r="Z69" s="132" t="s">
        <v>89</v>
      </c>
      <c r="AA69" s="48"/>
      <c r="AB69" s="48"/>
      <c r="AC69" s="48"/>
      <c r="AD69" s="133"/>
      <c r="AF69" s="152" t="s">
        <v>990</v>
      </c>
      <c r="AG69" s="152"/>
      <c r="AH69" s="152"/>
      <c r="AI69" s="152"/>
      <c r="AJ69" s="152"/>
      <c r="AU69"/>
    </row>
    <row r="70" spans="9:47" x14ac:dyDescent="0.4">
      <c r="I70" s="139" t="s">
        <v>0</v>
      </c>
      <c r="J70" s="140"/>
      <c r="K70" s="140"/>
      <c r="L70" s="140"/>
      <c r="M70" s="141"/>
      <c r="O70" s="60" t="s">
        <v>0</v>
      </c>
      <c r="P70" s="60"/>
      <c r="Q70" s="60"/>
      <c r="R70" s="60"/>
      <c r="S70" s="60"/>
      <c r="Z70" s="139" t="s">
        <v>0</v>
      </c>
      <c r="AA70" s="140"/>
      <c r="AB70" s="140"/>
      <c r="AC70" s="140"/>
      <c r="AD70" s="141"/>
      <c r="AF70" s="60" t="s">
        <v>0</v>
      </c>
      <c r="AG70" s="60"/>
      <c r="AH70" s="60"/>
      <c r="AI70" s="60"/>
      <c r="AJ70" s="60"/>
      <c r="AU70"/>
    </row>
    <row r="71" spans="9:47" x14ac:dyDescent="0.4">
      <c r="I71" s="132" t="s">
        <v>795</v>
      </c>
      <c r="J71" s="48"/>
      <c r="K71" s="48"/>
      <c r="L71" s="48"/>
      <c r="M71" s="133"/>
      <c r="O71" s="152" t="s">
        <v>992</v>
      </c>
      <c r="P71" s="152"/>
      <c r="Q71" s="152"/>
      <c r="R71" s="152"/>
      <c r="S71" s="152"/>
      <c r="Z71" s="132" t="s">
        <v>1138</v>
      </c>
      <c r="AA71" s="48"/>
      <c r="AB71" s="48"/>
      <c r="AC71" s="48"/>
      <c r="AD71" s="133"/>
      <c r="AF71" s="152" t="s">
        <v>1137</v>
      </c>
      <c r="AG71" s="152"/>
      <c r="AH71" s="152"/>
      <c r="AI71" s="152"/>
      <c r="AJ71" s="152"/>
      <c r="AU71"/>
    </row>
    <row r="72" spans="9:47" x14ac:dyDescent="0.4">
      <c r="I72" s="132" t="s">
        <v>797</v>
      </c>
      <c r="J72" s="48"/>
      <c r="K72" s="48"/>
      <c r="L72" s="48"/>
      <c r="M72" s="133"/>
      <c r="O72" s="152" t="s">
        <v>991</v>
      </c>
      <c r="P72" s="152"/>
      <c r="Q72" s="152"/>
      <c r="R72" s="152"/>
      <c r="S72" s="152"/>
      <c r="Z72" s="154" t="s">
        <v>800</v>
      </c>
      <c r="AA72" s="155"/>
      <c r="AB72" s="155"/>
      <c r="AC72" s="155"/>
      <c r="AD72" s="155"/>
      <c r="AF72" s="153" t="s">
        <v>800</v>
      </c>
      <c r="AG72" s="153"/>
      <c r="AH72" s="153"/>
      <c r="AI72" s="153"/>
      <c r="AJ72" s="153"/>
      <c r="AU72"/>
    </row>
    <row r="73" spans="9:47" x14ac:dyDescent="0.4">
      <c r="I73" s="139" t="s">
        <v>0</v>
      </c>
      <c r="J73" s="140"/>
      <c r="K73" s="140"/>
      <c r="L73" s="140"/>
      <c r="M73" s="141"/>
      <c r="O73" s="60" t="s">
        <v>0</v>
      </c>
      <c r="P73" s="60"/>
      <c r="Q73" s="60"/>
      <c r="R73" s="60"/>
      <c r="S73" s="60"/>
      <c r="Z73" s="155"/>
      <c r="AA73" s="155"/>
      <c r="AB73" s="155"/>
      <c r="AC73" s="155"/>
      <c r="AD73" s="155"/>
      <c r="AF73" s="153"/>
      <c r="AG73" s="153"/>
      <c r="AH73" s="153"/>
      <c r="AI73" s="153"/>
      <c r="AJ73" s="153"/>
      <c r="AU73"/>
    </row>
    <row r="74" spans="9:47" x14ac:dyDescent="0.4">
      <c r="I74" s="132" t="s">
        <v>799</v>
      </c>
      <c r="J74" s="48"/>
      <c r="K74" s="48"/>
      <c r="L74" s="48"/>
      <c r="M74" s="133"/>
      <c r="O74" s="152" t="s">
        <v>993</v>
      </c>
      <c r="P74" s="152"/>
      <c r="Q74" s="152"/>
      <c r="R74" s="152"/>
      <c r="S74" s="152"/>
      <c r="Z74" s="132" t="s">
        <v>797</v>
      </c>
      <c r="AA74" s="48"/>
      <c r="AB74" s="48"/>
      <c r="AC74" s="48"/>
      <c r="AD74" s="133"/>
      <c r="AF74" s="152" t="s">
        <v>991</v>
      </c>
      <c r="AG74" s="152"/>
      <c r="AH74" s="152"/>
      <c r="AI74" s="152"/>
      <c r="AJ74" s="152"/>
      <c r="AU74"/>
    </row>
    <row r="75" spans="9:47" x14ac:dyDescent="0.4">
      <c r="I75" s="154" t="s">
        <v>800</v>
      </c>
      <c r="J75" s="155"/>
      <c r="K75" s="155"/>
      <c r="L75" s="155"/>
      <c r="M75" s="155"/>
      <c r="O75" s="153" t="s">
        <v>800</v>
      </c>
      <c r="P75" s="153"/>
      <c r="Q75" s="153"/>
      <c r="R75" s="153"/>
      <c r="S75" s="153"/>
      <c r="Z75" s="139" t="s">
        <v>0</v>
      </c>
      <c r="AA75" s="140"/>
      <c r="AB75" s="140"/>
      <c r="AC75" s="140"/>
      <c r="AD75" s="141"/>
      <c r="AF75" s="60" t="s">
        <v>0</v>
      </c>
      <c r="AG75" s="60"/>
      <c r="AH75" s="60"/>
      <c r="AI75" s="60"/>
      <c r="AJ75" s="60"/>
      <c r="AU75"/>
    </row>
    <row r="76" spans="9:47" x14ac:dyDescent="0.4">
      <c r="I76" s="155"/>
      <c r="J76" s="155"/>
      <c r="K76" s="155"/>
      <c r="L76" s="155"/>
      <c r="M76" s="155"/>
      <c r="O76" s="153"/>
      <c r="P76" s="153"/>
      <c r="Q76" s="153"/>
      <c r="R76" s="153"/>
      <c r="S76" s="153"/>
      <c r="Z76" s="132" t="s">
        <v>1140</v>
      </c>
      <c r="AA76" s="48"/>
      <c r="AB76" s="48"/>
      <c r="AC76" s="48"/>
      <c r="AD76" s="133"/>
      <c r="AF76" s="152" t="s">
        <v>1139</v>
      </c>
      <c r="AG76" s="152"/>
      <c r="AH76" s="152"/>
      <c r="AI76" s="152"/>
      <c r="AJ76" s="152"/>
      <c r="AU76"/>
    </row>
    <row r="77" spans="9:47" x14ac:dyDescent="0.4">
      <c r="I77" s="132" t="s">
        <v>801</v>
      </c>
      <c r="J77" s="48"/>
      <c r="K77" s="48"/>
      <c r="L77" s="48"/>
      <c r="M77" s="133"/>
      <c r="O77" s="152" t="s">
        <v>994</v>
      </c>
      <c r="P77" s="152"/>
      <c r="Q77" s="152"/>
      <c r="R77" s="152"/>
      <c r="S77" s="152"/>
      <c r="Z77" s="132" t="s">
        <v>801</v>
      </c>
      <c r="AA77" s="48"/>
      <c r="AB77" s="48"/>
      <c r="AC77" s="48"/>
      <c r="AD77" s="133"/>
      <c r="AF77" s="152" t="s">
        <v>994</v>
      </c>
      <c r="AG77" s="152"/>
      <c r="AH77" s="152"/>
      <c r="AI77" s="152"/>
      <c r="AJ77" s="152"/>
      <c r="AU77"/>
    </row>
    <row r="78" spans="9:47" x14ac:dyDescent="0.4">
      <c r="I78" s="139" t="s">
        <v>0</v>
      </c>
      <c r="J78" s="140"/>
      <c r="K78" s="140"/>
      <c r="L78" s="140"/>
      <c r="M78" s="141"/>
      <c r="O78" s="60" t="s">
        <v>0</v>
      </c>
      <c r="P78" s="60"/>
      <c r="Q78" s="60"/>
      <c r="R78" s="60"/>
      <c r="S78" s="60"/>
      <c r="Z78" s="139" t="s">
        <v>0</v>
      </c>
      <c r="AA78" s="140"/>
      <c r="AB78" s="140"/>
      <c r="AC78" s="140"/>
      <c r="AD78" s="141"/>
      <c r="AF78" s="60" t="s">
        <v>0</v>
      </c>
      <c r="AG78" s="60"/>
      <c r="AH78" s="60"/>
      <c r="AI78" s="60"/>
      <c r="AJ78" s="60"/>
      <c r="AU78"/>
    </row>
    <row r="79" spans="9:47" x14ac:dyDescent="0.4">
      <c r="I79" s="132" t="s">
        <v>803</v>
      </c>
      <c r="J79" s="48"/>
      <c r="K79" s="48"/>
      <c r="L79" s="48"/>
      <c r="M79" s="133"/>
      <c r="O79" s="152" t="s">
        <v>995</v>
      </c>
      <c r="P79" s="152"/>
      <c r="Q79" s="152"/>
      <c r="R79" s="152"/>
      <c r="S79" s="152"/>
      <c r="Z79" s="132" t="s">
        <v>1142</v>
      </c>
      <c r="AA79" s="48"/>
      <c r="AB79" s="48"/>
      <c r="AC79" s="48"/>
      <c r="AD79" s="133"/>
      <c r="AF79" s="152" t="s">
        <v>1141</v>
      </c>
      <c r="AG79" s="152"/>
      <c r="AH79" s="152"/>
      <c r="AI79" s="152"/>
      <c r="AJ79" s="152"/>
      <c r="AU79"/>
    </row>
    <row r="80" spans="9:47" x14ac:dyDescent="0.4">
      <c r="I80" s="154" t="s">
        <v>800</v>
      </c>
      <c r="J80" s="155"/>
      <c r="K80" s="155"/>
      <c r="L80" s="155"/>
      <c r="M80" s="155"/>
      <c r="O80" s="153" t="s">
        <v>800</v>
      </c>
      <c r="P80" s="153"/>
      <c r="Q80" s="153"/>
      <c r="R80" s="153"/>
      <c r="S80" s="153"/>
      <c r="Z80" s="154" t="s">
        <v>800</v>
      </c>
      <c r="AA80" s="155"/>
      <c r="AB80" s="155"/>
      <c r="AC80" s="155"/>
      <c r="AD80" s="155"/>
      <c r="AF80" s="153" t="s">
        <v>800</v>
      </c>
      <c r="AG80" s="153"/>
      <c r="AH80" s="153"/>
      <c r="AI80" s="153"/>
      <c r="AJ80" s="153"/>
      <c r="AU80"/>
    </row>
    <row r="81" spans="9:47" x14ac:dyDescent="0.4">
      <c r="I81" s="155"/>
      <c r="J81" s="155"/>
      <c r="K81" s="155"/>
      <c r="L81" s="155"/>
      <c r="M81" s="155"/>
      <c r="O81" s="153"/>
      <c r="P81" s="153"/>
      <c r="Q81" s="153"/>
      <c r="R81" s="153"/>
      <c r="S81" s="153"/>
      <c r="Z81" s="155"/>
      <c r="AA81" s="155"/>
      <c r="AB81" s="155"/>
      <c r="AC81" s="155"/>
      <c r="AD81" s="155"/>
      <c r="AF81" s="153"/>
      <c r="AG81" s="153"/>
      <c r="AH81" s="153"/>
      <c r="AI81" s="153"/>
      <c r="AJ81" s="153"/>
      <c r="AU81"/>
    </row>
    <row r="82" spans="9:47" x14ac:dyDescent="0.4">
      <c r="I82" s="132" t="s">
        <v>1006</v>
      </c>
      <c r="J82" s="48"/>
      <c r="K82" s="48"/>
      <c r="L82" s="48"/>
      <c r="M82" s="133"/>
      <c r="O82" s="152" t="s">
        <v>998</v>
      </c>
      <c r="P82" s="152"/>
      <c r="Q82" s="152"/>
      <c r="R82" s="152"/>
      <c r="S82" s="152"/>
      <c r="Z82" s="132" t="s">
        <v>1006</v>
      </c>
      <c r="AA82" s="48"/>
      <c r="AB82" s="48"/>
      <c r="AC82" s="48"/>
      <c r="AD82" s="133"/>
      <c r="AF82" s="152" t="s">
        <v>998</v>
      </c>
      <c r="AG82" s="152"/>
      <c r="AH82" s="152"/>
      <c r="AI82" s="152"/>
      <c r="AJ82" s="152"/>
      <c r="AU82"/>
    </row>
    <row r="83" spans="9:47" x14ac:dyDescent="0.4">
      <c r="I83" s="139" t="s">
        <v>0</v>
      </c>
      <c r="J83" s="140"/>
      <c r="K83" s="140"/>
      <c r="L83" s="140"/>
      <c r="M83" s="141"/>
      <c r="O83" s="60" t="s">
        <v>0</v>
      </c>
      <c r="P83" s="60"/>
      <c r="Q83" s="60"/>
      <c r="R83" s="60"/>
      <c r="S83" s="60"/>
      <c r="Z83" s="139" t="s">
        <v>0</v>
      </c>
      <c r="AA83" s="140"/>
      <c r="AB83" s="140"/>
      <c r="AC83" s="140"/>
      <c r="AD83" s="141"/>
      <c r="AF83" s="60" t="s">
        <v>0</v>
      </c>
      <c r="AG83" s="60"/>
      <c r="AH83" s="60"/>
      <c r="AI83" s="60"/>
      <c r="AJ83" s="60"/>
      <c r="AU83"/>
    </row>
    <row r="84" spans="9:47" x14ac:dyDescent="0.4">
      <c r="I84" s="132" t="s">
        <v>1015</v>
      </c>
      <c r="J84" s="48"/>
      <c r="K84" s="48"/>
      <c r="L84" s="48"/>
      <c r="M84" s="133"/>
      <c r="O84" s="152" t="s">
        <v>1007</v>
      </c>
      <c r="P84" s="152"/>
      <c r="Q84" s="152"/>
      <c r="R84" s="152"/>
      <c r="S84" s="152"/>
      <c r="Z84" s="132" t="s">
        <v>1145</v>
      </c>
      <c r="AA84" s="48"/>
      <c r="AB84" s="48"/>
      <c r="AC84" s="48"/>
      <c r="AD84" s="133"/>
      <c r="AF84" s="152" t="s">
        <v>1143</v>
      </c>
      <c r="AG84" s="152"/>
      <c r="AH84" s="152"/>
      <c r="AI84" s="152"/>
      <c r="AJ84" s="152"/>
      <c r="AU84"/>
    </row>
    <row r="85" spans="9:47" x14ac:dyDescent="0.4">
      <c r="I85" s="154" t="s">
        <v>800</v>
      </c>
      <c r="J85" s="155"/>
      <c r="K85" s="155"/>
      <c r="L85" s="155"/>
      <c r="M85" s="155"/>
      <c r="O85" s="153" t="s">
        <v>800</v>
      </c>
      <c r="P85" s="153"/>
      <c r="Q85" s="153"/>
      <c r="R85" s="153"/>
      <c r="S85" s="153"/>
      <c r="Z85" s="154" t="s">
        <v>800</v>
      </c>
      <c r="AA85" s="155"/>
      <c r="AB85" s="155"/>
      <c r="AC85" s="155"/>
      <c r="AD85" s="155"/>
      <c r="AF85" s="153" t="s">
        <v>800</v>
      </c>
      <c r="AG85" s="153"/>
      <c r="AH85" s="153"/>
      <c r="AI85" s="153"/>
      <c r="AJ85" s="153"/>
      <c r="AU85"/>
    </row>
    <row r="86" spans="9:47" x14ac:dyDescent="0.4">
      <c r="I86" s="155"/>
      <c r="J86" s="155"/>
      <c r="K86" s="155"/>
      <c r="L86" s="155"/>
      <c r="M86" s="155"/>
      <c r="O86" s="153"/>
      <c r="P86" s="153"/>
      <c r="Q86" s="153"/>
      <c r="R86" s="153"/>
      <c r="S86" s="153"/>
      <c r="Z86" s="155"/>
      <c r="AA86" s="155"/>
      <c r="AB86" s="155"/>
      <c r="AC86" s="155"/>
      <c r="AD86" s="155"/>
      <c r="AF86" s="153"/>
      <c r="AG86" s="153"/>
      <c r="AH86" s="153"/>
      <c r="AI86" s="153"/>
      <c r="AJ86" s="153"/>
      <c r="AU86"/>
    </row>
    <row r="87" spans="9:47" x14ac:dyDescent="0.4">
      <c r="I87" s="132" t="s">
        <v>1016</v>
      </c>
      <c r="J87" s="48"/>
      <c r="K87" s="48"/>
      <c r="L87" s="48"/>
      <c r="M87" s="133"/>
      <c r="O87" s="152" t="s">
        <v>999</v>
      </c>
      <c r="P87" s="152"/>
      <c r="Q87" s="152"/>
      <c r="R87" s="152"/>
      <c r="S87" s="152"/>
      <c r="Z87" s="132" t="s">
        <v>1016</v>
      </c>
      <c r="AA87" s="48"/>
      <c r="AB87" s="48"/>
      <c r="AC87" s="48"/>
      <c r="AD87" s="133"/>
      <c r="AF87" s="152" t="s">
        <v>999</v>
      </c>
      <c r="AG87" s="152"/>
      <c r="AH87" s="152"/>
      <c r="AI87" s="152"/>
      <c r="AJ87" s="152"/>
      <c r="AU87"/>
    </row>
    <row r="88" spans="9:47" x14ac:dyDescent="0.4">
      <c r="I88" s="139" t="s">
        <v>0</v>
      </c>
      <c r="J88" s="140"/>
      <c r="K88" s="140"/>
      <c r="L88" s="140"/>
      <c r="M88" s="141"/>
      <c r="O88" s="60" t="s">
        <v>0</v>
      </c>
      <c r="P88" s="60"/>
      <c r="Q88" s="60"/>
      <c r="R88" s="60"/>
      <c r="S88" s="60"/>
      <c r="Z88" s="139" t="s">
        <v>0</v>
      </c>
      <c r="AA88" s="140"/>
      <c r="AB88" s="140"/>
      <c r="AC88" s="140"/>
      <c r="AD88" s="141"/>
      <c r="AF88" s="60" t="s">
        <v>0</v>
      </c>
      <c r="AG88" s="60"/>
      <c r="AH88" s="60"/>
      <c r="AI88" s="60"/>
      <c r="AJ88" s="60"/>
      <c r="AU88"/>
    </row>
    <row r="89" spans="9:47" x14ac:dyDescent="0.4">
      <c r="I89" s="132" t="s">
        <v>1017</v>
      </c>
      <c r="J89" s="48"/>
      <c r="K89" s="48"/>
      <c r="L89" s="48"/>
      <c r="M89" s="133"/>
      <c r="O89" s="152" t="s">
        <v>1008</v>
      </c>
      <c r="P89" s="152"/>
      <c r="Q89" s="152"/>
      <c r="R89" s="152"/>
      <c r="S89" s="152"/>
      <c r="Z89" s="132" t="s">
        <v>1146</v>
      </c>
      <c r="AA89" s="48"/>
      <c r="AB89" s="48"/>
      <c r="AC89" s="48"/>
      <c r="AD89" s="133"/>
      <c r="AF89" s="152" t="s">
        <v>1144</v>
      </c>
      <c r="AG89" s="152"/>
      <c r="AH89" s="152"/>
      <c r="AI89" s="152"/>
      <c r="AJ89" s="152"/>
      <c r="AU89"/>
    </row>
    <row r="90" spans="9:47" x14ac:dyDescent="0.4">
      <c r="I90" s="154" t="s">
        <v>800</v>
      </c>
      <c r="J90" s="155"/>
      <c r="K90" s="155"/>
      <c r="L90" s="155"/>
      <c r="M90" s="155"/>
      <c r="O90" s="153" t="s">
        <v>800</v>
      </c>
      <c r="P90" s="153"/>
      <c r="Q90" s="153"/>
      <c r="R90" s="153"/>
      <c r="S90" s="153"/>
      <c r="AE90" s="1"/>
      <c r="AU90"/>
    </row>
    <row r="91" spans="9:47" x14ac:dyDescent="0.4">
      <c r="I91" s="155"/>
      <c r="J91" s="155"/>
      <c r="K91" s="155"/>
      <c r="L91" s="155"/>
      <c r="M91" s="155"/>
      <c r="O91" s="153"/>
      <c r="P91" s="153"/>
      <c r="Q91" s="153"/>
      <c r="R91" s="153"/>
      <c r="S91" s="153"/>
      <c r="AE91" s="1"/>
      <c r="AU91"/>
    </row>
    <row r="92" spans="9:47" x14ac:dyDescent="0.4">
      <c r="I92" s="132" t="s">
        <v>1018</v>
      </c>
      <c r="J92" s="48"/>
      <c r="K92" s="48"/>
      <c r="L92" s="48"/>
      <c r="M92" s="133"/>
      <c r="O92" s="152" t="s">
        <v>1000</v>
      </c>
      <c r="P92" s="152"/>
      <c r="Q92" s="152"/>
      <c r="R92" s="152"/>
      <c r="S92" s="152"/>
      <c r="AE92" s="1"/>
      <c r="AU92"/>
    </row>
    <row r="93" spans="9:47" x14ac:dyDescent="0.4">
      <c r="I93" s="139" t="s">
        <v>0</v>
      </c>
      <c r="J93" s="140"/>
      <c r="K93" s="140"/>
      <c r="L93" s="140"/>
      <c r="M93" s="141"/>
      <c r="O93" s="60" t="s">
        <v>0</v>
      </c>
      <c r="P93" s="60"/>
      <c r="Q93" s="60"/>
      <c r="R93" s="60"/>
      <c r="S93" s="60"/>
      <c r="AE93" s="1"/>
      <c r="AU93"/>
    </row>
    <row r="94" spans="9:47" x14ac:dyDescent="0.4">
      <c r="I94" s="132" t="s">
        <v>1019</v>
      </c>
      <c r="J94" s="48"/>
      <c r="K94" s="48"/>
      <c r="L94" s="48"/>
      <c r="M94" s="133"/>
      <c r="O94" s="152" t="s">
        <v>1009</v>
      </c>
      <c r="P94" s="152"/>
      <c r="Q94" s="152"/>
      <c r="R94" s="152"/>
      <c r="S94" s="152"/>
      <c r="AE94" s="1"/>
      <c r="AU94"/>
    </row>
    <row r="95" spans="9:47" x14ac:dyDescent="0.4">
      <c r="I95" s="154" t="s">
        <v>800</v>
      </c>
      <c r="J95" s="155"/>
      <c r="K95" s="155"/>
      <c r="L95" s="155"/>
      <c r="M95" s="155"/>
      <c r="O95" s="153" t="s">
        <v>800</v>
      </c>
      <c r="P95" s="153"/>
      <c r="Q95" s="153"/>
      <c r="R95" s="153"/>
      <c r="S95" s="153"/>
      <c r="AE95" s="1"/>
      <c r="AU95"/>
    </row>
    <row r="96" spans="9:47" x14ac:dyDescent="0.4">
      <c r="I96" s="155"/>
      <c r="J96" s="155"/>
      <c r="K96" s="155"/>
      <c r="L96" s="155"/>
      <c r="M96" s="155"/>
      <c r="O96" s="153"/>
      <c r="P96" s="153"/>
      <c r="Q96" s="153"/>
      <c r="R96" s="153"/>
      <c r="S96" s="153"/>
      <c r="AE96" s="1"/>
      <c r="AU96"/>
    </row>
    <row r="97" spans="9:47" x14ac:dyDescent="0.4">
      <c r="I97" s="132" t="s">
        <v>1020</v>
      </c>
      <c r="J97" s="48"/>
      <c r="K97" s="48"/>
      <c r="L97" s="48"/>
      <c r="M97" s="133"/>
      <c r="O97" s="152" t="s">
        <v>1001</v>
      </c>
      <c r="P97" s="152"/>
      <c r="Q97" s="152"/>
      <c r="R97" s="152"/>
      <c r="S97" s="152"/>
      <c r="AE97" s="1"/>
      <c r="AU97"/>
    </row>
    <row r="98" spans="9:47" x14ac:dyDescent="0.4">
      <c r="I98" s="139" t="s">
        <v>0</v>
      </c>
      <c r="J98" s="140"/>
      <c r="K98" s="140"/>
      <c r="L98" s="140"/>
      <c r="M98" s="141"/>
      <c r="O98" s="60" t="s">
        <v>0</v>
      </c>
      <c r="P98" s="60"/>
      <c r="Q98" s="60"/>
      <c r="R98" s="60"/>
      <c r="S98" s="60"/>
      <c r="AE98" s="1"/>
      <c r="AU98"/>
    </row>
    <row r="99" spans="9:47" x14ac:dyDescent="0.4">
      <c r="I99" s="132" t="s">
        <v>1021</v>
      </c>
      <c r="J99" s="48"/>
      <c r="K99" s="48"/>
      <c r="L99" s="48"/>
      <c r="M99" s="133"/>
      <c r="O99" s="152" t="s">
        <v>1010</v>
      </c>
      <c r="P99" s="152"/>
      <c r="Q99" s="152"/>
      <c r="R99" s="152"/>
      <c r="S99" s="152"/>
      <c r="AE99" s="1"/>
      <c r="AU99"/>
    </row>
    <row r="100" spans="9:47" x14ac:dyDescent="0.4">
      <c r="I100" s="154" t="s">
        <v>800</v>
      </c>
      <c r="J100" s="155"/>
      <c r="K100" s="155"/>
      <c r="L100" s="155"/>
      <c r="M100" s="155"/>
      <c r="O100" s="153" t="s">
        <v>800</v>
      </c>
      <c r="P100" s="153"/>
      <c r="Q100" s="153"/>
      <c r="R100" s="153"/>
      <c r="S100" s="153"/>
      <c r="AE100" s="1"/>
      <c r="AU100"/>
    </row>
    <row r="101" spans="9:47" x14ac:dyDescent="0.4">
      <c r="I101" s="155"/>
      <c r="J101" s="155"/>
      <c r="K101" s="155"/>
      <c r="L101" s="155"/>
      <c r="M101" s="155"/>
      <c r="O101" s="153"/>
      <c r="P101" s="153"/>
      <c r="Q101" s="153"/>
      <c r="R101" s="153"/>
      <c r="S101" s="153"/>
      <c r="AE101" s="1"/>
      <c r="AU101"/>
    </row>
    <row r="102" spans="9:47" x14ac:dyDescent="0.4">
      <c r="I102" s="132" t="s">
        <v>1022</v>
      </c>
      <c r="J102" s="48"/>
      <c r="K102" s="48"/>
      <c r="L102" s="48"/>
      <c r="M102" s="133"/>
      <c r="O102" s="152" t="s">
        <v>1002</v>
      </c>
      <c r="P102" s="152"/>
      <c r="Q102" s="152"/>
      <c r="R102" s="152"/>
      <c r="S102" s="152"/>
      <c r="AE102" s="1"/>
      <c r="AU102"/>
    </row>
    <row r="103" spans="9:47" x14ac:dyDescent="0.4">
      <c r="I103" s="139" t="s">
        <v>0</v>
      </c>
      <c r="J103" s="140"/>
      <c r="K103" s="140"/>
      <c r="L103" s="140"/>
      <c r="M103" s="141"/>
      <c r="O103" s="60" t="s">
        <v>0</v>
      </c>
      <c r="P103" s="60"/>
      <c r="Q103" s="60"/>
      <c r="R103" s="60"/>
      <c r="S103" s="60"/>
      <c r="AE103" s="1"/>
      <c r="AU103"/>
    </row>
    <row r="104" spans="9:47" x14ac:dyDescent="0.4">
      <c r="I104" s="132" t="s">
        <v>1023</v>
      </c>
      <c r="J104" s="48"/>
      <c r="K104" s="48"/>
      <c r="L104" s="48"/>
      <c r="M104" s="133"/>
      <c r="O104" s="152" t="s">
        <v>1011</v>
      </c>
      <c r="P104" s="152"/>
      <c r="Q104" s="152"/>
      <c r="R104" s="152"/>
      <c r="S104" s="152"/>
      <c r="AE104" s="1"/>
      <c r="AU104"/>
    </row>
    <row r="105" spans="9:47" x14ac:dyDescent="0.4">
      <c r="I105" s="154" t="s">
        <v>800</v>
      </c>
      <c r="J105" s="155"/>
      <c r="K105" s="155"/>
      <c r="L105" s="155"/>
      <c r="M105" s="155"/>
      <c r="O105" s="153" t="s">
        <v>800</v>
      </c>
      <c r="P105" s="153"/>
      <c r="Q105" s="153"/>
      <c r="R105" s="153"/>
      <c r="S105" s="153"/>
      <c r="AE105" s="1"/>
      <c r="AU105"/>
    </row>
    <row r="106" spans="9:47" x14ac:dyDescent="0.4">
      <c r="I106" s="155"/>
      <c r="J106" s="155"/>
      <c r="K106" s="155"/>
      <c r="L106" s="155"/>
      <c r="M106" s="155"/>
      <c r="O106" s="153"/>
      <c r="P106" s="153"/>
      <c r="Q106" s="153"/>
      <c r="R106" s="153"/>
      <c r="S106" s="153"/>
      <c r="AE106" s="1"/>
      <c r="AU106"/>
    </row>
    <row r="107" spans="9:47" x14ac:dyDescent="0.4">
      <c r="I107" s="132" t="s">
        <v>1024</v>
      </c>
      <c r="J107" s="48"/>
      <c r="K107" s="48"/>
      <c r="L107" s="48"/>
      <c r="M107" s="133"/>
      <c r="O107" s="152" t="s">
        <v>1003</v>
      </c>
      <c r="P107" s="152"/>
      <c r="Q107" s="152"/>
      <c r="R107" s="152"/>
      <c r="S107" s="152"/>
      <c r="AE107" s="1"/>
      <c r="AU107"/>
    </row>
    <row r="108" spans="9:47" x14ac:dyDescent="0.4">
      <c r="I108" s="139" t="s">
        <v>0</v>
      </c>
      <c r="J108" s="140"/>
      <c r="K108" s="140"/>
      <c r="L108" s="140"/>
      <c r="M108" s="141"/>
      <c r="O108" s="60" t="s">
        <v>0</v>
      </c>
      <c r="P108" s="60"/>
      <c r="Q108" s="60"/>
      <c r="R108" s="60"/>
      <c r="S108" s="60"/>
      <c r="AE108" s="1"/>
      <c r="AU108"/>
    </row>
    <row r="109" spans="9:47" x14ac:dyDescent="0.4">
      <c r="I109" s="132" t="s">
        <v>1025</v>
      </c>
      <c r="J109" s="48"/>
      <c r="K109" s="48"/>
      <c r="L109" s="48"/>
      <c r="M109" s="133"/>
      <c r="O109" s="152" t="s">
        <v>1012</v>
      </c>
      <c r="P109" s="152"/>
      <c r="Q109" s="152"/>
      <c r="R109" s="152"/>
      <c r="S109" s="152"/>
      <c r="AE109" s="1"/>
      <c r="AU109"/>
    </row>
    <row r="110" spans="9:47" x14ac:dyDescent="0.4">
      <c r="I110" s="154" t="s">
        <v>800</v>
      </c>
      <c r="J110" s="155"/>
      <c r="K110" s="155"/>
      <c r="L110" s="155"/>
      <c r="M110" s="155"/>
      <c r="O110" s="153" t="s">
        <v>800</v>
      </c>
      <c r="P110" s="153"/>
      <c r="Q110" s="153"/>
      <c r="R110" s="153"/>
      <c r="S110" s="153"/>
      <c r="AE110" s="1"/>
      <c r="AU110"/>
    </row>
    <row r="111" spans="9:47" x14ac:dyDescent="0.4">
      <c r="I111" s="155"/>
      <c r="J111" s="155"/>
      <c r="K111" s="155"/>
      <c r="L111" s="155"/>
      <c r="M111" s="155"/>
      <c r="O111" s="153"/>
      <c r="P111" s="153"/>
      <c r="Q111" s="153"/>
      <c r="R111" s="153"/>
      <c r="S111" s="153"/>
      <c r="AE111" s="1"/>
      <c r="AU111"/>
    </row>
    <row r="112" spans="9:47" x14ac:dyDescent="0.4">
      <c r="I112" s="132" t="s">
        <v>1026</v>
      </c>
      <c r="J112" s="48"/>
      <c r="K112" s="48"/>
      <c r="L112" s="48"/>
      <c r="M112" s="133"/>
      <c r="O112" s="152" t="s">
        <v>1004</v>
      </c>
      <c r="P112" s="152"/>
      <c r="Q112" s="152"/>
      <c r="R112" s="152"/>
      <c r="S112" s="152"/>
      <c r="AE112" s="1"/>
      <c r="AU112"/>
    </row>
    <row r="113" spans="7:47" x14ac:dyDescent="0.4">
      <c r="I113" s="139" t="s">
        <v>0</v>
      </c>
      <c r="J113" s="140"/>
      <c r="K113" s="140"/>
      <c r="L113" s="140"/>
      <c r="M113" s="141"/>
      <c r="O113" s="60" t="s">
        <v>0</v>
      </c>
      <c r="P113" s="60"/>
      <c r="Q113" s="60"/>
      <c r="R113" s="60"/>
      <c r="S113" s="60"/>
      <c r="AE113" s="1"/>
      <c r="AU113"/>
    </row>
    <row r="114" spans="7:47" x14ac:dyDescent="0.4">
      <c r="I114" s="132" t="s">
        <v>1027</v>
      </c>
      <c r="J114" s="48"/>
      <c r="K114" s="48"/>
      <c r="L114" s="48"/>
      <c r="M114" s="133"/>
      <c r="O114" s="152" t="s">
        <v>1013</v>
      </c>
      <c r="P114" s="152"/>
      <c r="Q114" s="152"/>
      <c r="R114" s="152"/>
      <c r="S114" s="152"/>
      <c r="AE114" s="1"/>
      <c r="AU114"/>
    </row>
    <row r="115" spans="7:47" x14ac:dyDescent="0.4">
      <c r="I115" s="154" t="s">
        <v>800</v>
      </c>
      <c r="J115" s="155"/>
      <c r="K115" s="155"/>
      <c r="L115" s="155"/>
      <c r="M115" s="155"/>
      <c r="O115" s="153" t="s">
        <v>800</v>
      </c>
      <c r="P115" s="153"/>
      <c r="Q115" s="153"/>
      <c r="R115" s="153"/>
      <c r="S115" s="153"/>
      <c r="AE115" s="1"/>
      <c r="AU115"/>
    </row>
    <row r="116" spans="7:47" x14ac:dyDescent="0.4">
      <c r="I116" s="155"/>
      <c r="J116" s="155"/>
      <c r="K116" s="155"/>
      <c r="L116" s="155"/>
      <c r="M116" s="155"/>
      <c r="O116" s="153"/>
      <c r="P116" s="153"/>
      <c r="Q116" s="153"/>
      <c r="R116" s="153"/>
      <c r="S116" s="153"/>
      <c r="AE116" s="1"/>
      <c r="AU116"/>
    </row>
    <row r="117" spans="7:47" x14ac:dyDescent="0.4">
      <c r="I117" s="132" t="s">
        <v>1028</v>
      </c>
      <c r="J117" s="48"/>
      <c r="K117" s="48"/>
      <c r="L117" s="48"/>
      <c r="M117" s="133"/>
      <c r="O117" s="152" t="s">
        <v>1005</v>
      </c>
      <c r="P117" s="152"/>
      <c r="Q117" s="152"/>
      <c r="R117" s="152"/>
      <c r="S117" s="152"/>
      <c r="AE117" s="1"/>
      <c r="AU117"/>
    </row>
    <row r="118" spans="7:47" x14ac:dyDescent="0.4">
      <c r="I118" s="139" t="s">
        <v>0</v>
      </c>
      <c r="J118" s="140"/>
      <c r="K118" s="140"/>
      <c r="L118" s="140"/>
      <c r="M118" s="141"/>
      <c r="O118" s="60" t="s">
        <v>0</v>
      </c>
      <c r="P118" s="60"/>
      <c r="Q118" s="60"/>
      <c r="R118" s="60"/>
      <c r="S118" s="60"/>
      <c r="AE118" s="1"/>
      <c r="AU118"/>
    </row>
    <row r="119" spans="7:47" x14ac:dyDescent="0.4">
      <c r="I119" s="132" t="s">
        <v>1029</v>
      </c>
      <c r="J119" s="48"/>
      <c r="K119" s="48"/>
      <c r="L119" s="48"/>
      <c r="M119" s="133"/>
      <c r="O119" s="152" t="s">
        <v>1014</v>
      </c>
      <c r="P119" s="152"/>
      <c r="Q119" s="152"/>
      <c r="R119" s="152"/>
      <c r="S119" s="152"/>
      <c r="AE119" s="1"/>
      <c r="AU119"/>
    </row>
    <row r="120" spans="7:47" x14ac:dyDescent="0.4">
      <c r="AE120" s="1"/>
      <c r="AU120"/>
    </row>
    <row r="121" spans="7:47" x14ac:dyDescent="0.4">
      <c r="AT121" s="1"/>
      <c r="AU121"/>
    </row>
    <row r="123" spans="7:47" x14ac:dyDescent="0.4">
      <c r="G123" s="65" t="s">
        <v>103</v>
      </c>
      <c r="H123" s="65"/>
      <c r="I123" s="65"/>
      <c r="J123" s="65"/>
      <c r="K123" s="65"/>
      <c r="L123" s="65"/>
      <c r="M123" s="65"/>
      <c r="O123" s="65" t="s">
        <v>1</v>
      </c>
      <c r="P123" s="65"/>
      <c r="Q123" s="65"/>
      <c r="R123" s="65"/>
      <c r="S123" s="65"/>
      <c r="T123" s="65"/>
      <c r="U123" s="65"/>
      <c r="V123" s="65"/>
      <c r="W123" s="65"/>
      <c r="X123" s="65"/>
      <c r="Y123" s="65"/>
      <c r="Z123" s="65"/>
      <c r="AB123" s="65" t="s">
        <v>804</v>
      </c>
      <c r="AC123" s="65"/>
      <c r="AD123" s="65"/>
      <c r="AE123" s="65"/>
    </row>
    <row r="124" spans="7:47" x14ac:dyDescent="0.4">
      <c r="G124" s="52" t="s">
        <v>94</v>
      </c>
      <c r="H124" s="52"/>
      <c r="I124" s="52"/>
      <c r="J124" s="52"/>
      <c r="K124" s="52"/>
      <c r="L124" s="52"/>
      <c r="M124" s="52"/>
      <c r="O124" s="131" t="s">
        <v>131</v>
      </c>
      <c r="P124" s="131"/>
      <c r="Q124" s="131"/>
      <c r="R124" s="131"/>
      <c r="S124" s="132"/>
      <c r="T124" s="15" t="s">
        <v>102</v>
      </c>
      <c r="U124" s="15"/>
      <c r="V124" s="133" t="s">
        <v>130</v>
      </c>
      <c r="W124" s="131"/>
      <c r="X124" s="131"/>
      <c r="Y124" s="131"/>
      <c r="Z124" s="131"/>
      <c r="AB124" s="131" t="s">
        <v>805</v>
      </c>
      <c r="AC124" s="131"/>
      <c r="AD124" s="131"/>
      <c r="AE124" s="131"/>
    </row>
    <row r="125" spans="7:47" x14ac:dyDescent="0.4">
      <c r="G125" s="52" t="s">
        <v>95</v>
      </c>
      <c r="H125" s="52"/>
      <c r="I125" s="52"/>
      <c r="J125" s="52"/>
      <c r="K125" s="52"/>
      <c r="L125" s="52"/>
      <c r="M125" s="52"/>
      <c r="O125" s="131" t="s">
        <v>132</v>
      </c>
      <c r="P125" s="131"/>
      <c r="Q125" s="131"/>
      <c r="R125" s="131"/>
      <c r="S125" s="132"/>
      <c r="T125" s="15" t="s">
        <v>102</v>
      </c>
      <c r="U125" s="15"/>
      <c r="V125" s="133" t="s">
        <v>133</v>
      </c>
      <c r="W125" s="131"/>
      <c r="X125" s="131"/>
      <c r="Y125" s="131"/>
      <c r="Z125" s="131"/>
      <c r="AB125" s="131" t="s">
        <v>805</v>
      </c>
      <c r="AC125" s="131"/>
      <c r="AD125" s="131"/>
      <c r="AE125" s="131"/>
    </row>
    <row r="126" spans="7:47" x14ac:dyDescent="0.4">
      <c r="G126" s="52" t="s">
        <v>96</v>
      </c>
      <c r="H126" s="52"/>
      <c r="I126" s="52"/>
      <c r="J126" s="52"/>
      <c r="K126" s="52"/>
      <c r="L126" s="52"/>
      <c r="M126" s="52"/>
      <c r="O126" s="131" t="s">
        <v>134</v>
      </c>
      <c r="P126" s="131"/>
      <c r="Q126" s="131"/>
      <c r="R126" s="131"/>
      <c r="S126" s="132"/>
      <c r="T126" s="15" t="s">
        <v>102</v>
      </c>
      <c r="U126" s="15"/>
      <c r="V126" s="133" t="s">
        <v>135</v>
      </c>
      <c r="W126" s="131"/>
      <c r="X126" s="131"/>
      <c r="Y126" s="131"/>
      <c r="Z126" s="131"/>
      <c r="AB126" s="131" t="s">
        <v>805</v>
      </c>
      <c r="AC126" s="131"/>
      <c r="AD126" s="131"/>
      <c r="AE126" s="131"/>
    </row>
    <row r="127" spans="7:47" x14ac:dyDescent="0.4">
      <c r="G127" s="52" t="s">
        <v>97</v>
      </c>
      <c r="H127" s="52"/>
      <c r="I127" s="52"/>
      <c r="J127" s="52"/>
      <c r="K127" s="52"/>
      <c r="L127" s="52"/>
      <c r="M127" s="52"/>
      <c r="O127" s="131" t="s">
        <v>136</v>
      </c>
      <c r="P127" s="131"/>
      <c r="Q127" s="131"/>
      <c r="R127" s="131"/>
      <c r="S127" s="132"/>
      <c r="T127" s="15" t="s">
        <v>102</v>
      </c>
      <c r="U127" s="15"/>
      <c r="V127" s="133" t="s">
        <v>137</v>
      </c>
      <c r="W127" s="131"/>
      <c r="X127" s="131"/>
      <c r="Y127" s="131"/>
      <c r="Z127" s="131"/>
      <c r="AB127" s="131" t="s">
        <v>805</v>
      </c>
      <c r="AC127" s="131"/>
      <c r="AD127" s="131"/>
      <c r="AE127" s="131"/>
    </row>
    <row r="128" spans="7:47" x14ac:dyDescent="0.4">
      <c r="G128" s="52" t="s">
        <v>98</v>
      </c>
      <c r="H128" s="52"/>
      <c r="I128" s="52"/>
      <c r="J128" s="52"/>
      <c r="K128" s="52"/>
      <c r="L128" s="52"/>
      <c r="M128" s="52"/>
      <c r="O128" s="131" t="s">
        <v>138</v>
      </c>
      <c r="P128" s="131"/>
      <c r="Q128" s="131"/>
      <c r="R128" s="131"/>
      <c r="S128" s="132"/>
      <c r="T128" s="15" t="s">
        <v>102</v>
      </c>
      <c r="U128" s="15"/>
      <c r="V128" s="133" t="s">
        <v>139</v>
      </c>
      <c r="W128" s="131"/>
      <c r="X128" s="131"/>
      <c r="Y128" s="131"/>
      <c r="Z128" s="131"/>
      <c r="AB128" s="131" t="s">
        <v>805</v>
      </c>
      <c r="AC128" s="131"/>
      <c r="AD128" s="131"/>
      <c r="AE128" s="131"/>
    </row>
    <row r="129" spans="7:36" x14ac:dyDescent="0.4">
      <c r="G129" s="52" t="s">
        <v>99</v>
      </c>
      <c r="H129" s="52"/>
      <c r="I129" s="52"/>
      <c r="J129" s="52"/>
      <c r="K129" s="52"/>
      <c r="L129" s="52"/>
      <c r="M129" s="52"/>
      <c r="O129" s="131" t="s">
        <v>140</v>
      </c>
      <c r="P129" s="131"/>
      <c r="Q129" s="131"/>
      <c r="R129" s="131"/>
      <c r="S129" s="132"/>
      <c r="T129" s="15" t="s">
        <v>102</v>
      </c>
      <c r="U129" s="15"/>
      <c r="V129" s="133" t="s">
        <v>141</v>
      </c>
      <c r="W129" s="131"/>
      <c r="X129" s="131"/>
      <c r="Y129" s="131"/>
      <c r="Z129" s="131"/>
      <c r="AB129" s="131" t="s">
        <v>805</v>
      </c>
      <c r="AC129" s="131"/>
      <c r="AD129" s="131"/>
      <c r="AE129" s="131"/>
    </row>
    <row r="130" spans="7:36" x14ac:dyDescent="0.4">
      <c r="G130" s="52" t="s">
        <v>100</v>
      </c>
      <c r="H130" s="52"/>
      <c r="I130" s="52"/>
      <c r="J130" s="52"/>
      <c r="K130" s="52"/>
      <c r="L130" s="52"/>
      <c r="M130" s="52"/>
      <c r="O130" s="131" t="s">
        <v>142</v>
      </c>
      <c r="P130" s="131"/>
      <c r="Q130" s="131"/>
      <c r="R130" s="131"/>
      <c r="S130" s="132"/>
      <c r="T130" s="15" t="s">
        <v>102</v>
      </c>
      <c r="U130" s="15"/>
      <c r="V130" s="133" t="s">
        <v>143</v>
      </c>
      <c r="W130" s="131"/>
      <c r="X130" s="131"/>
      <c r="Y130" s="131"/>
      <c r="Z130" s="131"/>
      <c r="AB130" s="131" t="s">
        <v>805</v>
      </c>
      <c r="AC130" s="131"/>
      <c r="AD130" s="131"/>
      <c r="AE130" s="131"/>
    </row>
    <row r="131" spans="7:36" x14ac:dyDescent="0.4">
      <c r="G131" s="52" t="s">
        <v>101</v>
      </c>
      <c r="H131" s="52"/>
      <c r="I131" s="52"/>
      <c r="J131" s="52"/>
      <c r="K131" s="52"/>
      <c r="L131" s="52"/>
      <c r="M131" s="52"/>
      <c r="O131" s="131" t="s">
        <v>144</v>
      </c>
      <c r="P131" s="131"/>
      <c r="Q131" s="131"/>
      <c r="R131" s="131"/>
      <c r="S131" s="132"/>
      <c r="T131" s="15" t="s">
        <v>102</v>
      </c>
      <c r="U131" s="15"/>
      <c r="V131" s="133" t="s">
        <v>145</v>
      </c>
      <c r="W131" s="131"/>
      <c r="X131" s="131"/>
      <c r="Y131" s="131"/>
      <c r="Z131" s="131"/>
      <c r="AB131" s="131" t="s">
        <v>805</v>
      </c>
      <c r="AC131" s="131"/>
      <c r="AD131" s="131"/>
      <c r="AE131" s="131"/>
    </row>
    <row r="135" spans="7:36" x14ac:dyDescent="0.4">
      <c r="G135" s="65" t="s">
        <v>103</v>
      </c>
      <c r="H135" s="65"/>
      <c r="I135" s="65"/>
      <c r="J135" s="65"/>
      <c r="K135" s="65"/>
      <c r="L135" s="65"/>
      <c r="M135" s="65"/>
      <c r="O135" s="65" t="s">
        <v>1</v>
      </c>
      <c r="P135" s="65"/>
      <c r="Q135" s="65"/>
      <c r="R135" s="65"/>
      <c r="S135" s="65"/>
      <c r="T135" s="65"/>
      <c r="U135" s="65"/>
      <c r="V135" s="65"/>
      <c r="W135" s="65"/>
      <c r="X135" s="65"/>
      <c r="Y135" s="65"/>
      <c r="Z135" s="65"/>
      <c r="AB135" s="65" t="s">
        <v>804</v>
      </c>
      <c r="AC135" s="65"/>
      <c r="AD135" s="65"/>
      <c r="AE135" s="65"/>
    </row>
    <row r="136" spans="7:36" x14ac:dyDescent="0.4">
      <c r="G136" s="52" t="s">
        <v>94</v>
      </c>
      <c r="H136" s="52"/>
      <c r="I136" s="52"/>
      <c r="J136" s="52"/>
      <c r="K136" s="52"/>
      <c r="L136" s="52"/>
      <c r="M136" s="52"/>
      <c r="O136" s="131" t="s">
        <v>131</v>
      </c>
      <c r="P136" s="131"/>
      <c r="Q136" s="131"/>
      <c r="R136" s="131"/>
      <c r="S136" s="132"/>
      <c r="T136" s="15" t="s">
        <v>102</v>
      </c>
      <c r="U136" s="15"/>
      <c r="V136" s="133" t="s">
        <v>130</v>
      </c>
      <c r="W136" s="131"/>
      <c r="X136" s="131"/>
      <c r="Y136" s="131"/>
      <c r="Z136" s="131"/>
      <c r="AB136" s="131" t="s">
        <v>805</v>
      </c>
      <c r="AC136" s="131"/>
      <c r="AD136" s="131"/>
      <c r="AE136" s="131"/>
    </row>
    <row r="137" spans="7:36" x14ac:dyDescent="0.4">
      <c r="G137" s="52" t="s">
        <v>95</v>
      </c>
      <c r="H137" s="52"/>
      <c r="I137" s="52"/>
      <c r="J137" s="52"/>
      <c r="K137" s="52"/>
      <c r="L137" s="52"/>
      <c r="M137" s="52"/>
      <c r="O137" s="131" t="s">
        <v>132</v>
      </c>
      <c r="P137" s="131"/>
      <c r="Q137" s="131"/>
      <c r="R137" s="131"/>
      <c r="S137" s="132"/>
      <c r="T137" s="15" t="s">
        <v>102</v>
      </c>
      <c r="U137" s="15"/>
      <c r="V137" s="133" t="s">
        <v>133</v>
      </c>
      <c r="W137" s="131"/>
      <c r="X137" s="131"/>
      <c r="Y137" s="131"/>
      <c r="Z137" s="131"/>
      <c r="AB137" s="131" t="s">
        <v>805</v>
      </c>
      <c r="AC137" s="131"/>
      <c r="AD137" s="131"/>
      <c r="AE137" s="131"/>
    </row>
    <row r="138" spans="7:36" x14ac:dyDescent="0.4">
      <c r="G138" s="52" t="s">
        <v>96</v>
      </c>
      <c r="H138" s="52"/>
      <c r="I138" s="52"/>
      <c r="J138" s="52"/>
      <c r="K138" s="52"/>
      <c r="L138" s="52"/>
      <c r="M138" s="52"/>
      <c r="O138" s="131" t="s">
        <v>134</v>
      </c>
      <c r="P138" s="131"/>
      <c r="Q138" s="131"/>
      <c r="R138" s="131"/>
      <c r="S138" s="132"/>
      <c r="T138" s="15" t="s">
        <v>102</v>
      </c>
      <c r="U138" s="15"/>
      <c r="V138" s="133" t="s">
        <v>135</v>
      </c>
      <c r="W138" s="131"/>
      <c r="X138" s="131"/>
      <c r="Y138" s="131"/>
      <c r="Z138" s="131"/>
      <c r="AB138" s="131" t="s">
        <v>805</v>
      </c>
      <c r="AC138" s="131"/>
      <c r="AD138" s="131"/>
      <c r="AE138" s="131"/>
    </row>
    <row r="139" spans="7:36" x14ac:dyDescent="0.4">
      <c r="G139" s="52" t="s">
        <v>97</v>
      </c>
      <c r="H139" s="52"/>
      <c r="I139" s="52"/>
      <c r="J139" s="52"/>
      <c r="K139" s="52"/>
      <c r="L139" s="52"/>
      <c r="M139" s="52"/>
      <c r="O139" s="131" t="s">
        <v>136</v>
      </c>
      <c r="P139" s="131"/>
      <c r="Q139" s="131"/>
      <c r="R139" s="131"/>
      <c r="S139" s="132"/>
      <c r="T139" s="15" t="s">
        <v>102</v>
      </c>
      <c r="U139" s="15"/>
      <c r="V139" s="133" t="s">
        <v>137</v>
      </c>
      <c r="W139" s="131"/>
      <c r="X139" s="131"/>
      <c r="Y139" s="131"/>
      <c r="Z139" s="131"/>
      <c r="AB139" s="131" t="s">
        <v>805</v>
      </c>
      <c r="AC139" s="131"/>
      <c r="AD139" s="131"/>
      <c r="AE139" s="131"/>
    </row>
    <row r="140" spans="7:36" x14ac:dyDescent="0.4">
      <c r="G140" s="52" t="s">
        <v>98</v>
      </c>
      <c r="H140" s="52"/>
      <c r="I140" s="52"/>
      <c r="J140" s="52"/>
      <c r="K140" s="52"/>
      <c r="L140" s="52"/>
      <c r="M140" s="52"/>
      <c r="O140" s="131" t="s">
        <v>138</v>
      </c>
      <c r="P140" s="131"/>
      <c r="Q140" s="131"/>
      <c r="R140" s="131"/>
      <c r="S140" s="132"/>
      <c r="T140" s="15" t="s">
        <v>102</v>
      </c>
      <c r="U140" s="15"/>
      <c r="V140" s="133" t="s">
        <v>139</v>
      </c>
      <c r="W140" s="131"/>
      <c r="X140" s="131"/>
      <c r="Y140" s="131"/>
      <c r="Z140" s="131"/>
      <c r="AB140" s="131" t="s">
        <v>805</v>
      </c>
      <c r="AC140" s="131"/>
      <c r="AD140" s="131"/>
      <c r="AE140" s="131"/>
    </row>
    <row r="141" spans="7:36" x14ac:dyDescent="0.4">
      <c r="G141" s="52" t="s">
        <v>99</v>
      </c>
      <c r="H141" s="52"/>
      <c r="I141" s="52"/>
      <c r="J141" s="52"/>
      <c r="K141" s="52"/>
      <c r="L141" s="52"/>
      <c r="M141" s="52"/>
      <c r="O141" s="131" t="s">
        <v>140</v>
      </c>
      <c r="P141" s="131"/>
      <c r="Q141" s="131"/>
      <c r="R141" s="131"/>
      <c r="S141" s="132"/>
      <c r="T141" s="15" t="s">
        <v>102</v>
      </c>
      <c r="U141" s="15"/>
      <c r="V141" s="133" t="s">
        <v>141</v>
      </c>
      <c r="W141" s="131"/>
      <c r="X141" s="131"/>
      <c r="Y141" s="131"/>
      <c r="Z141" s="131"/>
      <c r="AB141" s="131" t="s">
        <v>805</v>
      </c>
      <c r="AC141" s="131"/>
      <c r="AD141" s="131"/>
      <c r="AE141" s="131"/>
    </row>
    <row r="142" spans="7:36" x14ac:dyDescent="0.4">
      <c r="G142" s="52" t="s">
        <v>100</v>
      </c>
      <c r="H142" s="52"/>
      <c r="I142" s="52"/>
      <c r="J142" s="52"/>
      <c r="K142" s="52"/>
      <c r="L142" s="52"/>
      <c r="M142" s="52"/>
      <c r="O142" s="131" t="s">
        <v>142</v>
      </c>
      <c r="P142" s="131"/>
      <c r="Q142" s="131"/>
      <c r="R142" s="131"/>
      <c r="S142" s="132"/>
      <c r="T142" s="15" t="s">
        <v>102</v>
      </c>
      <c r="U142" s="15"/>
      <c r="V142" s="133" t="s">
        <v>807</v>
      </c>
      <c r="W142" s="131"/>
      <c r="X142" s="131"/>
      <c r="Y142" s="131"/>
      <c r="Z142" s="131"/>
      <c r="AB142" s="131" t="s">
        <v>806</v>
      </c>
      <c r="AC142" s="131"/>
      <c r="AD142" s="131"/>
      <c r="AE142" s="131"/>
      <c r="AH142" s="65"/>
      <c r="AI142" s="65"/>
      <c r="AJ142" s="65"/>
    </row>
    <row r="143" spans="7:36" x14ac:dyDescent="0.4">
      <c r="G143" s="52" t="s">
        <v>101</v>
      </c>
      <c r="H143" s="52"/>
      <c r="I143" s="52"/>
      <c r="J143" s="52"/>
      <c r="K143" s="52"/>
      <c r="L143" s="52"/>
      <c r="M143" s="52"/>
      <c r="O143" s="131" t="s">
        <v>144</v>
      </c>
      <c r="P143" s="131"/>
      <c r="Q143" s="131"/>
      <c r="R143" s="131"/>
      <c r="S143" s="132"/>
      <c r="T143" s="15" t="s">
        <v>102</v>
      </c>
      <c r="U143" s="15"/>
      <c r="V143" s="133" t="s">
        <v>808</v>
      </c>
      <c r="W143" s="131"/>
      <c r="X143" s="131"/>
      <c r="Y143" s="131"/>
      <c r="Z143" s="131"/>
      <c r="AB143" s="131" t="s">
        <v>806</v>
      </c>
      <c r="AC143" s="131"/>
      <c r="AD143" s="131"/>
      <c r="AE143" s="131"/>
    </row>
    <row r="147" spans="3:31" x14ac:dyDescent="0.4">
      <c r="C147" s="50" t="s">
        <v>103</v>
      </c>
      <c r="D147" s="50"/>
      <c r="E147" s="50"/>
      <c r="F147" s="50"/>
      <c r="G147" s="50"/>
      <c r="H147" s="50"/>
      <c r="I147" s="50"/>
      <c r="J147" s="50"/>
      <c r="K147" s="50"/>
      <c r="L147" s="50"/>
      <c r="M147" s="50"/>
      <c r="O147" s="65" t="s">
        <v>1</v>
      </c>
      <c r="P147" s="65"/>
      <c r="Q147" s="65"/>
      <c r="R147" s="65"/>
      <c r="S147" s="65"/>
      <c r="T147" s="65"/>
      <c r="U147" s="65"/>
      <c r="V147" s="65"/>
      <c r="W147" s="65"/>
      <c r="X147" s="65"/>
      <c r="Y147" s="65"/>
      <c r="Z147" s="65"/>
      <c r="AB147" s="65" t="s">
        <v>804</v>
      </c>
      <c r="AC147" s="65"/>
      <c r="AD147" s="65"/>
      <c r="AE147" s="65"/>
    </row>
    <row r="148" spans="3:31" x14ac:dyDescent="0.4">
      <c r="C148" s="52" t="s">
        <v>94</v>
      </c>
      <c r="D148" s="52"/>
      <c r="E148" s="52"/>
      <c r="F148" s="52"/>
      <c r="G148" s="52"/>
      <c r="H148" s="52"/>
      <c r="I148" s="52"/>
      <c r="J148" s="52"/>
      <c r="K148" s="52"/>
      <c r="L148" s="52"/>
      <c r="M148" s="52"/>
      <c r="O148" s="131" t="s">
        <v>988</v>
      </c>
      <c r="P148" s="131"/>
      <c r="Q148" s="131"/>
      <c r="R148" s="131"/>
      <c r="S148" s="132"/>
      <c r="T148" s="15" t="s">
        <v>102</v>
      </c>
      <c r="U148" s="15"/>
      <c r="V148" s="133" t="s">
        <v>1036</v>
      </c>
      <c r="W148" s="131"/>
      <c r="X148" s="131"/>
      <c r="Y148" s="131"/>
      <c r="Z148" s="131"/>
      <c r="AB148" s="131" t="s">
        <v>805</v>
      </c>
      <c r="AC148" s="131"/>
      <c r="AD148" s="131"/>
      <c r="AE148" s="131"/>
    </row>
    <row r="149" spans="3:31" x14ac:dyDescent="0.4">
      <c r="C149" s="52" t="s">
        <v>95</v>
      </c>
      <c r="D149" s="52"/>
      <c r="E149" s="52"/>
      <c r="F149" s="52"/>
      <c r="G149" s="52"/>
      <c r="H149" s="52"/>
      <c r="I149" s="52"/>
      <c r="J149" s="52"/>
      <c r="K149" s="52"/>
      <c r="L149" s="52"/>
      <c r="M149" s="52"/>
      <c r="O149" s="131" t="s">
        <v>1031</v>
      </c>
      <c r="P149" s="131"/>
      <c r="Q149" s="131"/>
      <c r="R149" s="131"/>
      <c r="S149" s="132"/>
      <c r="T149" s="15" t="s">
        <v>102</v>
      </c>
      <c r="U149" s="15"/>
      <c r="V149" s="133" t="s">
        <v>1037</v>
      </c>
      <c r="W149" s="131"/>
      <c r="X149" s="131"/>
      <c r="Y149" s="131"/>
      <c r="Z149" s="131"/>
      <c r="AB149" s="131" t="s">
        <v>805</v>
      </c>
      <c r="AC149" s="131"/>
      <c r="AD149" s="131"/>
      <c r="AE149" s="131"/>
    </row>
    <row r="150" spans="3:31" x14ac:dyDescent="0.4">
      <c r="C150" s="52" t="s">
        <v>96</v>
      </c>
      <c r="D150" s="52"/>
      <c r="E150" s="52"/>
      <c r="F150" s="52"/>
      <c r="G150" s="52"/>
      <c r="H150" s="52"/>
      <c r="I150" s="52"/>
      <c r="J150" s="52"/>
      <c r="K150" s="52"/>
      <c r="L150" s="52"/>
      <c r="M150" s="52"/>
      <c r="O150" s="131" t="s">
        <v>1032</v>
      </c>
      <c r="P150" s="131"/>
      <c r="Q150" s="131"/>
      <c r="R150" s="131"/>
      <c r="S150" s="132"/>
      <c r="T150" s="15" t="s">
        <v>102</v>
      </c>
      <c r="U150" s="15"/>
      <c r="V150" s="133" t="s">
        <v>1038</v>
      </c>
      <c r="W150" s="131"/>
      <c r="X150" s="131"/>
      <c r="Y150" s="131"/>
      <c r="Z150" s="131"/>
      <c r="AB150" s="131" t="s">
        <v>805</v>
      </c>
      <c r="AC150" s="131"/>
      <c r="AD150" s="131"/>
      <c r="AE150" s="131"/>
    </row>
    <row r="151" spans="3:31" x14ac:dyDescent="0.4">
      <c r="C151" s="52" t="s">
        <v>97</v>
      </c>
      <c r="D151" s="52"/>
      <c r="E151" s="52"/>
      <c r="F151" s="52"/>
      <c r="G151" s="52"/>
      <c r="H151" s="52"/>
      <c r="I151" s="52"/>
      <c r="J151" s="52"/>
      <c r="K151" s="52"/>
      <c r="L151" s="52"/>
      <c r="M151" s="52"/>
      <c r="O151" s="131" t="s">
        <v>1033</v>
      </c>
      <c r="P151" s="131"/>
      <c r="Q151" s="131"/>
      <c r="R151" s="131"/>
      <c r="S151" s="132"/>
      <c r="T151" s="15" t="s">
        <v>102</v>
      </c>
      <c r="U151" s="15"/>
      <c r="V151" s="133" t="s">
        <v>1039</v>
      </c>
      <c r="W151" s="131"/>
      <c r="X151" s="131"/>
      <c r="Y151" s="131"/>
      <c r="Z151" s="131"/>
      <c r="AB151" s="131" t="s">
        <v>805</v>
      </c>
      <c r="AC151" s="131"/>
      <c r="AD151" s="131"/>
      <c r="AE151" s="131"/>
    </row>
    <row r="152" spans="3:31" x14ac:dyDescent="0.4">
      <c r="C152" s="52" t="s">
        <v>98</v>
      </c>
      <c r="D152" s="52"/>
      <c r="E152" s="52"/>
      <c r="F152" s="52"/>
      <c r="G152" s="52"/>
      <c r="H152" s="52"/>
      <c r="I152" s="52"/>
      <c r="J152" s="52"/>
      <c r="K152" s="52"/>
      <c r="L152" s="52"/>
      <c r="M152" s="52"/>
      <c r="O152" s="131" t="s">
        <v>1034</v>
      </c>
      <c r="P152" s="131"/>
      <c r="Q152" s="131"/>
      <c r="R152" s="131"/>
      <c r="S152" s="132"/>
      <c r="T152" s="15" t="s">
        <v>102</v>
      </c>
      <c r="U152" s="15"/>
      <c r="V152" s="133" t="s">
        <v>1040</v>
      </c>
      <c r="W152" s="131"/>
      <c r="X152" s="131"/>
      <c r="Y152" s="131"/>
      <c r="Z152" s="131"/>
      <c r="AB152" s="131" t="s">
        <v>805</v>
      </c>
      <c r="AC152" s="131"/>
      <c r="AD152" s="131"/>
      <c r="AE152" s="131"/>
    </row>
    <row r="153" spans="3:31" x14ac:dyDescent="0.4">
      <c r="C153" s="52" t="s">
        <v>99</v>
      </c>
      <c r="D153" s="52"/>
      <c r="E153" s="52"/>
      <c r="F153" s="52"/>
      <c r="G153" s="52"/>
      <c r="H153" s="52"/>
      <c r="I153" s="52"/>
      <c r="J153" s="52"/>
      <c r="K153" s="52"/>
      <c r="L153" s="52"/>
      <c r="M153" s="52"/>
      <c r="O153" s="131" t="s">
        <v>1035</v>
      </c>
      <c r="P153" s="131"/>
      <c r="Q153" s="131"/>
      <c r="R153" s="131"/>
      <c r="S153" s="132"/>
      <c r="T153" s="15" t="s">
        <v>102</v>
      </c>
      <c r="U153" s="15"/>
      <c r="V153" s="133" t="s">
        <v>1041</v>
      </c>
      <c r="W153" s="131"/>
      <c r="X153" s="131"/>
      <c r="Y153" s="131"/>
      <c r="Z153" s="131"/>
      <c r="AB153" s="131" t="s">
        <v>805</v>
      </c>
      <c r="AC153" s="131"/>
      <c r="AD153" s="131"/>
      <c r="AE153" s="131"/>
    </row>
    <row r="154" spans="3:31" x14ac:dyDescent="0.4">
      <c r="C154" s="52" t="s">
        <v>100</v>
      </c>
      <c r="D154" s="52"/>
      <c r="E154" s="52"/>
      <c r="F154" s="52"/>
      <c r="G154" s="52"/>
      <c r="H154" s="52"/>
      <c r="I154" s="52"/>
      <c r="J154" s="52"/>
      <c r="K154" s="52"/>
      <c r="L154" s="52"/>
      <c r="M154" s="52"/>
      <c r="O154" s="131" t="s">
        <v>991</v>
      </c>
      <c r="P154" s="131"/>
      <c r="Q154" s="131"/>
      <c r="R154" s="131"/>
      <c r="S154" s="132"/>
      <c r="T154" s="15" t="s">
        <v>102</v>
      </c>
      <c r="U154" s="15"/>
      <c r="V154" s="133" t="s">
        <v>1042</v>
      </c>
      <c r="W154" s="131"/>
      <c r="X154" s="131"/>
      <c r="Y154" s="131"/>
      <c r="Z154" s="131"/>
      <c r="AB154" s="131" t="s">
        <v>806</v>
      </c>
      <c r="AC154" s="131"/>
      <c r="AD154" s="131"/>
      <c r="AE154" s="131"/>
    </row>
    <row r="155" spans="3:31" x14ac:dyDescent="0.4">
      <c r="C155" s="52" t="s">
        <v>101</v>
      </c>
      <c r="D155" s="52"/>
      <c r="E155" s="52"/>
      <c r="F155" s="52"/>
      <c r="G155" s="52"/>
      <c r="H155" s="52"/>
      <c r="I155" s="52"/>
      <c r="J155" s="52"/>
      <c r="K155" s="52"/>
      <c r="L155" s="52"/>
      <c r="M155" s="52"/>
      <c r="O155" s="131" t="s">
        <v>994</v>
      </c>
      <c r="P155" s="131"/>
      <c r="Q155" s="131"/>
      <c r="R155" s="131"/>
      <c r="S155" s="132"/>
      <c r="T155" s="15" t="s">
        <v>102</v>
      </c>
      <c r="U155" s="15"/>
      <c r="V155" s="133" t="s">
        <v>1043</v>
      </c>
      <c r="W155" s="131"/>
      <c r="X155" s="131"/>
      <c r="Y155" s="131"/>
      <c r="Z155" s="131"/>
      <c r="AB155" s="131" t="s">
        <v>806</v>
      </c>
      <c r="AC155" s="131"/>
      <c r="AD155" s="131"/>
      <c r="AE155" s="131"/>
    </row>
    <row r="156" spans="3:31" x14ac:dyDescent="0.4">
      <c r="C156" s="156" t="s">
        <v>1030</v>
      </c>
      <c r="D156" s="156"/>
      <c r="E156" s="156"/>
      <c r="F156" s="156"/>
      <c r="G156" s="156"/>
      <c r="H156" s="156"/>
      <c r="I156" s="156"/>
      <c r="J156" s="156"/>
      <c r="K156" s="156"/>
      <c r="L156" s="156"/>
      <c r="M156" s="156"/>
      <c r="O156" s="131" t="s">
        <v>998</v>
      </c>
      <c r="P156" s="131"/>
      <c r="Q156" s="131"/>
      <c r="R156" s="131"/>
      <c r="S156" s="132"/>
      <c r="T156" s="15" t="s">
        <v>102</v>
      </c>
      <c r="U156" s="15"/>
      <c r="V156" s="133" t="s">
        <v>1045</v>
      </c>
      <c r="W156" s="131"/>
      <c r="X156" s="131"/>
      <c r="Y156" s="131"/>
      <c r="Z156" s="131"/>
      <c r="AB156" s="131" t="s">
        <v>1046</v>
      </c>
      <c r="AC156" s="131"/>
      <c r="AD156" s="131"/>
      <c r="AE156" s="131"/>
    </row>
    <row r="157" spans="3:31" x14ac:dyDescent="0.4">
      <c r="C157" s="156" t="s">
        <v>1044</v>
      </c>
      <c r="D157" s="156"/>
      <c r="E157" s="156"/>
      <c r="F157" s="156"/>
      <c r="G157" s="156"/>
      <c r="H157" s="156"/>
      <c r="I157" s="156"/>
      <c r="J157" s="156"/>
      <c r="K157" s="156"/>
      <c r="L157" s="156"/>
      <c r="M157" s="156"/>
      <c r="O157" s="131" t="s">
        <v>999</v>
      </c>
      <c r="P157" s="131"/>
      <c r="Q157" s="131"/>
      <c r="R157" s="131"/>
      <c r="S157" s="132"/>
      <c r="T157" s="15" t="s">
        <v>102</v>
      </c>
      <c r="U157" s="15"/>
      <c r="V157" s="133" t="s">
        <v>1047</v>
      </c>
      <c r="W157" s="131"/>
      <c r="X157" s="131"/>
      <c r="Y157" s="131"/>
      <c r="Z157" s="131"/>
      <c r="AB157" s="131" t="s">
        <v>1046</v>
      </c>
      <c r="AC157" s="131"/>
      <c r="AD157" s="131"/>
      <c r="AE157" s="131"/>
    </row>
    <row r="158" spans="3:31" x14ac:dyDescent="0.4">
      <c r="C158" s="156" t="s">
        <v>1048</v>
      </c>
      <c r="D158" s="156"/>
      <c r="E158" s="156"/>
      <c r="F158" s="156"/>
      <c r="G158" s="156"/>
      <c r="H158" s="156"/>
      <c r="I158" s="156"/>
      <c r="J158" s="156"/>
      <c r="K158" s="156"/>
      <c r="L158" s="156"/>
      <c r="M158" s="156"/>
      <c r="O158" s="131" t="s">
        <v>1000</v>
      </c>
      <c r="P158" s="131"/>
      <c r="Q158" s="131"/>
      <c r="R158" s="131"/>
      <c r="S158" s="132"/>
      <c r="T158" s="15" t="s">
        <v>102</v>
      </c>
      <c r="U158" s="15"/>
      <c r="V158" s="133" t="s">
        <v>1049</v>
      </c>
      <c r="W158" s="131"/>
      <c r="X158" s="131"/>
      <c r="Y158" s="131"/>
      <c r="Z158" s="131"/>
      <c r="AB158" s="131" t="s">
        <v>1046</v>
      </c>
      <c r="AC158" s="131"/>
      <c r="AD158" s="131"/>
      <c r="AE158" s="131"/>
    </row>
    <row r="159" spans="3:31" x14ac:dyDescent="0.4">
      <c r="C159" s="156" t="s">
        <v>1050</v>
      </c>
      <c r="D159" s="156"/>
      <c r="E159" s="156"/>
      <c r="F159" s="156"/>
      <c r="G159" s="156"/>
      <c r="H159" s="156"/>
      <c r="I159" s="156"/>
      <c r="J159" s="156"/>
      <c r="K159" s="156"/>
      <c r="L159" s="156"/>
      <c r="M159" s="156"/>
      <c r="O159" s="131" t="s">
        <v>1001</v>
      </c>
      <c r="P159" s="131"/>
      <c r="Q159" s="131"/>
      <c r="R159" s="131"/>
      <c r="S159" s="132"/>
      <c r="T159" s="15" t="s">
        <v>102</v>
      </c>
      <c r="U159" s="15"/>
      <c r="V159" s="133" t="s">
        <v>1051</v>
      </c>
      <c r="W159" s="131"/>
      <c r="X159" s="131"/>
      <c r="Y159" s="131"/>
      <c r="Z159" s="131"/>
      <c r="AB159" s="131" t="s">
        <v>1046</v>
      </c>
      <c r="AC159" s="131"/>
      <c r="AD159" s="131"/>
      <c r="AE159" s="131"/>
    </row>
    <row r="160" spans="3:31" x14ac:dyDescent="0.4">
      <c r="C160" s="156" t="s">
        <v>1052</v>
      </c>
      <c r="D160" s="156"/>
      <c r="E160" s="156"/>
      <c r="F160" s="156"/>
      <c r="G160" s="156"/>
      <c r="H160" s="156"/>
      <c r="I160" s="156"/>
      <c r="J160" s="156"/>
      <c r="K160" s="156"/>
      <c r="L160" s="156"/>
      <c r="M160" s="156"/>
      <c r="O160" s="131" t="s">
        <v>1002</v>
      </c>
      <c r="P160" s="131"/>
      <c r="Q160" s="131"/>
      <c r="R160" s="131"/>
      <c r="S160" s="132"/>
      <c r="T160" s="15" t="s">
        <v>102</v>
      </c>
      <c r="U160" s="15"/>
      <c r="V160" s="133" t="s">
        <v>1053</v>
      </c>
      <c r="W160" s="131"/>
      <c r="X160" s="131"/>
      <c r="Y160" s="131"/>
      <c r="Z160" s="131"/>
      <c r="AB160" s="131" t="s">
        <v>1046</v>
      </c>
      <c r="AC160" s="131"/>
      <c r="AD160" s="131"/>
      <c r="AE160" s="131"/>
    </row>
    <row r="161" spans="3:31" x14ac:dyDescent="0.4">
      <c r="C161" s="156" t="s">
        <v>1054</v>
      </c>
      <c r="D161" s="156"/>
      <c r="E161" s="156"/>
      <c r="F161" s="156"/>
      <c r="G161" s="156"/>
      <c r="H161" s="156"/>
      <c r="I161" s="156"/>
      <c r="J161" s="156"/>
      <c r="K161" s="156"/>
      <c r="L161" s="156"/>
      <c r="M161" s="156"/>
      <c r="O161" s="131" t="s">
        <v>1003</v>
      </c>
      <c r="P161" s="131"/>
      <c r="Q161" s="131"/>
      <c r="R161" s="131"/>
      <c r="S161" s="132"/>
      <c r="T161" s="15" t="s">
        <v>102</v>
      </c>
      <c r="U161" s="15"/>
      <c r="V161" s="133" t="s">
        <v>1055</v>
      </c>
      <c r="W161" s="131"/>
      <c r="X161" s="131"/>
      <c r="Y161" s="131"/>
      <c r="Z161" s="131"/>
      <c r="AB161" s="131" t="s">
        <v>1046</v>
      </c>
      <c r="AC161" s="131"/>
      <c r="AD161" s="131"/>
      <c r="AE161" s="131"/>
    </row>
    <row r="162" spans="3:31" x14ac:dyDescent="0.4">
      <c r="C162" s="156" t="s">
        <v>1056</v>
      </c>
      <c r="D162" s="156"/>
      <c r="E162" s="156"/>
      <c r="F162" s="156"/>
      <c r="G162" s="156"/>
      <c r="H162" s="156"/>
      <c r="I162" s="156"/>
      <c r="J162" s="156"/>
      <c r="K162" s="156"/>
      <c r="L162" s="156"/>
      <c r="M162" s="156"/>
      <c r="O162" s="131" t="s">
        <v>1004</v>
      </c>
      <c r="P162" s="131"/>
      <c r="Q162" s="131"/>
      <c r="R162" s="131"/>
      <c r="S162" s="132"/>
      <c r="T162" s="15" t="s">
        <v>102</v>
      </c>
      <c r="U162" s="15"/>
      <c r="V162" s="133" t="s">
        <v>1057</v>
      </c>
      <c r="W162" s="131"/>
      <c r="X162" s="131"/>
      <c r="Y162" s="131"/>
      <c r="Z162" s="131"/>
      <c r="AB162" s="131" t="s">
        <v>1046</v>
      </c>
      <c r="AC162" s="131"/>
      <c r="AD162" s="131"/>
      <c r="AE162" s="131"/>
    </row>
    <row r="163" spans="3:31" x14ac:dyDescent="0.4">
      <c r="C163" s="156" t="s">
        <v>1058</v>
      </c>
      <c r="D163" s="156"/>
      <c r="E163" s="156"/>
      <c r="F163" s="156"/>
      <c r="G163" s="156"/>
      <c r="H163" s="156"/>
      <c r="I163" s="156"/>
      <c r="J163" s="156"/>
      <c r="K163" s="156"/>
      <c r="L163" s="156"/>
      <c r="M163" s="156"/>
      <c r="O163" s="131" t="s">
        <v>1005</v>
      </c>
      <c r="P163" s="131"/>
      <c r="Q163" s="131"/>
      <c r="R163" s="131"/>
      <c r="S163" s="132"/>
      <c r="T163" s="15" t="s">
        <v>102</v>
      </c>
      <c r="U163" s="15"/>
      <c r="V163" s="133" t="s">
        <v>1059</v>
      </c>
      <c r="W163" s="131"/>
      <c r="X163" s="131"/>
      <c r="Y163" s="131"/>
      <c r="Z163" s="131"/>
      <c r="AB163" s="131" t="s">
        <v>1046</v>
      </c>
      <c r="AC163" s="131"/>
      <c r="AD163" s="131"/>
      <c r="AE163" s="131"/>
    </row>
    <row r="167" spans="3:31" x14ac:dyDescent="0.4">
      <c r="C167" s="50" t="s">
        <v>103</v>
      </c>
      <c r="D167" s="50"/>
      <c r="E167" s="50"/>
      <c r="F167" s="50"/>
      <c r="G167" s="50"/>
      <c r="H167" s="50"/>
      <c r="I167" s="50"/>
      <c r="J167" s="50"/>
      <c r="K167" s="50"/>
      <c r="L167" s="50"/>
      <c r="M167" s="50"/>
      <c r="O167" s="65" t="s">
        <v>1</v>
      </c>
      <c r="P167" s="65"/>
      <c r="Q167" s="65"/>
      <c r="R167" s="65"/>
      <c r="S167" s="65"/>
      <c r="T167" s="65"/>
      <c r="U167" s="65"/>
      <c r="V167" s="65"/>
      <c r="W167" s="65"/>
      <c r="X167" s="65"/>
      <c r="Y167" s="65"/>
      <c r="Z167" s="65"/>
      <c r="AB167" s="65" t="s">
        <v>804</v>
      </c>
      <c r="AC167" s="65"/>
      <c r="AD167" s="65"/>
      <c r="AE167" s="65"/>
    </row>
    <row r="168" spans="3:31" x14ac:dyDescent="0.4">
      <c r="C168" s="52" t="s">
        <v>94</v>
      </c>
      <c r="D168" s="52"/>
      <c r="E168" s="52"/>
      <c r="F168" s="52"/>
      <c r="G168" s="52"/>
      <c r="H168" s="52"/>
      <c r="I168" s="52"/>
      <c r="J168" s="52"/>
      <c r="K168" s="52"/>
      <c r="L168" s="52"/>
      <c r="M168" s="52"/>
      <c r="O168" s="131" t="s">
        <v>988</v>
      </c>
      <c r="P168" s="131"/>
      <c r="Q168" s="131"/>
      <c r="R168" s="131"/>
      <c r="S168" s="132"/>
      <c r="T168" s="15" t="s">
        <v>102</v>
      </c>
      <c r="U168" s="15"/>
      <c r="V168" s="133" t="s">
        <v>1036</v>
      </c>
      <c r="W168" s="131"/>
      <c r="X168" s="131"/>
      <c r="Y168" s="131"/>
      <c r="Z168" s="131"/>
      <c r="AB168" s="131" t="s">
        <v>805</v>
      </c>
      <c r="AC168" s="131"/>
      <c r="AD168" s="131"/>
      <c r="AE168" s="131"/>
    </row>
    <row r="169" spans="3:31" x14ac:dyDescent="0.4">
      <c r="C169" s="52" t="s">
        <v>95</v>
      </c>
      <c r="D169" s="52"/>
      <c r="E169" s="52"/>
      <c r="F169" s="52"/>
      <c r="G169" s="52"/>
      <c r="H169" s="52"/>
      <c r="I169" s="52"/>
      <c r="J169" s="52"/>
      <c r="K169" s="52"/>
      <c r="L169" s="52"/>
      <c r="M169" s="52"/>
      <c r="O169" s="131" t="s">
        <v>1031</v>
      </c>
      <c r="P169" s="131"/>
      <c r="Q169" s="131"/>
      <c r="R169" s="131"/>
      <c r="S169" s="132"/>
      <c r="T169" s="15" t="s">
        <v>102</v>
      </c>
      <c r="U169" s="15"/>
      <c r="V169" s="133" t="s">
        <v>1037</v>
      </c>
      <c r="W169" s="131"/>
      <c r="X169" s="131"/>
      <c r="Y169" s="131"/>
      <c r="Z169" s="131"/>
      <c r="AB169" s="131" t="s">
        <v>805</v>
      </c>
      <c r="AC169" s="131"/>
      <c r="AD169" s="131"/>
      <c r="AE169" s="131"/>
    </row>
    <row r="170" spans="3:31" x14ac:dyDescent="0.4">
      <c r="C170" s="52" t="s">
        <v>96</v>
      </c>
      <c r="D170" s="52"/>
      <c r="E170" s="52"/>
      <c r="F170" s="52"/>
      <c r="G170" s="52"/>
      <c r="H170" s="52"/>
      <c r="I170" s="52"/>
      <c r="J170" s="52"/>
      <c r="K170" s="52"/>
      <c r="L170" s="52"/>
      <c r="M170" s="52"/>
      <c r="O170" s="131" t="s">
        <v>1032</v>
      </c>
      <c r="P170" s="131"/>
      <c r="Q170" s="131"/>
      <c r="R170" s="131"/>
      <c r="S170" s="132"/>
      <c r="T170" s="15" t="s">
        <v>102</v>
      </c>
      <c r="U170" s="15"/>
      <c r="V170" s="133" t="s">
        <v>1038</v>
      </c>
      <c r="W170" s="131"/>
      <c r="X170" s="131"/>
      <c r="Y170" s="131"/>
      <c r="Z170" s="131"/>
      <c r="AB170" s="131" t="s">
        <v>805</v>
      </c>
      <c r="AC170" s="131"/>
      <c r="AD170" s="131"/>
      <c r="AE170" s="131"/>
    </row>
    <row r="171" spans="3:31" x14ac:dyDescent="0.4">
      <c r="C171" s="52" t="s">
        <v>97</v>
      </c>
      <c r="D171" s="52"/>
      <c r="E171" s="52"/>
      <c r="F171" s="52"/>
      <c r="G171" s="52"/>
      <c r="H171" s="52"/>
      <c r="I171" s="52"/>
      <c r="J171" s="52"/>
      <c r="K171" s="52"/>
      <c r="L171" s="52"/>
      <c r="M171" s="52"/>
      <c r="O171" s="131" t="s">
        <v>1033</v>
      </c>
      <c r="P171" s="131"/>
      <c r="Q171" s="131"/>
      <c r="R171" s="131"/>
      <c r="S171" s="132"/>
      <c r="T171" s="15" t="s">
        <v>102</v>
      </c>
      <c r="U171" s="15"/>
      <c r="V171" s="133" t="s">
        <v>1039</v>
      </c>
      <c r="W171" s="131"/>
      <c r="X171" s="131"/>
      <c r="Y171" s="131"/>
      <c r="Z171" s="131"/>
      <c r="AB171" s="131" t="s">
        <v>805</v>
      </c>
      <c r="AC171" s="131"/>
      <c r="AD171" s="131"/>
      <c r="AE171" s="131"/>
    </row>
    <row r="172" spans="3:31" x14ac:dyDescent="0.4">
      <c r="C172" s="52" t="s">
        <v>100</v>
      </c>
      <c r="D172" s="52"/>
      <c r="E172" s="52"/>
      <c r="F172" s="52"/>
      <c r="G172" s="52"/>
      <c r="H172" s="52"/>
      <c r="I172" s="52"/>
      <c r="J172" s="52"/>
      <c r="K172" s="52"/>
      <c r="L172" s="52"/>
      <c r="M172" s="52"/>
      <c r="O172" s="131" t="s">
        <v>991</v>
      </c>
      <c r="P172" s="131"/>
      <c r="Q172" s="131"/>
      <c r="R172" s="131"/>
      <c r="S172" s="132"/>
      <c r="T172" s="15" t="s">
        <v>102</v>
      </c>
      <c r="U172" s="15"/>
      <c r="V172" s="133" t="s">
        <v>1147</v>
      </c>
      <c r="W172" s="131"/>
      <c r="X172" s="131"/>
      <c r="Y172" s="131"/>
      <c r="Z172" s="131"/>
      <c r="AB172" s="131" t="s">
        <v>805</v>
      </c>
      <c r="AC172" s="131"/>
      <c r="AD172" s="131"/>
      <c r="AE172" s="131"/>
    </row>
    <row r="173" spans="3:31" x14ac:dyDescent="0.4">
      <c r="C173" s="52" t="s">
        <v>101</v>
      </c>
      <c r="D173" s="52"/>
      <c r="E173" s="52"/>
      <c r="F173" s="52"/>
      <c r="G173" s="52"/>
      <c r="H173" s="52"/>
      <c r="I173" s="52"/>
      <c r="J173" s="52"/>
      <c r="K173" s="52"/>
      <c r="L173" s="52"/>
      <c r="M173" s="52"/>
      <c r="O173" s="131" t="s">
        <v>994</v>
      </c>
      <c r="P173" s="131"/>
      <c r="Q173" s="131"/>
      <c r="R173" s="131"/>
      <c r="S173" s="132"/>
      <c r="T173" s="15" t="s">
        <v>102</v>
      </c>
      <c r="U173" s="15"/>
      <c r="V173" s="133" t="s">
        <v>1150</v>
      </c>
      <c r="W173" s="131"/>
      <c r="X173" s="131"/>
      <c r="Y173" s="131"/>
      <c r="Z173" s="131"/>
      <c r="AB173" s="131" t="s">
        <v>1148</v>
      </c>
      <c r="AC173" s="131"/>
      <c r="AD173" s="131"/>
      <c r="AE173" s="131"/>
    </row>
    <row r="174" spans="3:31" x14ac:dyDescent="0.4">
      <c r="C174" s="156" t="s">
        <v>1030</v>
      </c>
      <c r="D174" s="156"/>
      <c r="E174" s="156"/>
      <c r="F174" s="156"/>
      <c r="G174" s="156"/>
      <c r="H174" s="156"/>
      <c r="I174" s="156"/>
      <c r="J174" s="156"/>
      <c r="K174" s="156"/>
      <c r="L174" s="156"/>
      <c r="M174" s="156"/>
      <c r="O174" s="131" t="s">
        <v>998</v>
      </c>
      <c r="P174" s="131"/>
      <c r="Q174" s="131"/>
      <c r="R174" s="131"/>
      <c r="S174" s="132"/>
      <c r="T174" s="15" t="s">
        <v>102</v>
      </c>
      <c r="U174" s="15"/>
      <c r="V174" s="133" t="s">
        <v>1151</v>
      </c>
      <c r="W174" s="131"/>
      <c r="X174" s="131"/>
      <c r="Y174" s="131"/>
      <c r="Z174" s="131"/>
      <c r="AB174" s="131" t="s">
        <v>1149</v>
      </c>
      <c r="AC174" s="131"/>
      <c r="AD174" s="131"/>
      <c r="AE174" s="131"/>
    </row>
    <row r="175" spans="3:31" x14ac:dyDescent="0.4">
      <c r="C175" s="156" t="s">
        <v>1044</v>
      </c>
      <c r="D175" s="156"/>
      <c r="E175" s="156"/>
      <c r="F175" s="156"/>
      <c r="G175" s="156"/>
      <c r="H175" s="156"/>
      <c r="I175" s="156"/>
      <c r="J175" s="156"/>
      <c r="K175" s="156"/>
      <c r="L175" s="156"/>
      <c r="M175" s="156"/>
      <c r="O175" s="131" t="s">
        <v>999</v>
      </c>
      <c r="P175" s="131"/>
      <c r="Q175" s="131"/>
      <c r="R175" s="131"/>
      <c r="S175" s="132"/>
      <c r="T175" s="15" t="s">
        <v>102</v>
      </c>
      <c r="U175" s="15"/>
      <c r="V175" s="133" t="s">
        <v>1152</v>
      </c>
      <c r="W175" s="131"/>
      <c r="X175" s="131"/>
      <c r="Y175" s="131"/>
      <c r="Z175" s="131"/>
      <c r="AB175" s="131" t="s">
        <v>1149</v>
      </c>
      <c r="AC175" s="131"/>
      <c r="AD175" s="131"/>
      <c r="AE175" s="131"/>
    </row>
  </sheetData>
  <mergeCells count="487">
    <mergeCell ref="C174:M174"/>
    <mergeCell ref="O174:S174"/>
    <mergeCell ref="V174:Z174"/>
    <mergeCell ref="AB174:AE174"/>
    <mergeCell ref="C175:M175"/>
    <mergeCell ref="O175:S175"/>
    <mergeCell ref="V175:Z175"/>
    <mergeCell ref="AB175:AE175"/>
    <mergeCell ref="C171:M171"/>
    <mergeCell ref="O171:S171"/>
    <mergeCell ref="V171:Z171"/>
    <mergeCell ref="AB171:AE171"/>
    <mergeCell ref="C172:M172"/>
    <mergeCell ref="O172:S172"/>
    <mergeCell ref="V172:Z172"/>
    <mergeCell ref="AB172:AE172"/>
    <mergeCell ref="C173:M173"/>
    <mergeCell ref="O173:S173"/>
    <mergeCell ref="V173:Z173"/>
    <mergeCell ref="AB173:AE173"/>
    <mergeCell ref="C168:M168"/>
    <mergeCell ref="O168:S168"/>
    <mergeCell ref="V168:Z168"/>
    <mergeCell ref="AB168:AE168"/>
    <mergeCell ref="C169:M169"/>
    <mergeCell ref="O169:S169"/>
    <mergeCell ref="V169:Z169"/>
    <mergeCell ref="AB169:AE169"/>
    <mergeCell ref="C170:M170"/>
    <mergeCell ref="O170:S170"/>
    <mergeCell ref="V170:Z170"/>
    <mergeCell ref="AB170:AE170"/>
    <mergeCell ref="Z87:AD87"/>
    <mergeCell ref="AF87:AJ87"/>
    <mergeCell ref="Z88:AD88"/>
    <mergeCell ref="AF88:AJ88"/>
    <mergeCell ref="Z89:AD89"/>
    <mergeCell ref="AF89:AJ89"/>
    <mergeCell ref="C167:M167"/>
    <mergeCell ref="O167:Z167"/>
    <mergeCell ref="AB167:AE167"/>
    <mergeCell ref="O163:S163"/>
    <mergeCell ref="V163:Z163"/>
    <mergeCell ref="AB163:AE163"/>
    <mergeCell ref="C163:M163"/>
    <mergeCell ref="C162:M162"/>
    <mergeCell ref="C161:M161"/>
    <mergeCell ref="C160:M160"/>
    <mergeCell ref="C159:M159"/>
    <mergeCell ref="C158:M158"/>
    <mergeCell ref="C157:M157"/>
    <mergeCell ref="C156:M156"/>
    <mergeCell ref="C155:M155"/>
    <mergeCell ref="C154:M154"/>
    <mergeCell ref="Z80:AD81"/>
    <mergeCell ref="AF80:AJ81"/>
    <mergeCell ref="Z82:AD82"/>
    <mergeCell ref="AF82:AJ82"/>
    <mergeCell ref="Z83:AD83"/>
    <mergeCell ref="AF83:AJ83"/>
    <mergeCell ref="Z84:AD84"/>
    <mergeCell ref="AF84:AJ84"/>
    <mergeCell ref="Z85:AD86"/>
    <mergeCell ref="AF85:AJ86"/>
    <mergeCell ref="Z75:AD75"/>
    <mergeCell ref="AF75:AJ75"/>
    <mergeCell ref="Z76:AD76"/>
    <mergeCell ref="AF76:AJ76"/>
    <mergeCell ref="Z77:AD77"/>
    <mergeCell ref="AF77:AJ77"/>
    <mergeCell ref="Z78:AD78"/>
    <mergeCell ref="AF78:AJ78"/>
    <mergeCell ref="Z79:AD79"/>
    <mergeCell ref="AF79:AJ79"/>
    <mergeCell ref="Z72:AD73"/>
    <mergeCell ref="AF72:AJ73"/>
    <mergeCell ref="Z74:AD74"/>
    <mergeCell ref="AF74:AJ74"/>
    <mergeCell ref="Z67:AD67"/>
    <mergeCell ref="AF67:AJ67"/>
    <mergeCell ref="Z68:AD68"/>
    <mergeCell ref="AF68:AJ68"/>
    <mergeCell ref="Z69:AD69"/>
    <mergeCell ref="AF69:AJ69"/>
    <mergeCell ref="Z70:AD70"/>
    <mergeCell ref="AF70:AJ70"/>
    <mergeCell ref="Z71:AD71"/>
    <mergeCell ref="AF71:AJ71"/>
    <mergeCell ref="C153:M153"/>
    <mergeCell ref="C152:M152"/>
    <mergeCell ref="C151:M151"/>
    <mergeCell ref="C150:M150"/>
    <mergeCell ref="C149:M149"/>
    <mergeCell ref="C148:M148"/>
    <mergeCell ref="C147:M147"/>
    <mergeCell ref="O160:S160"/>
    <mergeCell ref="V160:Z160"/>
    <mergeCell ref="O155:S155"/>
    <mergeCell ref="V155:Z155"/>
    <mergeCell ref="O149:S149"/>
    <mergeCell ref="V149:Z149"/>
    <mergeCell ref="O151:S151"/>
    <mergeCell ref="V151:Z151"/>
    <mergeCell ref="AB160:AE160"/>
    <mergeCell ref="O161:S161"/>
    <mergeCell ref="V161:Z161"/>
    <mergeCell ref="AB161:AE161"/>
    <mergeCell ref="O162:S162"/>
    <mergeCell ref="V162:Z162"/>
    <mergeCell ref="AB162:AE162"/>
    <mergeCell ref="O157:S157"/>
    <mergeCell ref="V157:Z157"/>
    <mergeCell ref="AB157:AE157"/>
    <mergeCell ref="O158:S158"/>
    <mergeCell ref="V158:Z158"/>
    <mergeCell ref="AB158:AE158"/>
    <mergeCell ref="O159:S159"/>
    <mergeCell ref="V159:Z159"/>
    <mergeCell ref="AB159:AE159"/>
    <mergeCell ref="AB155:AE155"/>
    <mergeCell ref="O156:S156"/>
    <mergeCell ref="V156:Z156"/>
    <mergeCell ref="AB156:AE156"/>
    <mergeCell ref="O152:S152"/>
    <mergeCell ref="V152:Z152"/>
    <mergeCell ref="AB152:AE152"/>
    <mergeCell ref="O153:S153"/>
    <mergeCell ref="V153:Z153"/>
    <mergeCell ref="AB153:AE153"/>
    <mergeCell ref="O154:S154"/>
    <mergeCell ref="V154:Z154"/>
    <mergeCell ref="AB154:AE154"/>
    <mergeCell ref="AB151:AE151"/>
    <mergeCell ref="I118:M118"/>
    <mergeCell ref="I119:M119"/>
    <mergeCell ref="O147:Z147"/>
    <mergeCell ref="AB147:AE147"/>
    <mergeCell ref="O148:S148"/>
    <mergeCell ref="V148:Z148"/>
    <mergeCell ref="AB148:AE148"/>
    <mergeCell ref="V143:Z143"/>
    <mergeCell ref="AB143:AE143"/>
    <mergeCell ref="G138:M138"/>
    <mergeCell ref="O138:S138"/>
    <mergeCell ref="V138:Z138"/>
    <mergeCell ref="AB138:AE138"/>
    <mergeCell ref="G139:M139"/>
    <mergeCell ref="O139:S139"/>
    <mergeCell ref="V139:Z139"/>
    <mergeCell ref="AB139:AE139"/>
    <mergeCell ref="AB125:AE125"/>
    <mergeCell ref="G126:M126"/>
    <mergeCell ref="O126:S126"/>
    <mergeCell ref="V126:Z126"/>
    <mergeCell ref="AB126:AE126"/>
    <mergeCell ref="G127:M127"/>
    <mergeCell ref="I110:M111"/>
    <mergeCell ref="I112:M112"/>
    <mergeCell ref="I113:M113"/>
    <mergeCell ref="I114:M114"/>
    <mergeCell ref="I115:M116"/>
    <mergeCell ref="I117:M117"/>
    <mergeCell ref="AB149:AE149"/>
    <mergeCell ref="O150:S150"/>
    <mergeCell ref="V150:Z150"/>
    <mergeCell ref="AB150:AE150"/>
    <mergeCell ref="O115:S116"/>
    <mergeCell ref="O117:S117"/>
    <mergeCell ref="O118:S118"/>
    <mergeCell ref="O119:S119"/>
    <mergeCell ref="O113:S113"/>
    <mergeCell ref="O114:S114"/>
    <mergeCell ref="G143:M143"/>
    <mergeCell ref="O143:S143"/>
    <mergeCell ref="O110:S111"/>
    <mergeCell ref="O112:S112"/>
    <mergeCell ref="G140:M140"/>
    <mergeCell ref="O140:S140"/>
    <mergeCell ref="V140:Z140"/>
    <mergeCell ref="AB140:AE140"/>
    <mergeCell ref="I82:M82"/>
    <mergeCell ref="I83:M83"/>
    <mergeCell ref="I84:M84"/>
    <mergeCell ref="I85:M86"/>
    <mergeCell ref="I87:M87"/>
    <mergeCell ref="I88:M88"/>
    <mergeCell ref="I89:M89"/>
    <mergeCell ref="I90:M91"/>
    <mergeCell ref="I92:M92"/>
    <mergeCell ref="I93:M93"/>
    <mergeCell ref="I94:M94"/>
    <mergeCell ref="I95:M96"/>
    <mergeCell ref="I97:M97"/>
    <mergeCell ref="I98:M98"/>
    <mergeCell ref="I99:M99"/>
    <mergeCell ref="I100:M101"/>
    <mergeCell ref="I102:M102"/>
    <mergeCell ref="I103:M103"/>
    <mergeCell ref="I104:M104"/>
    <mergeCell ref="I105:M106"/>
    <mergeCell ref="O104:S104"/>
    <mergeCell ref="O105:S106"/>
    <mergeCell ref="O107:S107"/>
    <mergeCell ref="O108:S108"/>
    <mergeCell ref="O109:S109"/>
    <mergeCell ref="I107:M107"/>
    <mergeCell ref="I108:M108"/>
    <mergeCell ref="I109:M109"/>
    <mergeCell ref="O93:S93"/>
    <mergeCell ref="O94:S94"/>
    <mergeCell ref="O95:S96"/>
    <mergeCell ref="O97:S97"/>
    <mergeCell ref="O98:S98"/>
    <mergeCell ref="O99:S99"/>
    <mergeCell ref="O100:S101"/>
    <mergeCell ref="O102:S102"/>
    <mergeCell ref="O103:S103"/>
    <mergeCell ref="O82:S82"/>
    <mergeCell ref="O83:S83"/>
    <mergeCell ref="O84:S84"/>
    <mergeCell ref="O85:S86"/>
    <mergeCell ref="O87:S87"/>
    <mergeCell ref="O88:S88"/>
    <mergeCell ref="O89:S89"/>
    <mergeCell ref="O90:S91"/>
    <mergeCell ref="O92:S92"/>
    <mergeCell ref="I80:M81"/>
    <mergeCell ref="O77:S77"/>
    <mergeCell ref="O78:S78"/>
    <mergeCell ref="O79:S79"/>
    <mergeCell ref="O80:S81"/>
    <mergeCell ref="I71:M71"/>
    <mergeCell ref="I72:M72"/>
    <mergeCell ref="I73:M73"/>
    <mergeCell ref="I74:M74"/>
    <mergeCell ref="I75:M76"/>
    <mergeCell ref="O71:S71"/>
    <mergeCell ref="O72:S72"/>
    <mergeCell ref="O73:S73"/>
    <mergeCell ref="O74:S74"/>
    <mergeCell ref="O75:S76"/>
    <mergeCell ref="I77:M77"/>
    <mergeCell ref="I78:M78"/>
    <mergeCell ref="I79:M79"/>
    <mergeCell ref="G137:M137"/>
    <mergeCell ref="O137:S137"/>
    <mergeCell ref="V137:Z137"/>
    <mergeCell ref="AB137:AE137"/>
    <mergeCell ref="G123:M123"/>
    <mergeCell ref="O123:Z123"/>
    <mergeCell ref="AB123:AE123"/>
    <mergeCell ref="G124:M124"/>
    <mergeCell ref="O124:S124"/>
    <mergeCell ref="V124:Z124"/>
    <mergeCell ref="AB124:AE124"/>
    <mergeCell ref="G125:M125"/>
    <mergeCell ref="O125:S125"/>
    <mergeCell ref="V125:Z125"/>
    <mergeCell ref="G135:M135"/>
    <mergeCell ref="O135:Z135"/>
    <mergeCell ref="AB135:AE135"/>
    <mergeCell ref="G136:M136"/>
    <mergeCell ref="O136:S136"/>
    <mergeCell ref="V136:Z136"/>
    <mergeCell ref="AB136:AE136"/>
    <mergeCell ref="O127:S127"/>
    <mergeCell ref="V127:Z127"/>
    <mergeCell ref="AB127:AE127"/>
    <mergeCell ref="AH142:AJ142"/>
    <mergeCell ref="G141:M141"/>
    <mergeCell ref="O141:S141"/>
    <mergeCell ref="V141:Z141"/>
    <mergeCell ref="AB141:AE141"/>
    <mergeCell ref="G142:M142"/>
    <mergeCell ref="O142:S142"/>
    <mergeCell ref="V142:Z142"/>
    <mergeCell ref="AB142:AE142"/>
    <mergeCell ref="AF57:AI58"/>
    <mergeCell ref="AF59:AI59"/>
    <mergeCell ref="AF60:AI60"/>
    <mergeCell ref="AF61:AI61"/>
    <mergeCell ref="AF54:AI54"/>
    <mergeCell ref="Z54:AD54"/>
    <mergeCell ref="Z55:AD55"/>
    <mergeCell ref="AF55:AI55"/>
    <mergeCell ref="Z56:AD56"/>
    <mergeCell ref="Z57:AD58"/>
    <mergeCell ref="Z59:AD59"/>
    <mergeCell ref="Z60:AD60"/>
    <mergeCell ref="Z61:AD61"/>
    <mergeCell ref="O65:S65"/>
    <mergeCell ref="I67:M67"/>
    <mergeCell ref="I68:M68"/>
    <mergeCell ref="I69:M69"/>
    <mergeCell ref="I70:M70"/>
    <mergeCell ref="O67:S67"/>
    <mergeCell ref="O68:S68"/>
    <mergeCell ref="O69:S69"/>
    <mergeCell ref="O70:S70"/>
    <mergeCell ref="O66:S66"/>
    <mergeCell ref="F5:G5"/>
    <mergeCell ref="I5:J5"/>
    <mergeCell ref="K5:L5"/>
    <mergeCell ref="N5:O5"/>
    <mergeCell ref="P5:Q5"/>
    <mergeCell ref="P7:T7"/>
    <mergeCell ref="V7:Z7"/>
    <mergeCell ref="AA7:AE7"/>
    <mergeCell ref="F22:J22"/>
    <mergeCell ref="K22:O22"/>
    <mergeCell ref="P22:T22"/>
    <mergeCell ref="V22:Z22"/>
    <mergeCell ref="AA22:AE22"/>
    <mergeCell ref="S5:T5"/>
    <mergeCell ref="V5:W5"/>
    <mergeCell ref="Y5:Z5"/>
    <mergeCell ref="AA5:AB5"/>
    <mergeCell ref="F6:J6"/>
    <mergeCell ref="K6:O6"/>
    <mergeCell ref="P6:T6"/>
    <mergeCell ref="V6:Z6"/>
    <mergeCell ref="AA6:AE6"/>
    <mergeCell ref="F24:AO24"/>
    <mergeCell ref="F36:G36"/>
    <mergeCell ref="J36:K36"/>
    <mergeCell ref="L36:M36"/>
    <mergeCell ref="O36:P36"/>
    <mergeCell ref="AF36:AI36"/>
    <mergeCell ref="AF35:AI35"/>
    <mergeCell ref="O48:R48"/>
    <mergeCell ref="AF56:AI56"/>
    <mergeCell ref="Z53:AD53"/>
    <mergeCell ref="AF53:AI53"/>
    <mergeCell ref="O47:R47"/>
    <mergeCell ref="Z50:AD50"/>
    <mergeCell ref="AF50:AI50"/>
    <mergeCell ref="O49:R49"/>
    <mergeCell ref="Z51:AD51"/>
    <mergeCell ref="AF51:AI51"/>
    <mergeCell ref="Z52:AD52"/>
    <mergeCell ref="AF52:AI52"/>
    <mergeCell ref="I50:M50"/>
    <mergeCell ref="I49:M49"/>
    <mergeCell ref="I48:J48"/>
    <mergeCell ref="T29:AA29"/>
    <mergeCell ref="AF49:AI49"/>
    <mergeCell ref="O50:R50"/>
    <mergeCell ref="P44:X44"/>
    <mergeCell ref="AF39:AI39"/>
    <mergeCell ref="L40:P40"/>
    <mergeCell ref="AF47:AI47"/>
    <mergeCell ref="AF48:AI48"/>
    <mergeCell ref="Z49:AD49"/>
    <mergeCell ref="AW4:AZ4"/>
    <mergeCell ref="Z14:AF14"/>
    <mergeCell ref="AW5:AZ5"/>
    <mergeCell ref="AW6:AZ6"/>
    <mergeCell ref="AW7:AZ7"/>
    <mergeCell ref="AW8:AZ8"/>
    <mergeCell ref="AW9:AZ9"/>
    <mergeCell ref="AK9:AO9"/>
    <mergeCell ref="AP9:AT9"/>
    <mergeCell ref="AK7:AO7"/>
    <mergeCell ref="AP7:AT7"/>
    <mergeCell ref="F8:AT8"/>
    <mergeCell ref="AK6:AO6"/>
    <mergeCell ref="AP6:AT6"/>
    <mergeCell ref="F7:J7"/>
    <mergeCell ref="K7:O7"/>
    <mergeCell ref="AF7:AJ7"/>
    <mergeCell ref="AF6:AJ6"/>
    <mergeCell ref="V12:W12"/>
    <mergeCell ref="F9:J9"/>
    <mergeCell ref="K9:O9"/>
    <mergeCell ref="P9:T9"/>
    <mergeCell ref="V9:Z9"/>
    <mergeCell ref="AA9:AE9"/>
    <mergeCell ref="AF9:AJ9"/>
    <mergeCell ref="AK22:AO22"/>
    <mergeCell ref="V13:W13"/>
    <mergeCell ref="X13:AA13"/>
    <mergeCell ref="AB13:AJ13"/>
    <mergeCell ref="AR22:AU22"/>
    <mergeCell ref="AF23:AJ23"/>
    <mergeCell ref="AK23:AO23"/>
    <mergeCell ref="AR23:AU23"/>
    <mergeCell ref="AR20:AU20"/>
    <mergeCell ref="F21:G21"/>
    <mergeCell ref="I21:J21"/>
    <mergeCell ref="K21:L21"/>
    <mergeCell ref="N21:O21"/>
    <mergeCell ref="P21:Q21"/>
    <mergeCell ref="S21:T21"/>
    <mergeCell ref="V21:W21"/>
    <mergeCell ref="AR21:AU21"/>
    <mergeCell ref="AR24:AU24"/>
    <mergeCell ref="F23:J23"/>
    <mergeCell ref="K23:O23"/>
    <mergeCell ref="P23:T23"/>
    <mergeCell ref="V23:Z23"/>
    <mergeCell ref="AA23:AE23"/>
    <mergeCell ref="AF22:AJ22"/>
    <mergeCell ref="I51:M51"/>
    <mergeCell ref="I53:M53"/>
    <mergeCell ref="I52:M52"/>
    <mergeCell ref="O52:R52"/>
    <mergeCell ref="O53:R53"/>
    <mergeCell ref="O51:R51"/>
    <mergeCell ref="AR25:AU25"/>
    <mergeCell ref="P27:Q27"/>
    <mergeCell ref="P28:Q28"/>
    <mergeCell ref="Z28:AA28"/>
    <mergeCell ref="F25:J25"/>
    <mergeCell ref="K25:O25"/>
    <mergeCell ref="P25:T25"/>
    <mergeCell ref="V25:Z25"/>
    <mergeCell ref="AA25:AE25"/>
    <mergeCell ref="AF25:AJ25"/>
    <mergeCell ref="AK25:AO25"/>
    <mergeCell ref="AR35:AU35"/>
    <mergeCell ref="W43:X43"/>
    <mergeCell ref="F40:K40"/>
    <mergeCell ref="F38:K38"/>
    <mergeCell ref="F37:K37"/>
    <mergeCell ref="Q37:W37"/>
    <mergeCell ref="Q38:W38"/>
    <mergeCell ref="Q40:W40"/>
    <mergeCell ref="X37:AC37"/>
    <mergeCell ref="X38:AC38"/>
    <mergeCell ref="X40:AC40"/>
    <mergeCell ref="F39:AC39"/>
    <mergeCell ref="L37:P37"/>
    <mergeCell ref="AF37:AI37"/>
    <mergeCell ref="L38:P38"/>
    <mergeCell ref="AF38:AI38"/>
    <mergeCell ref="AF40:AI40"/>
    <mergeCell ref="BL7:BR7"/>
    <mergeCell ref="BT7:CD7"/>
    <mergeCell ref="CF7:CI7"/>
    <mergeCell ref="BL8:BR8"/>
    <mergeCell ref="BT8:BX8"/>
    <mergeCell ref="BZ8:CD8"/>
    <mergeCell ref="CF8:CI8"/>
    <mergeCell ref="BL9:BR9"/>
    <mergeCell ref="BT9:BX9"/>
    <mergeCell ref="BZ9:CD9"/>
    <mergeCell ref="CF9:CI9"/>
    <mergeCell ref="BL10:BR10"/>
    <mergeCell ref="BT10:BX10"/>
    <mergeCell ref="BZ10:CD10"/>
    <mergeCell ref="CF10:CI10"/>
    <mergeCell ref="BL11:BR11"/>
    <mergeCell ref="BT11:BX11"/>
    <mergeCell ref="BZ11:CD11"/>
    <mergeCell ref="CF11:CI11"/>
    <mergeCell ref="BL12:BR12"/>
    <mergeCell ref="BT12:BX12"/>
    <mergeCell ref="BZ12:CD12"/>
    <mergeCell ref="CF12:CI12"/>
    <mergeCell ref="BL13:BR13"/>
    <mergeCell ref="BT13:BX13"/>
    <mergeCell ref="BZ13:CD13"/>
    <mergeCell ref="CF13:CI13"/>
    <mergeCell ref="BL14:BR14"/>
    <mergeCell ref="BT14:BX14"/>
    <mergeCell ref="BZ14:CD14"/>
    <mergeCell ref="CF14:CI14"/>
    <mergeCell ref="BL15:BR15"/>
    <mergeCell ref="BT15:BX15"/>
    <mergeCell ref="BZ15:CD15"/>
    <mergeCell ref="CF15:CI15"/>
    <mergeCell ref="G131:M131"/>
    <mergeCell ref="O131:S131"/>
    <mergeCell ref="V131:Z131"/>
    <mergeCell ref="AB131:AE131"/>
    <mergeCell ref="G128:M128"/>
    <mergeCell ref="O128:S128"/>
    <mergeCell ref="V128:Z128"/>
    <mergeCell ref="AB128:AE128"/>
    <mergeCell ref="G129:M129"/>
    <mergeCell ref="O129:S129"/>
    <mergeCell ref="V129:Z129"/>
    <mergeCell ref="AB129:AE129"/>
    <mergeCell ref="G130:M130"/>
    <mergeCell ref="O130:S130"/>
    <mergeCell ref="V130:Z130"/>
    <mergeCell ref="AB130:AE130"/>
  </mergeCells>
  <phoneticPr fontId="1"/>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21902A-A387-435E-8085-0E0A732C0328}">
  <dimension ref="E3:AY86"/>
  <sheetViews>
    <sheetView showGridLines="0" zoomScale="70" zoomScaleNormal="70" workbookViewId="0">
      <selection activeCell="BJ86" sqref="BJ86:BK86"/>
    </sheetView>
  </sheetViews>
  <sheetFormatPr defaultRowHeight="18.75" x14ac:dyDescent="0.4"/>
  <cols>
    <col min="1" max="691" width="3.625" customWidth="1"/>
  </cols>
  <sheetData>
    <row r="3" spans="5:51" x14ac:dyDescent="0.4">
      <c r="AY3" s="1"/>
    </row>
    <row r="4" spans="5:51" x14ac:dyDescent="0.4">
      <c r="AY4" s="1"/>
    </row>
    <row r="5" spans="5:51" x14ac:dyDescent="0.4">
      <c r="AV5" s="65" t="s">
        <v>19</v>
      </c>
      <c r="AW5" s="65"/>
      <c r="AX5" s="65"/>
      <c r="AY5" s="65"/>
    </row>
    <row r="6" spans="5:51" x14ac:dyDescent="0.4">
      <c r="E6" s="144">
        <v>511</v>
      </c>
      <c r="F6" s="142"/>
      <c r="I6" s="119">
        <v>496</v>
      </c>
      <c r="J6" s="145"/>
      <c r="K6" s="142">
        <v>495</v>
      </c>
      <c r="L6" s="142"/>
      <c r="O6" s="119">
        <v>480</v>
      </c>
      <c r="P6" s="145"/>
      <c r="Q6" s="142"/>
      <c r="R6" s="142"/>
      <c r="T6" s="119"/>
      <c r="U6" s="145"/>
      <c r="V6" s="142">
        <v>63</v>
      </c>
      <c r="W6" s="142"/>
      <c r="AA6" s="16">
        <v>48</v>
      </c>
      <c r="AB6" s="7">
        <v>47</v>
      </c>
      <c r="AG6" s="16">
        <v>32</v>
      </c>
      <c r="AH6" s="7">
        <v>31</v>
      </c>
      <c r="AM6" s="3">
        <v>16</v>
      </c>
      <c r="AN6" s="7">
        <v>15</v>
      </c>
      <c r="AS6" s="3">
        <v>0</v>
      </c>
      <c r="AV6" s="146" t="s">
        <v>41</v>
      </c>
      <c r="AW6" s="146"/>
      <c r="AX6" s="146"/>
      <c r="AY6" s="146"/>
    </row>
    <row r="7" spans="5:51" x14ac:dyDescent="0.4">
      <c r="E7" s="131" t="s">
        <v>1066</v>
      </c>
      <c r="F7" s="131"/>
      <c r="G7" s="131"/>
      <c r="H7" s="131"/>
      <c r="I7" s="131"/>
      <c r="J7" s="131"/>
      <c r="K7" s="131" t="s">
        <v>1065</v>
      </c>
      <c r="L7" s="131"/>
      <c r="M7" s="131"/>
      <c r="N7" s="131"/>
      <c r="O7" s="131"/>
      <c r="P7" s="131"/>
      <c r="Q7" s="60" t="s">
        <v>0</v>
      </c>
      <c r="R7" s="60"/>
      <c r="S7" s="60"/>
      <c r="T7" s="60"/>
      <c r="U7" s="60"/>
      <c r="V7" s="131" t="s">
        <v>1064</v>
      </c>
      <c r="W7" s="131"/>
      <c r="X7" s="131"/>
      <c r="Y7" s="131"/>
      <c r="Z7" s="131"/>
      <c r="AA7" s="131"/>
      <c r="AB7" s="131" t="s">
        <v>1063</v>
      </c>
      <c r="AC7" s="131"/>
      <c r="AD7" s="131"/>
      <c r="AE7" s="131"/>
      <c r="AF7" s="131"/>
      <c r="AG7" s="131"/>
      <c r="AH7" s="131" t="s">
        <v>1062</v>
      </c>
      <c r="AI7" s="131"/>
      <c r="AJ7" s="131"/>
      <c r="AK7" s="131"/>
      <c r="AL7" s="131"/>
      <c r="AM7" s="131"/>
      <c r="AN7" s="131" t="s">
        <v>1061</v>
      </c>
      <c r="AO7" s="131"/>
      <c r="AP7" s="131"/>
      <c r="AQ7" s="131"/>
      <c r="AR7" s="131"/>
      <c r="AS7" s="131"/>
      <c r="AT7" s="17">
        <v>0</v>
      </c>
      <c r="AU7" s="3"/>
      <c r="AV7" s="136" t="s">
        <v>42</v>
      </c>
      <c r="AW7" s="137"/>
      <c r="AX7" s="137"/>
      <c r="AY7" s="138"/>
    </row>
    <row r="8" spans="5:51" x14ac:dyDescent="0.4">
      <c r="E8" s="131" t="s">
        <v>1072</v>
      </c>
      <c r="F8" s="131"/>
      <c r="G8" s="131"/>
      <c r="H8" s="131"/>
      <c r="I8" s="131"/>
      <c r="J8" s="131"/>
      <c r="K8" s="131" t="s">
        <v>1071</v>
      </c>
      <c r="L8" s="131"/>
      <c r="M8" s="131"/>
      <c r="N8" s="131"/>
      <c r="O8" s="131"/>
      <c r="P8" s="131"/>
      <c r="Q8" s="60" t="s">
        <v>0</v>
      </c>
      <c r="R8" s="60"/>
      <c r="S8" s="60"/>
      <c r="T8" s="60"/>
      <c r="U8" s="60"/>
      <c r="V8" s="131" t="s">
        <v>1070</v>
      </c>
      <c r="W8" s="131"/>
      <c r="X8" s="131"/>
      <c r="Y8" s="131"/>
      <c r="Z8" s="131"/>
      <c r="AA8" s="131"/>
      <c r="AB8" s="131" t="s">
        <v>1069</v>
      </c>
      <c r="AC8" s="131"/>
      <c r="AD8" s="131"/>
      <c r="AE8" s="131"/>
      <c r="AF8" s="131"/>
      <c r="AG8" s="131"/>
      <c r="AH8" s="131" t="s">
        <v>1068</v>
      </c>
      <c r="AI8" s="131"/>
      <c r="AJ8" s="131"/>
      <c r="AK8" s="131"/>
      <c r="AL8" s="131"/>
      <c r="AM8" s="131"/>
      <c r="AN8" s="131" t="s">
        <v>1067</v>
      </c>
      <c r="AO8" s="131"/>
      <c r="AP8" s="131"/>
      <c r="AQ8" s="131"/>
      <c r="AR8" s="131"/>
      <c r="AS8" s="131"/>
      <c r="AT8" s="17">
        <v>1</v>
      </c>
      <c r="AU8" s="3"/>
      <c r="AV8" s="136" t="s">
        <v>207</v>
      </c>
      <c r="AW8" s="137"/>
      <c r="AX8" s="137"/>
      <c r="AY8" s="138"/>
    </row>
    <row r="9" spans="5:51" x14ac:dyDescent="0.4">
      <c r="E9" s="60" t="s">
        <v>0</v>
      </c>
      <c r="F9" s="60"/>
      <c r="G9" s="60"/>
      <c r="H9" s="60"/>
      <c r="I9" s="60"/>
      <c r="J9" s="60"/>
      <c r="K9" s="60"/>
      <c r="L9" s="60"/>
      <c r="M9" s="60"/>
      <c r="N9" s="60"/>
      <c r="O9" s="60"/>
      <c r="P9" s="60"/>
      <c r="Q9" s="60"/>
      <c r="R9" s="60"/>
      <c r="S9" s="60"/>
      <c r="T9" s="60"/>
      <c r="U9" s="60"/>
      <c r="V9" s="60"/>
      <c r="W9" s="60"/>
      <c r="X9" s="60"/>
      <c r="Y9" s="60"/>
      <c r="Z9" s="60"/>
      <c r="AA9" s="60"/>
      <c r="AB9" s="60"/>
      <c r="AC9" s="60"/>
      <c r="AD9" s="60"/>
      <c r="AE9" s="60"/>
      <c r="AF9" s="60"/>
      <c r="AG9" s="60"/>
      <c r="AH9" s="60"/>
      <c r="AI9" s="60"/>
      <c r="AJ9" s="60"/>
      <c r="AK9" s="60"/>
      <c r="AL9" s="60"/>
      <c r="AM9" s="60"/>
      <c r="AN9" s="60"/>
      <c r="AO9" s="60"/>
      <c r="AP9" s="60"/>
      <c r="AQ9" s="60"/>
      <c r="AR9" s="60"/>
      <c r="AS9" s="60"/>
      <c r="AT9" s="18" t="s">
        <v>0</v>
      </c>
      <c r="AU9" s="3"/>
      <c r="AV9" s="139" t="s">
        <v>0</v>
      </c>
      <c r="AW9" s="140"/>
      <c r="AX9" s="140"/>
      <c r="AY9" s="141"/>
    </row>
    <row r="10" spans="5:51" x14ac:dyDescent="0.4">
      <c r="E10" s="131" t="s">
        <v>1074</v>
      </c>
      <c r="F10" s="131"/>
      <c r="G10" s="131"/>
      <c r="H10" s="131"/>
      <c r="I10" s="131"/>
      <c r="J10" s="131"/>
      <c r="K10" s="131" t="s">
        <v>1075</v>
      </c>
      <c r="L10" s="131"/>
      <c r="M10" s="131"/>
      <c r="N10" s="131"/>
      <c r="O10" s="131"/>
      <c r="P10" s="131"/>
      <c r="Q10" s="60" t="s">
        <v>0</v>
      </c>
      <c r="R10" s="60"/>
      <c r="S10" s="60"/>
      <c r="T10" s="60"/>
      <c r="U10" s="60"/>
      <c r="V10" s="131" t="s">
        <v>1076</v>
      </c>
      <c r="W10" s="131"/>
      <c r="X10" s="131"/>
      <c r="Y10" s="131"/>
      <c r="Z10" s="131"/>
      <c r="AA10" s="131"/>
      <c r="AB10" s="131" t="s">
        <v>1078</v>
      </c>
      <c r="AC10" s="131"/>
      <c r="AD10" s="131"/>
      <c r="AE10" s="131"/>
      <c r="AF10" s="131"/>
      <c r="AG10" s="131"/>
      <c r="AH10" s="131" t="s">
        <v>1077</v>
      </c>
      <c r="AI10" s="131"/>
      <c r="AJ10" s="131"/>
      <c r="AK10" s="131"/>
      <c r="AL10" s="131"/>
      <c r="AM10" s="131"/>
      <c r="AN10" s="131" t="s">
        <v>1073</v>
      </c>
      <c r="AO10" s="131"/>
      <c r="AP10" s="131"/>
      <c r="AQ10" s="131"/>
      <c r="AR10" s="131"/>
      <c r="AS10" s="131"/>
      <c r="AT10" s="17" t="s">
        <v>40</v>
      </c>
      <c r="AU10" s="3"/>
      <c r="AV10" s="136" t="s">
        <v>208</v>
      </c>
      <c r="AW10" s="137"/>
      <c r="AX10" s="137"/>
      <c r="AY10" s="138"/>
    </row>
    <row r="11" spans="5:51" x14ac:dyDescent="0.4">
      <c r="AY11" s="1"/>
    </row>
    <row r="12" spans="5:51" x14ac:dyDescent="0.4">
      <c r="Q12" s="142"/>
      <c r="R12" s="142"/>
      <c r="S12" s="7"/>
      <c r="U12" s="14">
        <v>15</v>
      </c>
      <c r="V12" s="7"/>
      <c r="W12" s="7"/>
      <c r="AB12" s="8">
        <v>0</v>
      </c>
      <c r="AY12" s="1"/>
    </row>
    <row r="13" spans="5:51" x14ac:dyDescent="0.4">
      <c r="Q13" s="142"/>
      <c r="R13" s="142"/>
      <c r="U13" s="19" t="s">
        <v>52</v>
      </c>
      <c r="V13" s="20"/>
      <c r="W13" s="20"/>
      <c r="X13" s="20"/>
      <c r="Y13" s="20"/>
      <c r="Z13" s="20"/>
      <c r="AA13" s="143" t="s">
        <v>51</v>
      </c>
      <c r="AB13" s="134"/>
      <c r="AY13" s="1"/>
    </row>
    <row r="14" spans="5:51" x14ac:dyDescent="0.4">
      <c r="U14" s="65" t="s">
        <v>50</v>
      </c>
      <c r="V14" s="65"/>
      <c r="W14" s="65"/>
      <c r="X14" s="65"/>
      <c r="Y14" s="65"/>
      <c r="Z14" s="65"/>
      <c r="AA14" s="65"/>
      <c r="AB14" s="65"/>
      <c r="AY14" s="1"/>
    </row>
    <row r="19" spans="5:51" x14ac:dyDescent="0.4">
      <c r="AY19" s="1"/>
    </row>
    <row r="20" spans="5:51" x14ac:dyDescent="0.4">
      <c r="AY20" s="1"/>
    </row>
    <row r="21" spans="5:51" x14ac:dyDescent="0.4">
      <c r="AV21" s="65" t="s">
        <v>19</v>
      </c>
      <c r="AW21" s="65"/>
      <c r="AX21" s="65"/>
      <c r="AY21" s="65"/>
    </row>
    <row r="22" spans="5:51" x14ac:dyDescent="0.4">
      <c r="E22" s="144">
        <v>511</v>
      </c>
      <c r="F22" s="142"/>
      <c r="I22" s="119">
        <f>511-31</f>
        <v>480</v>
      </c>
      <c r="J22" s="145"/>
      <c r="K22" s="142">
        <v>479</v>
      </c>
      <c r="L22" s="142"/>
      <c r="O22" s="119">
        <f>479-31</f>
        <v>448</v>
      </c>
      <c r="P22" s="145"/>
      <c r="Q22" s="142"/>
      <c r="R22" s="142"/>
      <c r="T22" s="119"/>
      <c r="U22" s="145"/>
      <c r="V22" s="142">
        <v>127</v>
      </c>
      <c r="W22" s="142"/>
      <c r="AA22" s="16">
        <v>96</v>
      </c>
      <c r="AB22" s="7">
        <v>95</v>
      </c>
      <c r="AG22" s="16">
        <v>64</v>
      </c>
      <c r="AH22" s="7">
        <v>63</v>
      </c>
      <c r="AM22" s="3">
        <v>32</v>
      </c>
      <c r="AN22" s="7">
        <v>31</v>
      </c>
      <c r="AS22" s="3">
        <v>0</v>
      </c>
      <c r="AV22" s="146" t="s">
        <v>41</v>
      </c>
      <c r="AW22" s="146"/>
      <c r="AX22" s="146"/>
      <c r="AY22" s="146"/>
    </row>
    <row r="23" spans="5:51" x14ac:dyDescent="0.4">
      <c r="E23" s="131" t="s">
        <v>1079</v>
      </c>
      <c r="F23" s="131"/>
      <c r="G23" s="131"/>
      <c r="H23" s="131"/>
      <c r="I23" s="131"/>
      <c r="J23" s="131"/>
      <c r="K23" s="131" t="s">
        <v>1080</v>
      </c>
      <c r="L23" s="131"/>
      <c r="M23" s="131"/>
      <c r="N23" s="131"/>
      <c r="O23" s="131"/>
      <c r="P23" s="131"/>
      <c r="Q23" s="60" t="s">
        <v>0</v>
      </c>
      <c r="R23" s="60"/>
      <c r="S23" s="60"/>
      <c r="T23" s="60"/>
      <c r="U23" s="60"/>
      <c r="V23" s="131" t="s">
        <v>1064</v>
      </c>
      <c r="W23" s="131"/>
      <c r="X23" s="131"/>
      <c r="Y23" s="131"/>
      <c r="Z23" s="131"/>
      <c r="AA23" s="131"/>
      <c r="AB23" s="131" t="s">
        <v>1063</v>
      </c>
      <c r="AC23" s="131"/>
      <c r="AD23" s="131"/>
      <c r="AE23" s="131"/>
      <c r="AF23" s="131"/>
      <c r="AG23" s="131"/>
      <c r="AH23" s="131" t="s">
        <v>1062</v>
      </c>
      <c r="AI23" s="131"/>
      <c r="AJ23" s="131"/>
      <c r="AK23" s="131"/>
      <c r="AL23" s="131"/>
      <c r="AM23" s="131"/>
      <c r="AN23" s="131" t="s">
        <v>1061</v>
      </c>
      <c r="AO23" s="131"/>
      <c r="AP23" s="131"/>
      <c r="AQ23" s="131"/>
      <c r="AR23" s="131"/>
      <c r="AS23" s="131"/>
      <c r="AT23" s="17">
        <v>0</v>
      </c>
      <c r="AU23" s="3"/>
      <c r="AV23" s="136" t="s">
        <v>42</v>
      </c>
      <c r="AW23" s="137"/>
      <c r="AX23" s="137"/>
      <c r="AY23" s="138"/>
    </row>
    <row r="24" spans="5:51" x14ac:dyDescent="0.4">
      <c r="E24" s="131" t="s">
        <v>1066</v>
      </c>
      <c r="F24" s="131"/>
      <c r="G24" s="131"/>
      <c r="H24" s="131"/>
      <c r="I24" s="131"/>
      <c r="J24" s="131"/>
      <c r="K24" s="131" t="s">
        <v>1065</v>
      </c>
      <c r="L24" s="131"/>
      <c r="M24" s="131"/>
      <c r="N24" s="131"/>
      <c r="O24" s="131"/>
      <c r="P24" s="131"/>
      <c r="Q24" s="60" t="s">
        <v>0</v>
      </c>
      <c r="R24" s="60"/>
      <c r="S24" s="60"/>
      <c r="T24" s="60"/>
      <c r="U24" s="60"/>
      <c r="V24" s="131" t="s">
        <v>1084</v>
      </c>
      <c r="W24" s="131"/>
      <c r="X24" s="131"/>
      <c r="Y24" s="131"/>
      <c r="Z24" s="131"/>
      <c r="AA24" s="131"/>
      <c r="AB24" s="131" t="s">
        <v>1083</v>
      </c>
      <c r="AC24" s="131"/>
      <c r="AD24" s="131"/>
      <c r="AE24" s="131"/>
      <c r="AF24" s="131"/>
      <c r="AG24" s="131"/>
      <c r="AH24" s="131" t="s">
        <v>1082</v>
      </c>
      <c r="AI24" s="131"/>
      <c r="AJ24" s="131"/>
      <c r="AK24" s="131"/>
      <c r="AL24" s="131"/>
      <c r="AM24" s="131"/>
      <c r="AN24" s="131" t="s">
        <v>1081</v>
      </c>
      <c r="AO24" s="131"/>
      <c r="AP24" s="131"/>
      <c r="AQ24" s="131"/>
      <c r="AR24" s="131"/>
      <c r="AS24" s="131"/>
      <c r="AT24" s="17">
        <v>1</v>
      </c>
      <c r="AU24" s="3"/>
      <c r="AV24" s="136" t="s">
        <v>207</v>
      </c>
      <c r="AW24" s="137"/>
      <c r="AX24" s="137"/>
      <c r="AY24" s="138"/>
    </row>
    <row r="25" spans="5:51" x14ac:dyDescent="0.4">
      <c r="E25" s="60" t="s">
        <v>0</v>
      </c>
      <c r="F25" s="60"/>
      <c r="G25" s="60"/>
      <c r="H25" s="60"/>
      <c r="I25" s="60"/>
      <c r="J25" s="60"/>
      <c r="K25" s="60"/>
      <c r="L25" s="60"/>
      <c r="M25" s="60"/>
      <c r="N25" s="60"/>
      <c r="O25" s="60"/>
      <c r="P25" s="60"/>
      <c r="Q25" s="60"/>
      <c r="R25" s="60"/>
      <c r="S25" s="60"/>
      <c r="T25" s="60"/>
      <c r="U25" s="60"/>
      <c r="V25" s="60"/>
      <c r="W25" s="60"/>
      <c r="X25" s="60"/>
      <c r="Y25" s="60"/>
      <c r="Z25" s="60"/>
      <c r="AA25" s="60"/>
      <c r="AB25" s="60"/>
      <c r="AC25" s="60"/>
      <c r="AD25" s="60"/>
      <c r="AE25" s="60"/>
      <c r="AF25" s="60"/>
      <c r="AG25" s="60"/>
      <c r="AH25" s="60"/>
      <c r="AI25" s="60"/>
      <c r="AJ25" s="60"/>
      <c r="AK25" s="60"/>
      <c r="AL25" s="60"/>
      <c r="AM25" s="60"/>
      <c r="AN25" s="60"/>
      <c r="AO25" s="60"/>
      <c r="AP25" s="60"/>
      <c r="AQ25" s="60"/>
      <c r="AR25" s="60"/>
      <c r="AS25" s="60"/>
      <c r="AT25" s="18" t="s">
        <v>0</v>
      </c>
      <c r="AU25" s="3"/>
      <c r="AV25" s="139" t="s">
        <v>0</v>
      </c>
      <c r="AW25" s="140"/>
      <c r="AX25" s="140"/>
      <c r="AY25" s="141"/>
    </row>
    <row r="26" spans="5:51" x14ac:dyDescent="0.4">
      <c r="E26" s="131" t="s">
        <v>1060</v>
      </c>
      <c r="F26" s="131"/>
      <c r="G26" s="131"/>
      <c r="H26" s="131"/>
      <c r="I26" s="131"/>
      <c r="J26" s="131"/>
      <c r="K26" s="131" t="s">
        <v>1089</v>
      </c>
      <c r="L26" s="131"/>
      <c r="M26" s="131"/>
      <c r="N26" s="131"/>
      <c r="O26" s="131"/>
      <c r="P26" s="131"/>
      <c r="Q26" s="60" t="s">
        <v>0</v>
      </c>
      <c r="R26" s="60"/>
      <c r="S26" s="60"/>
      <c r="T26" s="60"/>
      <c r="U26" s="60"/>
      <c r="V26" s="131" t="s">
        <v>1088</v>
      </c>
      <c r="W26" s="131"/>
      <c r="X26" s="131"/>
      <c r="Y26" s="131"/>
      <c r="Z26" s="131"/>
      <c r="AA26" s="131"/>
      <c r="AB26" s="131" t="s">
        <v>1087</v>
      </c>
      <c r="AC26" s="131"/>
      <c r="AD26" s="131"/>
      <c r="AE26" s="131"/>
      <c r="AF26" s="131"/>
      <c r="AG26" s="131"/>
      <c r="AH26" s="131" t="s">
        <v>1086</v>
      </c>
      <c r="AI26" s="131"/>
      <c r="AJ26" s="131"/>
      <c r="AK26" s="131"/>
      <c r="AL26" s="131"/>
      <c r="AM26" s="131"/>
      <c r="AN26" s="131" t="s">
        <v>1085</v>
      </c>
      <c r="AO26" s="131"/>
      <c r="AP26" s="131"/>
      <c r="AQ26" s="131"/>
      <c r="AR26" s="131"/>
      <c r="AS26" s="131"/>
      <c r="AT26" s="17" t="s">
        <v>40</v>
      </c>
      <c r="AU26" s="3"/>
      <c r="AV26" s="136" t="s">
        <v>208</v>
      </c>
      <c r="AW26" s="137"/>
      <c r="AX26" s="137"/>
      <c r="AY26" s="138"/>
    </row>
    <row r="27" spans="5:51" x14ac:dyDescent="0.4">
      <c r="AY27" s="1"/>
    </row>
    <row r="28" spans="5:51" x14ac:dyDescent="0.4">
      <c r="Q28" s="142"/>
      <c r="R28" s="142"/>
      <c r="S28" s="7"/>
      <c r="U28" s="14">
        <v>31</v>
      </c>
      <c r="V28" s="7"/>
      <c r="W28" s="7"/>
      <c r="AB28" s="8">
        <v>0</v>
      </c>
      <c r="AY28" s="1"/>
    </row>
    <row r="29" spans="5:51" x14ac:dyDescent="0.4">
      <c r="Q29" s="142"/>
      <c r="R29" s="142"/>
      <c r="U29" s="19" t="s">
        <v>52</v>
      </c>
      <c r="V29" s="20"/>
      <c r="W29" s="20"/>
      <c r="X29" s="20"/>
      <c r="Y29" s="20"/>
      <c r="Z29" s="20"/>
      <c r="AA29" s="143" t="s">
        <v>51</v>
      </c>
      <c r="AB29" s="134"/>
      <c r="AY29" s="1"/>
    </row>
    <row r="30" spans="5:51" x14ac:dyDescent="0.4">
      <c r="U30" s="65" t="s">
        <v>50</v>
      </c>
      <c r="V30" s="65"/>
      <c r="W30" s="65"/>
      <c r="X30" s="65"/>
      <c r="Y30" s="65"/>
      <c r="Z30" s="65"/>
      <c r="AA30" s="65"/>
      <c r="AB30" s="65"/>
      <c r="AY30" s="1"/>
    </row>
    <row r="37" spans="5:45" x14ac:dyDescent="0.4">
      <c r="AS37" s="1"/>
    </row>
    <row r="38" spans="5:45" x14ac:dyDescent="0.4">
      <c r="AS38" s="1"/>
    </row>
    <row r="39" spans="5:45" x14ac:dyDescent="0.4">
      <c r="AP39" s="65" t="s">
        <v>19</v>
      </c>
      <c r="AQ39" s="65"/>
      <c r="AR39" s="65"/>
      <c r="AS39" s="65"/>
    </row>
    <row r="40" spans="5:45" x14ac:dyDescent="0.4">
      <c r="E40" s="144">
        <v>511</v>
      </c>
      <c r="F40" s="142"/>
      <c r="H40" s="119">
        <v>496</v>
      </c>
      <c r="I40" s="145"/>
      <c r="J40" s="142">
        <v>495</v>
      </c>
      <c r="K40" s="142"/>
      <c r="M40" s="119">
        <v>480</v>
      </c>
      <c r="N40" s="145"/>
      <c r="O40" s="142"/>
      <c r="P40" s="142"/>
      <c r="R40" s="119"/>
      <c r="S40" s="145"/>
      <c r="T40" s="142">
        <v>63</v>
      </c>
      <c r="U40" s="142"/>
      <c r="X40" s="16">
        <v>48</v>
      </c>
      <c r="Y40" s="7">
        <v>47</v>
      </c>
      <c r="AC40" s="16">
        <v>32</v>
      </c>
      <c r="AD40" s="7">
        <v>31</v>
      </c>
      <c r="AH40" s="3">
        <v>16</v>
      </c>
      <c r="AI40" s="7">
        <v>15</v>
      </c>
      <c r="AM40" s="3">
        <v>0</v>
      </c>
      <c r="AP40" s="146" t="s">
        <v>41</v>
      </c>
      <c r="AQ40" s="146"/>
      <c r="AR40" s="146"/>
      <c r="AS40" s="146"/>
    </row>
    <row r="41" spans="5:45" x14ac:dyDescent="0.4">
      <c r="E41" s="131" t="s">
        <v>49</v>
      </c>
      <c r="F41" s="131"/>
      <c r="G41" s="131"/>
      <c r="H41" s="131"/>
      <c r="I41" s="131"/>
      <c r="J41" s="52" t="s">
        <v>48</v>
      </c>
      <c r="K41" s="52"/>
      <c r="L41" s="52"/>
      <c r="M41" s="52"/>
      <c r="N41" s="52"/>
      <c r="O41" s="60" t="s">
        <v>0</v>
      </c>
      <c r="P41" s="60"/>
      <c r="Q41" s="60"/>
      <c r="R41" s="60"/>
      <c r="S41" s="60"/>
      <c r="T41" s="131" t="s">
        <v>15</v>
      </c>
      <c r="U41" s="131"/>
      <c r="V41" s="131"/>
      <c r="W41" s="131"/>
      <c r="X41" s="131"/>
      <c r="Y41" s="52" t="s">
        <v>16</v>
      </c>
      <c r="Z41" s="52"/>
      <c r="AA41" s="52"/>
      <c r="AB41" s="52"/>
      <c r="AC41" s="52"/>
      <c r="AD41" s="131" t="s">
        <v>17</v>
      </c>
      <c r="AE41" s="131"/>
      <c r="AF41" s="131"/>
      <c r="AG41" s="131"/>
      <c r="AH41" s="131"/>
      <c r="AI41" s="52" t="s">
        <v>18</v>
      </c>
      <c r="AJ41" s="52"/>
      <c r="AK41" s="52"/>
      <c r="AL41" s="52"/>
      <c r="AM41" s="52"/>
      <c r="AN41" s="17">
        <v>0</v>
      </c>
      <c r="AO41" s="3"/>
      <c r="AP41" s="136" t="s">
        <v>42</v>
      </c>
      <c r="AQ41" s="137"/>
      <c r="AR41" s="137"/>
      <c r="AS41" s="138"/>
    </row>
    <row r="42" spans="5:45" x14ac:dyDescent="0.4">
      <c r="E42" s="131" t="s">
        <v>210</v>
      </c>
      <c r="F42" s="131"/>
      <c r="G42" s="131"/>
      <c r="H42" s="131"/>
      <c r="I42" s="131"/>
      <c r="J42" s="52" t="s">
        <v>209</v>
      </c>
      <c r="K42" s="52"/>
      <c r="L42" s="52"/>
      <c r="M42" s="52"/>
      <c r="N42" s="52"/>
      <c r="O42" s="60" t="s">
        <v>0</v>
      </c>
      <c r="P42" s="60"/>
      <c r="Q42" s="60"/>
      <c r="R42" s="60"/>
      <c r="S42" s="60"/>
      <c r="T42" s="131" t="s">
        <v>200</v>
      </c>
      <c r="U42" s="131"/>
      <c r="V42" s="131"/>
      <c r="W42" s="131"/>
      <c r="X42" s="131"/>
      <c r="Y42" s="52" t="s">
        <v>199</v>
      </c>
      <c r="Z42" s="52"/>
      <c r="AA42" s="52"/>
      <c r="AB42" s="52"/>
      <c r="AC42" s="52"/>
      <c r="AD42" s="131" t="s">
        <v>198</v>
      </c>
      <c r="AE42" s="131"/>
      <c r="AF42" s="131"/>
      <c r="AG42" s="131"/>
      <c r="AH42" s="131"/>
      <c r="AI42" s="52" t="s">
        <v>197</v>
      </c>
      <c r="AJ42" s="52"/>
      <c r="AK42" s="52"/>
      <c r="AL42" s="52"/>
      <c r="AM42" s="52"/>
      <c r="AN42" s="17">
        <v>1</v>
      </c>
      <c r="AO42" s="3"/>
      <c r="AP42" s="136" t="s">
        <v>207</v>
      </c>
      <c r="AQ42" s="137"/>
      <c r="AR42" s="137"/>
      <c r="AS42" s="138"/>
    </row>
    <row r="43" spans="5:45" x14ac:dyDescent="0.4">
      <c r="E43" s="60" t="s">
        <v>0</v>
      </c>
      <c r="F43" s="60"/>
      <c r="G43" s="60"/>
      <c r="H43" s="60"/>
      <c r="I43" s="60"/>
      <c r="J43" s="60"/>
      <c r="K43" s="60"/>
      <c r="L43" s="60"/>
      <c r="M43" s="60"/>
      <c r="N43" s="60"/>
      <c r="O43" s="60"/>
      <c r="P43" s="60"/>
      <c r="Q43" s="60"/>
      <c r="R43" s="60"/>
      <c r="S43" s="60"/>
      <c r="T43" s="60"/>
      <c r="U43" s="60"/>
      <c r="V43" s="60"/>
      <c r="W43" s="60"/>
      <c r="X43" s="60"/>
      <c r="Y43" s="60"/>
      <c r="Z43" s="60"/>
      <c r="AA43" s="60"/>
      <c r="AB43" s="60"/>
      <c r="AC43" s="60"/>
      <c r="AD43" s="60"/>
      <c r="AE43" s="60"/>
      <c r="AF43" s="60"/>
      <c r="AG43" s="60"/>
      <c r="AH43" s="60"/>
      <c r="AI43" s="60"/>
      <c r="AJ43" s="60"/>
      <c r="AK43" s="60"/>
      <c r="AL43" s="60"/>
      <c r="AM43" s="60"/>
      <c r="AN43" s="18" t="s">
        <v>0</v>
      </c>
      <c r="AO43" s="3"/>
      <c r="AP43" s="139" t="s">
        <v>0</v>
      </c>
      <c r="AQ43" s="140"/>
      <c r="AR43" s="140"/>
      <c r="AS43" s="141"/>
    </row>
    <row r="44" spans="5:45" x14ac:dyDescent="0.4">
      <c r="E44" s="131" t="s">
        <v>206</v>
      </c>
      <c r="F44" s="131"/>
      <c r="G44" s="131"/>
      <c r="H44" s="131"/>
      <c r="I44" s="131"/>
      <c r="J44" s="52" t="s">
        <v>205</v>
      </c>
      <c r="K44" s="52"/>
      <c r="L44" s="52"/>
      <c r="M44" s="52"/>
      <c r="N44" s="52"/>
      <c r="O44" s="60" t="s">
        <v>0</v>
      </c>
      <c r="P44" s="60"/>
      <c r="Q44" s="60"/>
      <c r="R44" s="60"/>
      <c r="S44" s="60"/>
      <c r="T44" s="131" t="s">
        <v>204</v>
      </c>
      <c r="U44" s="131"/>
      <c r="V44" s="131"/>
      <c r="W44" s="131"/>
      <c r="X44" s="131"/>
      <c r="Y44" s="52" t="s">
        <v>203</v>
      </c>
      <c r="Z44" s="52"/>
      <c r="AA44" s="52"/>
      <c r="AB44" s="52"/>
      <c r="AC44" s="52"/>
      <c r="AD44" s="131" t="s">
        <v>202</v>
      </c>
      <c r="AE44" s="131"/>
      <c r="AF44" s="131"/>
      <c r="AG44" s="131"/>
      <c r="AH44" s="131"/>
      <c r="AI44" s="52" t="s">
        <v>201</v>
      </c>
      <c r="AJ44" s="52"/>
      <c r="AK44" s="52"/>
      <c r="AL44" s="52"/>
      <c r="AM44" s="52"/>
      <c r="AN44" s="17" t="s">
        <v>40</v>
      </c>
      <c r="AO44" s="3"/>
      <c r="AP44" s="136" t="s">
        <v>208</v>
      </c>
      <c r="AQ44" s="137"/>
      <c r="AR44" s="137"/>
      <c r="AS44" s="138"/>
    </row>
    <row r="45" spans="5:45" x14ac:dyDescent="0.4">
      <c r="AS45" s="1"/>
    </row>
    <row r="46" spans="5:45" x14ac:dyDescent="0.4">
      <c r="O46" s="142"/>
      <c r="P46" s="142"/>
      <c r="Q46" s="7"/>
      <c r="S46" s="14">
        <v>15</v>
      </c>
      <c r="T46" s="7"/>
      <c r="U46" s="7"/>
      <c r="Y46" s="8">
        <v>0</v>
      </c>
      <c r="AS46" s="1"/>
    </row>
    <row r="47" spans="5:45" x14ac:dyDescent="0.4">
      <c r="O47" s="142"/>
      <c r="P47" s="142"/>
      <c r="S47" s="19" t="s">
        <v>52</v>
      </c>
      <c r="T47" s="20"/>
      <c r="U47" s="20"/>
      <c r="V47" s="20"/>
      <c r="W47" s="20"/>
      <c r="X47" s="143" t="s">
        <v>51</v>
      </c>
      <c r="Y47" s="134"/>
      <c r="AS47" s="1"/>
    </row>
    <row r="48" spans="5:45" x14ac:dyDescent="0.4">
      <c r="S48" s="65" t="s">
        <v>50</v>
      </c>
      <c r="T48" s="65"/>
      <c r="U48" s="65"/>
      <c r="V48" s="65"/>
      <c r="W48" s="65"/>
      <c r="X48" s="65"/>
      <c r="Y48" s="65"/>
      <c r="AS48" s="1"/>
    </row>
    <row r="51" spans="5:45" x14ac:dyDescent="0.4">
      <c r="AS51" s="1"/>
    </row>
    <row r="52" spans="5:45" x14ac:dyDescent="0.4">
      <c r="AS52" s="1"/>
    </row>
    <row r="53" spans="5:45" x14ac:dyDescent="0.4">
      <c r="AP53" s="65" t="s">
        <v>19</v>
      </c>
      <c r="AQ53" s="65"/>
      <c r="AR53" s="65"/>
      <c r="AS53" s="65"/>
    </row>
    <row r="54" spans="5:45" x14ac:dyDescent="0.4">
      <c r="E54" s="144">
        <v>511</v>
      </c>
      <c r="F54" s="142"/>
      <c r="H54" s="119">
        <v>480</v>
      </c>
      <c r="I54" s="145"/>
      <c r="J54" s="142">
        <v>479</v>
      </c>
      <c r="K54" s="142"/>
      <c r="M54" s="119">
        <v>448</v>
      </c>
      <c r="N54" s="145"/>
      <c r="O54" s="142"/>
      <c r="P54" s="142"/>
      <c r="R54" s="119"/>
      <c r="S54" s="145"/>
      <c r="T54" s="142">
        <v>127</v>
      </c>
      <c r="U54" s="142"/>
      <c r="X54" s="16">
        <v>96</v>
      </c>
      <c r="Y54" s="7">
        <v>95</v>
      </c>
      <c r="AC54" s="16">
        <v>64</v>
      </c>
      <c r="AD54" s="7">
        <v>63</v>
      </c>
      <c r="AH54" s="3">
        <v>32</v>
      </c>
      <c r="AI54" s="7">
        <v>31</v>
      </c>
      <c r="AM54" s="3">
        <v>0</v>
      </c>
      <c r="AP54" s="146" t="s">
        <v>41</v>
      </c>
      <c r="AQ54" s="146"/>
      <c r="AR54" s="146"/>
      <c r="AS54" s="146"/>
    </row>
    <row r="55" spans="5:45" x14ac:dyDescent="0.4">
      <c r="E55" s="131" t="s">
        <v>27</v>
      </c>
      <c r="F55" s="131"/>
      <c r="G55" s="131"/>
      <c r="H55" s="131"/>
      <c r="I55" s="131"/>
      <c r="J55" s="52" t="s">
        <v>26</v>
      </c>
      <c r="K55" s="52"/>
      <c r="L55" s="52"/>
      <c r="M55" s="52"/>
      <c r="N55" s="52"/>
      <c r="O55" s="60" t="s">
        <v>0</v>
      </c>
      <c r="P55" s="60"/>
      <c r="Q55" s="60"/>
      <c r="R55" s="60"/>
      <c r="S55" s="60"/>
      <c r="T55" s="131" t="s">
        <v>15</v>
      </c>
      <c r="U55" s="131"/>
      <c r="V55" s="131"/>
      <c r="W55" s="131"/>
      <c r="X55" s="131"/>
      <c r="Y55" s="52" t="s">
        <v>16</v>
      </c>
      <c r="Z55" s="52"/>
      <c r="AA55" s="52"/>
      <c r="AB55" s="52"/>
      <c r="AC55" s="52"/>
      <c r="AD55" s="131" t="s">
        <v>17</v>
      </c>
      <c r="AE55" s="131"/>
      <c r="AF55" s="131"/>
      <c r="AG55" s="131"/>
      <c r="AH55" s="131"/>
      <c r="AI55" s="52" t="s">
        <v>18</v>
      </c>
      <c r="AJ55" s="52"/>
      <c r="AK55" s="52"/>
      <c r="AL55" s="52"/>
      <c r="AM55" s="52"/>
      <c r="AN55" s="17">
        <v>0</v>
      </c>
      <c r="AO55" s="3"/>
      <c r="AP55" s="136" t="s">
        <v>42</v>
      </c>
      <c r="AQ55" s="137"/>
      <c r="AR55" s="137"/>
      <c r="AS55" s="138"/>
    </row>
    <row r="56" spans="5:45" x14ac:dyDescent="0.4">
      <c r="E56" s="131" t="s">
        <v>49</v>
      </c>
      <c r="F56" s="131"/>
      <c r="G56" s="131"/>
      <c r="H56" s="131"/>
      <c r="I56" s="131"/>
      <c r="J56" s="52" t="s">
        <v>48</v>
      </c>
      <c r="K56" s="52"/>
      <c r="L56" s="52"/>
      <c r="M56" s="52"/>
      <c r="N56" s="52"/>
      <c r="O56" s="60" t="s">
        <v>0</v>
      </c>
      <c r="P56" s="60"/>
      <c r="Q56" s="60"/>
      <c r="R56" s="60"/>
      <c r="S56" s="60"/>
      <c r="T56" s="131" t="s">
        <v>1093</v>
      </c>
      <c r="U56" s="131"/>
      <c r="V56" s="131"/>
      <c r="W56" s="131"/>
      <c r="X56" s="131"/>
      <c r="Y56" s="52" t="s">
        <v>1092</v>
      </c>
      <c r="Z56" s="52"/>
      <c r="AA56" s="52"/>
      <c r="AB56" s="52"/>
      <c r="AC56" s="52"/>
      <c r="AD56" s="131" t="s">
        <v>1091</v>
      </c>
      <c r="AE56" s="131"/>
      <c r="AF56" s="131"/>
      <c r="AG56" s="131"/>
      <c r="AH56" s="131"/>
      <c r="AI56" s="52" t="s">
        <v>1090</v>
      </c>
      <c r="AJ56" s="52"/>
      <c r="AK56" s="52"/>
      <c r="AL56" s="52"/>
      <c r="AM56" s="52"/>
      <c r="AN56" s="17">
        <v>1</v>
      </c>
      <c r="AO56" s="3"/>
      <c r="AP56" s="136" t="s">
        <v>207</v>
      </c>
      <c r="AQ56" s="137"/>
      <c r="AR56" s="137"/>
      <c r="AS56" s="138"/>
    </row>
    <row r="57" spans="5:45" x14ac:dyDescent="0.4">
      <c r="E57" s="60" t="s">
        <v>0</v>
      </c>
      <c r="F57" s="60"/>
      <c r="G57" s="60"/>
      <c r="H57" s="60"/>
      <c r="I57" s="60"/>
      <c r="J57" s="60"/>
      <c r="K57" s="60"/>
      <c r="L57" s="60"/>
      <c r="M57" s="60"/>
      <c r="N57" s="60"/>
      <c r="O57" s="60"/>
      <c r="P57" s="60"/>
      <c r="Q57" s="60"/>
      <c r="R57" s="60"/>
      <c r="S57" s="60"/>
      <c r="T57" s="60"/>
      <c r="U57" s="60"/>
      <c r="V57" s="60"/>
      <c r="W57" s="60"/>
      <c r="X57" s="60"/>
      <c r="Y57" s="60"/>
      <c r="Z57" s="60"/>
      <c r="AA57" s="60"/>
      <c r="AB57" s="60"/>
      <c r="AC57" s="60"/>
      <c r="AD57" s="60"/>
      <c r="AE57" s="60"/>
      <c r="AF57" s="60"/>
      <c r="AG57" s="60"/>
      <c r="AH57" s="60"/>
      <c r="AI57" s="60"/>
      <c r="AJ57" s="60"/>
      <c r="AK57" s="60"/>
      <c r="AL57" s="60"/>
      <c r="AM57" s="60"/>
      <c r="AN57" s="18" t="s">
        <v>0</v>
      </c>
      <c r="AO57" s="3"/>
      <c r="AP57" s="139" t="s">
        <v>0</v>
      </c>
      <c r="AQ57" s="140"/>
      <c r="AR57" s="140"/>
      <c r="AS57" s="141"/>
    </row>
    <row r="58" spans="5:45" x14ac:dyDescent="0.4">
      <c r="E58" s="131" t="s">
        <v>1099</v>
      </c>
      <c r="F58" s="131"/>
      <c r="G58" s="131"/>
      <c r="H58" s="131"/>
      <c r="I58" s="131"/>
      <c r="J58" s="52" t="s">
        <v>1098</v>
      </c>
      <c r="K58" s="52"/>
      <c r="L58" s="52"/>
      <c r="M58" s="52"/>
      <c r="N58" s="52"/>
      <c r="O58" s="60" t="s">
        <v>0</v>
      </c>
      <c r="P58" s="60"/>
      <c r="Q58" s="60"/>
      <c r="R58" s="60"/>
      <c r="S58" s="60"/>
      <c r="T58" s="131" t="s">
        <v>1097</v>
      </c>
      <c r="U58" s="131"/>
      <c r="V58" s="131"/>
      <c r="W58" s="131"/>
      <c r="X58" s="131"/>
      <c r="Y58" s="52" t="s">
        <v>1096</v>
      </c>
      <c r="Z58" s="52"/>
      <c r="AA58" s="52"/>
      <c r="AB58" s="52"/>
      <c r="AC58" s="52"/>
      <c r="AD58" s="131" t="s">
        <v>1095</v>
      </c>
      <c r="AE58" s="131"/>
      <c r="AF58" s="131"/>
      <c r="AG58" s="131"/>
      <c r="AH58" s="131"/>
      <c r="AI58" s="52" t="s">
        <v>1094</v>
      </c>
      <c r="AJ58" s="52"/>
      <c r="AK58" s="52"/>
      <c r="AL58" s="52"/>
      <c r="AM58" s="52"/>
      <c r="AN58" s="17" t="s">
        <v>40</v>
      </c>
      <c r="AO58" s="3"/>
      <c r="AP58" s="136" t="s">
        <v>208</v>
      </c>
      <c r="AQ58" s="137"/>
      <c r="AR58" s="137"/>
      <c r="AS58" s="138"/>
    </row>
    <row r="59" spans="5:45" x14ac:dyDescent="0.4">
      <c r="AS59" s="1"/>
    </row>
    <row r="60" spans="5:45" x14ac:dyDescent="0.4">
      <c r="O60" s="142"/>
      <c r="P60" s="142"/>
      <c r="Q60" s="7"/>
      <c r="S60" s="14">
        <v>31</v>
      </c>
      <c r="T60" s="7"/>
      <c r="U60" s="7"/>
      <c r="Y60" s="8">
        <v>0</v>
      </c>
      <c r="AS60" s="1"/>
    </row>
    <row r="61" spans="5:45" x14ac:dyDescent="0.4">
      <c r="O61" s="142"/>
      <c r="P61" s="142"/>
      <c r="S61" s="19" t="s">
        <v>52</v>
      </c>
      <c r="T61" s="20"/>
      <c r="U61" s="20"/>
      <c r="V61" s="20"/>
      <c r="W61" s="20"/>
      <c r="X61" s="143" t="s">
        <v>51</v>
      </c>
      <c r="Y61" s="134"/>
      <c r="AS61" s="1"/>
    </row>
    <row r="62" spans="5:45" x14ac:dyDescent="0.4">
      <c r="S62" s="65" t="s">
        <v>50</v>
      </c>
      <c r="T62" s="65"/>
      <c r="U62" s="65"/>
      <c r="V62" s="65"/>
      <c r="W62" s="65"/>
      <c r="X62" s="65"/>
      <c r="Y62" s="65"/>
      <c r="AS62" s="1"/>
    </row>
    <row r="68" spans="5:49" x14ac:dyDescent="0.4">
      <c r="AW68" s="1"/>
    </row>
    <row r="69" spans="5:49" x14ac:dyDescent="0.4">
      <c r="AW69" s="1"/>
    </row>
    <row r="70" spans="5:49" x14ac:dyDescent="0.4">
      <c r="AT70" s="65" t="s">
        <v>19</v>
      </c>
      <c r="AU70" s="65"/>
      <c r="AV70" s="65"/>
      <c r="AW70" s="65"/>
    </row>
    <row r="71" spans="5:49" x14ac:dyDescent="0.4">
      <c r="E71" s="147">
        <v>511</v>
      </c>
      <c r="F71" s="50"/>
      <c r="G71" s="50"/>
      <c r="H71" s="50"/>
      <c r="I71" s="50"/>
      <c r="J71" s="148"/>
      <c r="K71" s="147">
        <v>510</v>
      </c>
      <c r="L71" s="50"/>
      <c r="M71" s="50"/>
      <c r="N71" s="50"/>
      <c r="O71" s="50"/>
      <c r="P71" s="148"/>
      <c r="Q71" s="142"/>
      <c r="R71" s="142"/>
      <c r="S71" s="16"/>
      <c r="T71" s="147">
        <v>3</v>
      </c>
      <c r="U71" s="50"/>
      <c r="V71" s="50"/>
      <c r="W71" s="50"/>
      <c r="X71" s="50"/>
      <c r="Y71" s="148"/>
      <c r="Z71" s="147">
        <v>2</v>
      </c>
      <c r="AA71" s="50"/>
      <c r="AB71" s="50"/>
      <c r="AC71" s="50"/>
      <c r="AD71" s="50"/>
      <c r="AE71" s="148"/>
      <c r="AF71" s="147">
        <v>1</v>
      </c>
      <c r="AG71" s="50"/>
      <c r="AH71" s="50"/>
      <c r="AI71" s="50"/>
      <c r="AJ71" s="50"/>
      <c r="AK71" s="148"/>
      <c r="AL71" s="147">
        <v>0</v>
      </c>
      <c r="AM71" s="50"/>
      <c r="AN71" s="50"/>
      <c r="AO71" s="50"/>
      <c r="AP71" s="50"/>
      <c r="AQ71" s="148"/>
      <c r="AT71" s="146" t="s">
        <v>41</v>
      </c>
      <c r="AU71" s="146"/>
      <c r="AV71" s="146"/>
      <c r="AW71" s="146"/>
    </row>
    <row r="72" spans="5:49" x14ac:dyDescent="0.4">
      <c r="E72" s="131" t="s">
        <v>1111</v>
      </c>
      <c r="F72" s="131"/>
      <c r="G72" s="131"/>
      <c r="H72" s="131"/>
      <c r="I72" s="131"/>
      <c r="J72" s="131"/>
      <c r="K72" s="52" t="s">
        <v>1110</v>
      </c>
      <c r="L72" s="52"/>
      <c r="M72" s="52"/>
      <c r="N72" s="52"/>
      <c r="O72" s="52"/>
      <c r="P72" s="52"/>
      <c r="Q72" s="60" t="s">
        <v>0</v>
      </c>
      <c r="R72" s="60"/>
      <c r="S72" s="60"/>
      <c r="T72" s="131" t="s">
        <v>1109</v>
      </c>
      <c r="U72" s="131"/>
      <c r="V72" s="131"/>
      <c r="W72" s="131"/>
      <c r="X72" s="131"/>
      <c r="Y72" s="131"/>
      <c r="Z72" s="52" t="s">
        <v>1108</v>
      </c>
      <c r="AA72" s="52"/>
      <c r="AB72" s="52"/>
      <c r="AC72" s="52"/>
      <c r="AD72" s="52"/>
      <c r="AE72" s="52"/>
      <c r="AF72" s="131" t="s">
        <v>1107</v>
      </c>
      <c r="AG72" s="131"/>
      <c r="AH72" s="131"/>
      <c r="AI72" s="131"/>
      <c r="AJ72" s="131"/>
      <c r="AK72" s="131"/>
      <c r="AL72" s="52" t="s">
        <v>1106</v>
      </c>
      <c r="AM72" s="52"/>
      <c r="AN72" s="52"/>
      <c r="AO72" s="52"/>
      <c r="AP72" s="52"/>
      <c r="AQ72" s="52"/>
      <c r="AR72" s="17">
        <v>0</v>
      </c>
      <c r="AS72" s="3"/>
      <c r="AT72" s="136" t="s">
        <v>42</v>
      </c>
      <c r="AU72" s="137"/>
      <c r="AV72" s="137"/>
      <c r="AW72" s="138"/>
    </row>
    <row r="73" spans="5:49" x14ac:dyDescent="0.4">
      <c r="E73" s="131" t="s">
        <v>1117</v>
      </c>
      <c r="F73" s="131"/>
      <c r="G73" s="131"/>
      <c r="H73" s="131"/>
      <c r="I73" s="131"/>
      <c r="J73" s="131"/>
      <c r="K73" s="52" t="s">
        <v>1116</v>
      </c>
      <c r="L73" s="52"/>
      <c r="M73" s="52"/>
      <c r="N73" s="52"/>
      <c r="O73" s="52"/>
      <c r="P73" s="52"/>
      <c r="Q73" s="60" t="s">
        <v>0</v>
      </c>
      <c r="R73" s="60"/>
      <c r="S73" s="60"/>
      <c r="T73" s="131" t="s">
        <v>1115</v>
      </c>
      <c r="U73" s="131"/>
      <c r="V73" s="131"/>
      <c r="W73" s="131"/>
      <c r="X73" s="131"/>
      <c r="Y73" s="131"/>
      <c r="Z73" s="52" t="s">
        <v>1114</v>
      </c>
      <c r="AA73" s="52"/>
      <c r="AB73" s="52"/>
      <c r="AC73" s="52"/>
      <c r="AD73" s="52"/>
      <c r="AE73" s="52"/>
      <c r="AF73" s="131" t="s">
        <v>1113</v>
      </c>
      <c r="AG73" s="131"/>
      <c r="AH73" s="131"/>
      <c r="AI73" s="131"/>
      <c r="AJ73" s="131"/>
      <c r="AK73" s="131"/>
      <c r="AL73" s="52" t="s">
        <v>1112</v>
      </c>
      <c r="AM73" s="52"/>
      <c r="AN73" s="52"/>
      <c r="AO73" s="52"/>
      <c r="AP73" s="52"/>
      <c r="AQ73" s="52"/>
      <c r="AR73" s="17">
        <v>1</v>
      </c>
      <c r="AS73" s="3"/>
      <c r="AT73" s="136" t="s">
        <v>207</v>
      </c>
      <c r="AU73" s="137"/>
      <c r="AV73" s="137"/>
      <c r="AW73" s="138"/>
    </row>
    <row r="74" spans="5:49" x14ac:dyDescent="0.4">
      <c r="E74" s="60" t="s">
        <v>0</v>
      </c>
      <c r="F74" s="60"/>
      <c r="G74" s="60"/>
      <c r="H74" s="60"/>
      <c r="I74" s="60"/>
      <c r="J74" s="60"/>
      <c r="K74" s="60"/>
      <c r="L74" s="60"/>
      <c r="M74" s="60"/>
      <c r="N74" s="60"/>
      <c r="O74" s="60"/>
      <c r="P74" s="60"/>
      <c r="Q74" s="60"/>
      <c r="R74" s="60"/>
      <c r="S74" s="60"/>
      <c r="T74" s="60"/>
      <c r="U74" s="60"/>
      <c r="V74" s="60"/>
      <c r="W74" s="60"/>
      <c r="X74" s="60"/>
      <c r="Y74" s="60"/>
      <c r="Z74" s="60"/>
      <c r="AA74" s="60"/>
      <c r="AB74" s="60"/>
      <c r="AC74" s="60"/>
      <c r="AD74" s="60"/>
      <c r="AE74" s="60"/>
      <c r="AF74" s="60"/>
      <c r="AG74" s="60"/>
      <c r="AH74" s="60"/>
      <c r="AI74" s="60"/>
      <c r="AJ74" s="60"/>
      <c r="AK74" s="60"/>
      <c r="AL74" s="60"/>
      <c r="AM74" s="60"/>
      <c r="AN74" s="60"/>
      <c r="AO74" s="60"/>
      <c r="AP74" s="60"/>
      <c r="AQ74" s="60"/>
      <c r="AR74" s="18" t="s">
        <v>0</v>
      </c>
      <c r="AS74" s="3"/>
      <c r="AT74" s="139" t="s">
        <v>0</v>
      </c>
      <c r="AU74" s="140"/>
      <c r="AV74" s="140"/>
      <c r="AW74" s="141"/>
    </row>
    <row r="75" spans="5:49" x14ac:dyDescent="0.4">
      <c r="E75" s="131" t="s">
        <v>1100</v>
      </c>
      <c r="F75" s="131"/>
      <c r="G75" s="131"/>
      <c r="H75" s="131"/>
      <c r="I75" s="131"/>
      <c r="J75" s="131"/>
      <c r="K75" s="52" t="s">
        <v>1101</v>
      </c>
      <c r="L75" s="52"/>
      <c r="M75" s="52"/>
      <c r="N75" s="52"/>
      <c r="O75" s="52"/>
      <c r="P75" s="52"/>
      <c r="Q75" s="60" t="s">
        <v>0</v>
      </c>
      <c r="R75" s="60"/>
      <c r="S75" s="60"/>
      <c r="T75" s="131" t="s">
        <v>1105</v>
      </c>
      <c r="U75" s="131"/>
      <c r="V75" s="131"/>
      <c r="W75" s="131"/>
      <c r="X75" s="131"/>
      <c r="Y75" s="131"/>
      <c r="Z75" s="52" t="s">
        <v>1104</v>
      </c>
      <c r="AA75" s="52"/>
      <c r="AB75" s="52"/>
      <c r="AC75" s="52"/>
      <c r="AD75" s="52"/>
      <c r="AE75" s="52"/>
      <c r="AF75" s="131" t="s">
        <v>1103</v>
      </c>
      <c r="AG75" s="131"/>
      <c r="AH75" s="131"/>
      <c r="AI75" s="131"/>
      <c r="AJ75" s="131"/>
      <c r="AK75" s="131"/>
      <c r="AL75" s="52" t="s">
        <v>1102</v>
      </c>
      <c r="AM75" s="52"/>
      <c r="AN75" s="52"/>
      <c r="AO75" s="52"/>
      <c r="AP75" s="52"/>
      <c r="AQ75" s="52"/>
      <c r="AR75" s="17" t="s">
        <v>40</v>
      </c>
      <c r="AS75" s="3"/>
      <c r="AT75" s="136" t="s">
        <v>208</v>
      </c>
      <c r="AU75" s="137"/>
      <c r="AV75" s="137"/>
      <c r="AW75" s="138"/>
    </row>
    <row r="79" spans="5:49" x14ac:dyDescent="0.4">
      <c r="AS79" s="1"/>
    </row>
    <row r="80" spans="5:49" x14ac:dyDescent="0.4">
      <c r="AS80" s="1"/>
    </row>
    <row r="81" spans="5:45" x14ac:dyDescent="0.4">
      <c r="AP81" s="65" t="s">
        <v>19</v>
      </c>
      <c r="AQ81" s="65"/>
      <c r="AR81" s="65"/>
      <c r="AS81" s="65"/>
    </row>
    <row r="82" spans="5:45" x14ac:dyDescent="0.4">
      <c r="E82" s="147">
        <v>511</v>
      </c>
      <c r="F82" s="50"/>
      <c r="G82" s="50"/>
      <c r="H82" s="50"/>
      <c r="I82" s="50"/>
      <c r="J82" s="50"/>
      <c r="K82" s="148"/>
      <c r="L82" s="147">
        <v>510</v>
      </c>
      <c r="M82" s="50"/>
      <c r="N82" s="50"/>
      <c r="O82" s="50"/>
      <c r="P82" s="50"/>
      <c r="Q82" s="50"/>
      <c r="R82" s="148"/>
      <c r="S82" s="142"/>
      <c r="T82" s="142"/>
      <c r="U82" s="16"/>
      <c r="V82" s="147">
        <v>2</v>
      </c>
      <c r="W82" s="50"/>
      <c r="X82" s="50"/>
      <c r="Y82" s="50"/>
      <c r="Z82" s="50"/>
      <c r="AA82" s="148"/>
      <c r="AB82" s="147">
        <v>1</v>
      </c>
      <c r="AC82" s="50"/>
      <c r="AD82" s="50"/>
      <c r="AE82" s="50"/>
      <c r="AF82" s="50"/>
      <c r="AG82" s="148"/>
      <c r="AH82" s="147">
        <v>0</v>
      </c>
      <c r="AI82" s="50"/>
      <c r="AJ82" s="50"/>
      <c r="AK82" s="50"/>
      <c r="AL82" s="50"/>
      <c r="AM82" s="148"/>
      <c r="AP82" s="146" t="s">
        <v>41</v>
      </c>
      <c r="AQ82" s="146"/>
      <c r="AR82" s="146"/>
      <c r="AS82" s="146"/>
    </row>
    <row r="83" spans="5:45" x14ac:dyDescent="0.4">
      <c r="E83" s="131" t="s">
        <v>1118</v>
      </c>
      <c r="F83" s="131"/>
      <c r="G83" s="131"/>
      <c r="H83" s="131"/>
      <c r="I83" s="131"/>
      <c r="J83" s="131"/>
      <c r="K83" s="131"/>
      <c r="L83" s="131" t="s">
        <v>1121</v>
      </c>
      <c r="M83" s="131"/>
      <c r="N83" s="131"/>
      <c r="O83" s="131"/>
      <c r="P83" s="131"/>
      <c r="Q83" s="131"/>
      <c r="R83" s="131"/>
      <c r="S83" s="60" t="s">
        <v>0</v>
      </c>
      <c r="T83" s="60"/>
      <c r="U83" s="60"/>
      <c r="V83" s="131" t="s">
        <v>1123</v>
      </c>
      <c r="W83" s="131"/>
      <c r="X83" s="131"/>
      <c r="Y83" s="131"/>
      <c r="Z83" s="131"/>
      <c r="AA83" s="131"/>
      <c r="AB83" s="131" t="s">
        <v>1124</v>
      </c>
      <c r="AC83" s="131"/>
      <c r="AD83" s="131"/>
      <c r="AE83" s="131"/>
      <c r="AF83" s="131"/>
      <c r="AG83" s="131"/>
      <c r="AH83" s="131" t="s">
        <v>1125</v>
      </c>
      <c r="AI83" s="131"/>
      <c r="AJ83" s="131"/>
      <c r="AK83" s="131"/>
      <c r="AL83" s="131"/>
      <c r="AM83" s="131"/>
      <c r="AN83" s="17">
        <v>0</v>
      </c>
      <c r="AO83" s="3"/>
      <c r="AP83" s="136" t="s">
        <v>42</v>
      </c>
      <c r="AQ83" s="137"/>
      <c r="AR83" s="137"/>
      <c r="AS83" s="138"/>
    </row>
    <row r="84" spans="5:45" x14ac:dyDescent="0.4">
      <c r="E84" s="131" t="s">
        <v>1120</v>
      </c>
      <c r="F84" s="131"/>
      <c r="G84" s="131"/>
      <c r="H84" s="131"/>
      <c r="I84" s="131"/>
      <c r="J84" s="131"/>
      <c r="K84" s="131"/>
      <c r="L84" s="131" t="s">
        <v>1122</v>
      </c>
      <c r="M84" s="131"/>
      <c r="N84" s="131"/>
      <c r="O84" s="131"/>
      <c r="P84" s="131"/>
      <c r="Q84" s="131"/>
      <c r="R84" s="131"/>
      <c r="S84" s="60" t="s">
        <v>0</v>
      </c>
      <c r="T84" s="60"/>
      <c r="U84" s="60"/>
      <c r="V84" s="131" t="s">
        <v>1128</v>
      </c>
      <c r="W84" s="131"/>
      <c r="X84" s="131"/>
      <c r="Y84" s="131"/>
      <c r="Z84" s="131"/>
      <c r="AA84" s="131"/>
      <c r="AB84" s="131" t="s">
        <v>1127</v>
      </c>
      <c r="AC84" s="131"/>
      <c r="AD84" s="131"/>
      <c r="AE84" s="131"/>
      <c r="AF84" s="131"/>
      <c r="AG84" s="131"/>
      <c r="AH84" s="131" t="s">
        <v>1126</v>
      </c>
      <c r="AI84" s="131"/>
      <c r="AJ84" s="131"/>
      <c r="AK84" s="131"/>
      <c r="AL84" s="131"/>
      <c r="AM84" s="131"/>
      <c r="AN84" s="17">
        <v>1</v>
      </c>
      <c r="AO84" s="3"/>
      <c r="AP84" s="136" t="s">
        <v>207</v>
      </c>
      <c r="AQ84" s="137"/>
      <c r="AR84" s="137"/>
      <c r="AS84" s="138"/>
    </row>
    <row r="85" spans="5:45" x14ac:dyDescent="0.4">
      <c r="E85" s="60" t="s">
        <v>0</v>
      </c>
      <c r="F85" s="60"/>
      <c r="G85" s="60"/>
      <c r="H85" s="60"/>
      <c r="I85" s="60"/>
      <c r="J85" s="60"/>
      <c r="K85" s="60"/>
      <c r="L85" s="60"/>
      <c r="M85" s="60"/>
      <c r="N85" s="60"/>
      <c r="O85" s="60"/>
      <c r="P85" s="60"/>
      <c r="Q85" s="60"/>
      <c r="R85" s="60"/>
      <c r="S85" s="60"/>
      <c r="T85" s="60"/>
      <c r="U85" s="60"/>
      <c r="V85" s="60"/>
      <c r="W85" s="60"/>
      <c r="X85" s="60"/>
      <c r="Y85" s="60"/>
      <c r="Z85" s="60"/>
      <c r="AA85" s="60"/>
      <c r="AB85" s="60"/>
      <c r="AC85" s="60"/>
      <c r="AD85" s="60"/>
      <c r="AE85" s="60"/>
      <c r="AF85" s="60"/>
      <c r="AG85" s="60"/>
      <c r="AH85" s="60"/>
      <c r="AI85" s="60"/>
      <c r="AJ85" s="60"/>
      <c r="AK85" s="60"/>
      <c r="AL85" s="60"/>
      <c r="AM85" s="60"/>
      <c r="AN85" s="18" t="s">
        <v>0</v>
      </c>
      <c r="AO85" s="3"/>
      <c r="AP85" s="139" t="s">
        <v>0</v>
      </c>
      <c r="AQ85" s="140"/>
      <c r="AR85" s="140"/>
      <c r="AS85" s="141"/>
    </row>
    <row r="86" spans="5:45" x14ac:dyDescent="0.4">
      <c r="E86" s="131" t="s">
        <v>1119</v>
      </c>
      <c r="F86" s="131"/>
      <c r="G86" s="131"/>
      <c r="H86" s="131"/>
      <c r="I86" s="131"/>
      <c r="J86" s="131"/>
      <c r="K86" s="131"/>
      <c r="L86" s="131" t="s">
        <v>1132</v>
      </c>
      <c r="M86" s="131"/>
      <c r="N86" s="131"/>
      <c r="O86" s="131"/>
      <c r="P86" s="131"/>
      <c r="Q86" s="131"/>
      <c r="R86" s="131"/>
      <c r="S86" s="60" t="s">
        <v>0</v>
      </c>
      <c r="T86" s="60"/>
      <c r="U86" s="60"/>
      <c r="V86" s="131" t="s">
        <v>1129</v>
      </c>
      <c r="W86" s="131"/>
      <c r="X86" s="131"/>
      <c r="Y86" s="131"/>
      <c r="Z86" s="131"/>
      <c r="AA86" s="131"/>
      <c r="AB86" s="131" t="s">
        <v>1130</v>
      </c>
      <c r="AC86" s="131"/>
      <c r="AD86" s="131"/>
      <c r="AE86" s="131"/>
      <c r="AF86" s="131"/>
      <c r="AG86" s="131"/>
      <c r="AH86" s="131" t="s">
        <v>1131</v>
      </c>
      <c r="AI86" s="131"/>
      <c r="AJ86" s="131"/>
      <c r="AK86" s="131"/>
      <c r="AL86" s="131"/>
      <c r="AM86" s="131"/>
      <c r="AN86" s="17" t="s">
        <v>40</v>
      </c>
      <c r="AO86" s="3"/>
      <c r="AP86" s="136" t="s">
        <v>208</v>
      </c>
      <c r="AQ86" s="137"/>
      <c r="AR86" s="137"/>
      <c r="AS86" s="138"/>
    </row>
  </sheetData>
  <mergeCells count="222">
    <mergeCell ref="AV5:AY5"/>
    <mergeCell ref="E6:F6"/>
    <mergeCell ref="I6:J6"/>
    <mergeCell ref="K6:L6"/>
    <mergeCell ref="O6:P6"/>
    <mergeCell ref="Q6:R6"/>
    <mergeCell ref="T6:U6"/>
    <mergeCell ref="V6:W6"/>
    <mergeCell ref="AV6:AY6"/>
    <mergeCell ref="AN7:AS7"/>
    <mergeCell ref="AV7:AY7"/>
    <mergeCell ref="E8:J8"/>
    <mergeCell ref="K8:P8"/>
    <mergeCell ref="Q8:U8"/>
    <mergeCell ref="V8:AA8"/>
    <mergeCell ref="AB8:AG8"/>
    <mergeCell ref="AH8:AM8"/>
    <mergeCell ref="AN8:AS8"/>
    <mergeCell ref="AV8:AY8"/>
    <mergeCell ref="E7:J7"/>
    <mergeCell ref="K7:P7"/>
    <mergeCell ref="Q7:U7"/>
    <mergeCell ref="V7:AA7"/>
    <mergeCell ref="AB7:AG7"/>
    <mergeCell ref="AH7:AM7"/>
    <mergeCell ref="E9:AS9"/>
    <mergeCell ref="AV9:AY9"/>
    <mergeCell ref="E10:J10"/>
    <mergeCell ref="K10:P10"/>
    <mergeCell ref="Q10:U10"/>
    <mergeCell ref="V10:AA10"/>
    <mergeCell ref="AB10:AG10"/>
    <mergeCell ref="AH10:AM10"/>
    <mergeCell ref="AN10:AS10"/>
    <mergeCell ref="AV10:AY10"/>
    <mergeCell ref="AV21:AY21"/>
    <mergeCell ref="E22:F22"/>
    <mergeCell ref="I22:J22"/>
    <mergeCell ref="K22:L22"/>
    <mergeCell ref="O22:P22"/>
    <mergeCell ref="Q22:R22"/>
    <mergeCell ref="E25:AS25"/>
    <mergeCell ref="Q12:R12"/>
    <mergeCell ref="Q13:R13"/>
    <mergeCell ref="AA13:AB13"/>
    <mergeCell ref="U14:AB14"/>
    <mergeCell ref="T22:U22"/>
    <mergeCell ref="V22:W22"/>
    <mergeCell ref="AV22:AY22"/>
    <mergeCell ref="E23:J23"/>
    <mergeCell ref="K23:P23"/>
    <mergeCell ref="Q23:U23"/>
    <mergeCell ref="V23:AA23"/>
    <mergeCell ref="AB23:AG23"/>
    <mergeCell ref="AH23:AM23"/>
    <mergeCell ref="AN23:AS23"/>
    <mergeCell ref="AV23:AY23"/>
    <mergeCell ref="E24:J24"/>
    <mergeCell ref="K24:P24"/>
    <mergeCell ref="Q24:U24"/>
    <mergeCell ref="V24:AA24"/>
    <mergeCell ref="AB24:AG24"/>
    <mergeCell ref="AH24:AM24"/>
    <mergeCell ref="AN24:AS24"/>
    <mergeCell ref="AV24:AY24"/>
    <mergeCell ref="Q28:R28"/>
    <mergeCell ref="Q29:R29"/>
    <mergeCell ref="AA29:AB29"/>
    <mergeCell ref="U30:AB30"/>
    <mergeCell ref="AV25:AY25"/>
    <mergeCell ref="E26:J26"/>
    <mergeCell ref="K26:P26"/>
    <mergeCell ref="Q26:U26"/>
    <mergeCell ref="V26:AA26"/>
    <mergeCell ref="AB26:AG26"/>
    <mergeCell ref="AH26:AM26"/>
    <mergeCell ref="AN26:AS26"/>
    <mergeCell ref="AV26:AY26"/>
    <mergeCell ref="AP39:AS39"/>
    <mergeCell ref="H40:I40"/>
    <mergeCell ref="J40:K40"/>
    <mergeCell ref="M40:N40"/>
    <mergeCell ref="R40:S40"/>
    <mergeCell ref="AP40:AS40"/>
    <mergeCell ref="AI58:AM58"/>
    <mergeCell ref="E41:I41"/>
    <mergeCell ref="J41:N41"/>
    <mergeCell ref="O41:S41"/>
    <mergeCell ref="T41:X41"/>
    <mergeCell ref="Y41:AC41"/>
    <mergeCell ref="E40:F40"/>
    <mergeCell ref="O40:P40"/>
    <mergeCell ref="T40:U40"/>
    <mergeCell ref="AD41:AH41"/>
    <mergeCell ref="AI41:AM41"/>
    <mergeCell ref="AP41:AS41"/>
    <mergeCell ref="E42:I42"/>
    <mergeCell ref="J42:N42"/>
    <mergeCell ref="O42:S42"/>
    <mergeCell ref="T42:X42"/>
    <mergeCell ref="Y42:AC42"/>
    <mergeCell ref="AD42:AH42"/>
    <mergeCell ref="AI42:AM42"/>
    <mergeCell ref="AP44:AS44"/>
    <mergeCell ref="O46:P46"/>
    <mergeCell ref="O47:P47"/>
    <mergeCell ref="X47:Y47"/>
    <mergeCell ref="S48:Y48"/>
    <mergeCell ref="AP53:AS53"/>
    <mergeCell ref="AP42:AS42"/>
    <mergeCell ref="E43:AM43"/>
    <mergeCell ref="AP43:AS43"/>
    <mergeCell ref="E44:I44"/>
    <mergeCell ref="J44:N44"/>
    <mergeCell ref="O44:S44"/>
    <mergeCell ref="T44:X44"/>
    <mergeCell ref="Y44:AC44"/>
    <mergeCell ref="AD44:AH44"/>
    <mergeCell ref="AI44:AM44"/>
    <mergeCell ref="T54:U54"/>
    <mergeCell ref="AP54:AS54"/>
    <mergeCell ref="E55:I55"/>
    <mergeCell ref="J55:N55"/>
    <mergeCell ref="O55:S55"/>
    <mergeCell ref="T55:X55"/>
    <mergeCell ref="Y55:AC55"/>
    <mergeCell ref="AD55:AH55"/>
    <mergeCell ref="AI55:AM55"/>
    <mergeCell ref="AP55:AS55"/>
    <mergeCell ref="E54:F54"/>
    <mergeCell ref="H54:I54"/>
    <mergeCell ref="J54:K54"/>
    <mergeCell ref="M54:N54"/>
    <mergeCell ref="O54:P54"/>
    <mergeCell ref="R54:S54"/>
    <mergeCell ref="AI56:AM56"/>
    <mergeCell ref="AP56:AS56"/>
    <mergeCell ref="E57:AM57"/>
    <mergeCell ref="AP57:AS57"/>
    <mergeCell ref="E58:I58"/>
    <mergeCell ref="J58:N58"/>
    <mergeCell ref="O58:S58"/>
    <mergeCell ref="T58:X58"/>
    <mergeCell ref="Y58:AC58"/>
    <mergeCell ref="AD58:AH58"/>
    <mergeCell ref="E56:I56"/>
    <mergeCell ref="J56:N56"/>
    <mergeCell ref="O56:S56"/>
    <mergeCell ref="T56:X56"/>
    <mergeCell ref="Y56:AC56"/>
    <mergeCell ref="AD56:AH56"/>
    <mergeCell ref="AT70:AW70"/>
    <mergeCell ref="Q71:R71"/>
    <mergeCell ref="AT71:AW71"/>
    <mergeCell ref="AL71:AQ71"/>
    <mergeCell ref="AF71:AK71"/>
    <mergeCell ref="AP58:AS58"/>
    <mergeCell ref="O60:P60"/>
    <mergeCell ref="O61:P61"/>
    <mergeCell ref="X61:Y61"/>
    <mergeCell ref="S62:Y62"/>
    <mergeCell ref="AT72:AW72"/>
    <mergeCell ref="E73:J73"/>
    <mergeCell ref="K73:P73"/>
    <mergeCell ref="Q73:S73"/>
    <mergeCell ref="T73:Y73"/>
    <mergeCell ref="Z73:AE73"/>
    <mergeCell ref="AF73:AK73"/>
    <mergeCell ref="AL73:AQ73"/>
    <mergeCell ref="AT73:AW73"/>
    <mergeCell ref="E72:J72"/>
    <mergeCell ref="K72:P72"/>
    <mergeCell ref="Q72:S72"/>
    <mergeCell ref="T72:Y72"/>
    <mergeCell ref="Z72:AE72"/>
    <mergeCell ref="AF72:AK72"/>
    <mergeCell ref="AT74:AW74"/>
    <mergeCell ref="E75:J75"/>
    <mergeCell ref="K75:P75"/>
    <mergeCell ref="Q75:S75"/>
    <mergeCell ref="T75:Y75"/>
    <mergeCell ref="Z75:AE75"/>
    <mergeCell ref="AF75:AK75"/>
    <mergeCell ref="AL75:AQ75"/>
    <mergeCell ref="AT75:AW75"/>
    <mergeCell ref="AP81:AS81"/>
    <mergeCell ref="E82:K82"/>
    <mergeCell ref="L82:R82"/>
    <mergeCell ref="S82:T82"/>
    <mergeCell ref="V82:AA82"/>
    <mergeCell ref="AB82:AG82"/>
    <mergeCell ref="AH82:AM82"/>
    <mergeCell ref="AP82:AS82"/>
    <mergeCell ref="T71:Y71"/>
    <mergeCell ref="Z71:AE71"/>
    <mergeCell ref="K71:P71"/>
    <mergeCell ref="E71:J71"/>
    <mergeCell ref="E74:AQ74"/>
    <mergeCell ref="AL72:AQ72"/>
    <mergeCell ref="AP83:AS83"/>
    <mergeCell ref="E84:K84"/>
    <mergeCell ref="L84:R84"/>
    <mergeCell ref="S84:U84"/>
    <mergeCell ref="V84:AA84"/>
    <mergeCell ref="AB84:AG84"/>
    <mergeCell ref="AH84:AM84"/>
    <mergeCell ref="AP84:AS84"/>
    <mergeCell ref="E83:K83"/>
    <mergeCell ref="L83:R83"/>
    <mergeCell ref="S83:U83"/>
    <mergeCell ref="V83:AA83"/>
    <mergeCell ref="AB83:AG83"/>
    <mergeCell ref="AH83:AM83"/>
    <mergeCell ref="E85:AM85"/>
    <mergeCell ref="AP85:AS85"/>
    <mergeCell ref="E86:K86"/>
    <mergeCell ref="L86:R86"/>
    <mergeCell ref="S86:U86"/>
    <mergeCell ref="V86:AA86"/>
    <mergeCell ref="AB86:AG86"/>
    <mergeCell ref="AH86:AM86"/>
    <mergeCell ref="AP86:AS86"/>
  </mergeCells>
  <phoneticPr fontId="1"/>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5EB7F-BFD3-4B73-B2DA-84C6EB07F295}">
  <dimension ref="B5:AW130"/>
  <sheetViews>
    <sheetView showGridLines="0" tabSelected="1" topLeftCell="A53" zoomScale="70" zoomScaleNormal="70" workbookViewId="0">
      <selection activeCell="AJ89" sqref="AJ89"/>
    </sheetView>
  </sheetViews>
  <sheetFormatPr defaultRowHeight="18.75" x14ac:dyDescent="0.4"/>
  <cols>
    <col min="1" max="569" width="3.625" customWidth="1"/>
  </cols>
  <sheetData>
    <row r="5" spans="7:34" x14ac:dyDescent="0.4">
      <c r="G5" s="60" t="s">
        <v>45</v>
      </c>
      <c r="H5" s="60"/>
      <c r="I5" s="60"/>
      <c r="J5" s="60"/>
      <c r="K5" s="131" t="s">
        <v>211</v>
      </c>
      <c r="L5" s="131"/>
      <c r="M5" s="131"/>
      <c r="N5" s="131"/>
      <c r="O5" s="131" t="s">
        <v>211</v>
      </c>
      <c r="P5" s="131"/>
      <c r="Q5" s="131"/>
      <c r="R5" s="131"/>
      <c r="S5" s="131" t="s">
        <v>0</v>
      </c>
      <c r="T5" s="131"/>
      <c r="U5" s="131"/>
      <c r="V5" s="131"/>
      <c r="W5" s="131" t="s">
        <v>211</v>
      </c>
      <c r="X5" s="131"/>
      <c r="Y5" s="131"/>
      <c r="Z5" s="131"/>
    </row>
    <row r="6" spans="7:34" x14ac:dyDescent="0.4">
      <c r="G6" s="60"/>
      <c r="H6" s="60"/>
      <c r="I6" s="60"/>
      <c r="J6" s="60"/>
      <c r="K6" s="131"/>
      <c r="L6" s="131"/>
      <c r="M6" s="131"/>
      <c r="N6" s="131"/>
      <c r="O6" s="131"/>
      <c r="P6" s="131"/>
      <c r="Q6" s="131"/>
      <c r="R6" s="131"/>
      <c r="S6" s="131"/>
      <c r="T6" s="131"/>
      <c r="U6" s="131"/>
      <c r="V6" s="131"/>
      <c r="W6" s="131"/>
      <c r="X6" s="131"/>
      <c r="Y6" s="131"/>
      <c r="Z6" s="131"/>
    </row>
    <row r="13" spans="7:34" ht="18.75" customHeight="1" x14ac:dyDescent="0.4">
      <c r="G13" s="60" t="s">
        <v>212</v>
      </c>
      <c r="H13" s="60"/>
      <c r="I13" s="60"/>
      <c r="J13" s="60" t="s">
        <v>213</v>
      </c>
      <c r="K13" s="60"/>
      <c r="L13" s="60"/>
      <c r="M13" s="60" t="s">
        <v>0</v>
      </c>
      <c r="N13" s="60"/>
      <c r="O13" s="60"/>
      <c r="P13" s="60" t="s">
        <v>214</v>
      </c>
      <c r="Q13" s="60"/>
      <c r="R13" s="60"/>
      <c r="S13" s="60" t="s">
        <v>0</v>
      </c>
      <c r="T13" s="60"/>
      <c r="U13" s="60"/>
      <c r="V13" s="60"/>
      <c r="W13" s="60" t="s">
        <v>215</v>
      </c>
      <c r="X13" s="60"/>
      <c r="Y13" s="60"/>
      <c r="Z13" s="60" t="s">
        <v>216</v>
      </c>
      <c r="AA13" s="60"/>
      <c r="AB13" s="60"/>
      <c r="AC13" s="60" t="s">
        <v>0</v>
      </c>
      <c r="AD13" s="60"/>
      <c r="AE13" s="60"/>
      <c r="AF13" s="60" t="s">
        <v>217</v>
      </c>
      <c r="AG13" s="60"/>
      <c r="AH13" s="60"/>
    </row>
    <row r="14" spans="7:34" ht="18.75" customHeight="1" x14ac:dyDescent="0.4">
      <c r="G14" s="60"/>
      <c r="H14" s="60"/>
      <c r="I14" s="60"/>
      <c r="J14" s="60"/>
      <c r="K14" s="60"/>
      <c r="L14" s="60"/>
      <c r="M14" s="60"/>
      <c r="N14" s="60"/>
      <c r="O14" s="60"/>
      <c r="P14" s="60"/>
      <c r="Q14" s="60"/>
      <c r="R14" s="60"/>
      <c r="S14" s="60"/>
      <c r="T14" s="60"/>
      <c r="U14" s="60"/>
      <c r="V14" s="60"/>
      <c r="W14" s="60"/>
      <c r="X14" s="60"/>
      <c r="Y14" s="60"/>
      <c r="Z14" s="60"/>
      <c r="AA14" s="60"/>
      <c r="AB14" s="60"/>
      <c r="AC14" s="60"/>
      <c r="AD14" s="60"/>
      <c r="AE14" s="60"/>
      <c r="AF14" s="60"/>
      <c r="AG14" s="60"/>
      <c r="AH14" s="60"/>
    </row>
    <row r="23" spans="7:14" x14ac:dyDescent="0.4">
      <c r="G23" s="131" t="s">
        <v>46</v>
      </c>
      <c r="H23" s="131"/>
      <c r="I23" s="131"/>
      <c r="J23" s="131"/>
      <c r="K23" s="60" t="s">
        <v>47</v>
      </c>
      <c r="L23" s="60"/>
      <c r="M23" s="60"/>
      <c r="N23" s="60"/>
    </row>
    <row r="24" spans="7:14" x14ac:dyDescent="0.4">
      <c r="G24" s="131"/>
      <c r="H24" s="131"/>
      <c r="I24" s="131"/>
      <c r="J24" s="131"/>
      <c r="K24" s="60"/>
      <c r="L24" s="60"/>
      <c r="M24" s="60"/>
      <c r="N24" s="60"/>
    </row>
    <row r="33" spans="7:34" ht="20.25" customHeight="1" x14ac:dyDescent="0.4">
      <c r="G33" s="131" t="s">
        <v>212</v>
      </c>
      <c r="H33" s="131"/>
      <c r="I33" s="131"/>
      <c r="J33" s="131" t="s">
        <v>213</v>
      </c>
      <c r="K33" s="131"/>
      <c r="L33" s="131"/>
      <c r="M33" s="131" t="s">
        <v>0</v>
      </c>
      <c r="N33" s="131"/>
      <c r="O33" s="131"/>
      <c r="P33" s="131" t="s">
        <v>218</v>
      </c>
      <c r="Q33" s="131"/>
      <c r="R33" s="131"/>
      <c r="S33" s="131" t="s">
        <v>0</v>
      </c>
      <c r="T33" s="131"/>
      <c r="U33" s="131"/>
      <c r="V33" s="131"/>
      <c r="W33" s="131" t="s">
        <v>219</v>
      </c>
      <c r="X33" s="131"/>
      <c r="Y33" s="131"/>
      <c r="Z33" s="131" t="s">
        <v>220</v>
      </c>
      <c r="AA33" s="131"/>
      <c r="AB33" s="131"/>
      <c r="AC33" s="131" t="s">
        <v>0</v>
      </c>
      <c r="AD33" s="131"/>
      <c r="AE33" s="131"/>
      <c r="AF33" s="131" t="s">
        <v>221</v>
      </c>
      <c r="AG33" s="131"/>
      <c r="AH33" s="131"/>
    </row>
    <row r="34" spans="7:34" x14ac:dyDescent="0.4">
      <c r="G34" s="131"/>
      <c r="H34" s="131"/>
      <c r="I34" s="131"/>
      <c r="J34" s="131"/>
      <c r="K34" s="131"/>
      <c r="L34" s="131"/>
      <c r="M34" s="131"/>
      <c r="N34" s="131"/>
      <c r="O34" s="131"/>
      <c r="P34" s="131"/>
      <c r="Q34" s="131"/>
      <c r="R34" s="131"/>
      <c r="S34" s="131"/>
      <c r="T34" s="131"/>
      <c r="U34" s="131"/>
      <c r="V34" s="131"/>
      <c r="W34" s="131"/>
      <c r="X34" s="131"/>
      <c r="Y34" s="131"/>
      <c r="Z34" s="131"/>
      <c r="AA34" s="131"/>
      <c r="AB34" s="131"/>
      <c r="AC34" s="131"/>
      <c r="AD34" s="131"/>
      <c r="AE34" s="131"/>
      <c r="AF34" s="131"/>
      <c r="AG34" s="131"/>
      <c r="AH34" s="131"/>
    </row>
    <row r="35" spans="7:34" ht="18.75" customHeight="1" x14ac:dyDescent="0.4"/>
    <row r="36" spans="7:34" x14ac:dyDescent="0.4">
      <c r="X36" s="52" t="s">
        <v>222</v>
      </c>
      <c r="Y36" s="52"/>
      <c r="Z36" s="52"/>
      <c r="AA36" s="52" t="s">
        <v>223</v>
      </c>
      <c r="AB36" s="52"/>
      <c r="AC36" s="52"/>
    </row>
    <row r="37" spans="7:34" x14ac:dyDescent="0.4">
      <c r="X37" s="52"/>
      <c r="Y37" s="52"/>
      <c r="Z37" s="52"/>
      <c r="AA37" s="52"/>
      <c r="AB37" s="52"/>
      <c r="AC37" s="52"/>
    </row>
    <row r="47" spans="7:34" x14ac:dyDescent="0.4">
      <c r="G47" s="131" t="s">
        <v>212</v>
      </c>
      <c r="H47" s="131"/>
      <c r="I47" s="131"/>
      <c r="J47" s="131" t="s">
        <v>213</v>
      </c>
      <c r="K47" s="131"/>
      <c r="L47" s="131"/>
      <c r="M47" s="131" t="s">
        <v>0</v>
      </c>
      <c r="N47" s="131"/>
      <c r="O47" s="131"/>
      <c r="P47" s="131" t="s">
        <v>1155</v>
      </c>
      <c r="Q47" s="131"/>
      <c r="R47" s="131"/>
      <c r="S47" s="131" t="s">
        <v>0</v>
      </c>
      <c r="T47" s="131"/>
      <c r="U47" s="131"/>
      <c r="V47" s="131"/>
      <c r="W47" s="131" t="s">
        <v>1153</v>
      </c>
      <c r="X47" s="131"/>
      <c r="Y47" s="131"/>
      <c r="Z47" s="131" t="s">
        <v>1154</v>
      </c>
      <c r="AA47" s="131"/>
      <c r="AB47" s="131"/>
      <c r="AC47" s="131" t="s">
        <v>0</v>
      </c>
      <c r="AD47" s="131"/>
      <c r="AE47" s="131"/>
      <c r="AF47" s="131" t="s">
        <v>1156</v>
      </c>
      <c r="AG47" s="131"/>
      <c r="AH47" s="131"/>
    </row>
    <row r="48" spans="7:34" x14ac:dyDescent="0.4">
      <c r="G48" s="131"/>
      <c r="H48" s="131"/>
      <c r="I48" s="131"/>
      <c r="J48" s="131"/>
      <c r="K48" s="131"/>
      <c r="L48" s="131"/>
      <c r="M48" s="131"/>
      <c r="N48" s="131"/>
      <c r="O48" s="131"/>
      <c r="P48" s="131"/>
      <c r="Q48" s="131"/>
      <c r="R48" s="131"/>
      <c r="S48" s="131"/>
      <c r="T48" s="131"/>
      <c r="U48" s="131"/>
      <c r="V48" s="131"/>
      <c r="W48" s="131"/>
      <c r="X48" s="131"/>
      <c r="Y48" s="131"/>
      <c r="Z48" s="131"/>
      <c r="AA48" s="131"/>
      <c r="AB48" s="131"/>
      <c r="AC48" s="131"/>
      <c r="AD48" s="131"/>
      <c r="AE48" s="131"/>
      <c r="AF48" s="131"/>
      <c r="AG48" s="131"/>
      <c r="AH48" s="131"/>
    </row>
    <row r="50" spans="7:34" x14ac:dyDescent="0.4">
      <c r="X50" s="52" t="s">
        <v>222</v>
      </c>
      <c r="Y50" s="52"/>
      <c r="Z50" s="52"/>
      <c r="AA50" s="52" t="s">
        <v>223</v>
      </c>
      <c r="AB50" s="52"/>
      <c r="AC50" s="52"/>
    </row>
    <row r="51" spans="7:34" x14ac:dyDescent="0.4">
      <c r="X51" s="52"/>
      <c r="Y51" s="52"/>
      <c r="Z51" s="52"/>
      <c r="AA51" s="52"/>
      <c r="AB51" s="52"/>
      <c r="AC51" s="52"/>
    </row>
    <row r="61" spans="7:34" x14ac:dyDescent="0.4">
      <c r="G61" s="60" t="s">
        <v>212</v>
      </c>
      <c r="H61" s="60"/>
      <c r="I61" s="60"/>
      <c r="J61" s="60" t="s">
        <v>213</v>
      </c>
      <c r="K61" s="60"/>
      <c r="L61" s="60"/>
      <c r="M61" s="60" t="s">
        <v>0</v>
      </c>
      <c r="N61" s="60"/>
      <c r="O61" s="60"/>
      <c r="P61" s="60" t="s">
        <v>214</v>
      </c>
      <c r="Q61" s="60"/>
      <c r="R61" s="60"/>
      <c r="S61" s="60" t="s">
        <v>0</v>
      </c>
      <c r="T61" s="60"/>
      <c r="U61" s="60"/>
      <c r="V61" s="60"/>
      <c r="W61" s="60" t="s">
        <v>215</v>
      </c>
      <c r="X61" s="60"/>
      <c r="Y61" s="60"/>
      <c r="Z61" s="60" t="s">
        <v>216</v>
      </c>
      <c r="AA61" s="60"/>
      <c r="AB61" s="60"/>
      <c r="AC61" s="60" t="s">
        <v>0</v>
      </c>
      <c r="AD61" s="60"/>
      <c r="AE61" s="60"/>
      <c r="AF61" s="60" t="s">
        <v>217</v>
      </c>
      <c r="AG61" s="60"/>
      <c r="AH61" s="60"/>
    </row>
    <row r="62" spans="7:34" x14ac:dyDescent="0.4">
      <c r="G62" s="60"/>
      <c r="H62" s="60"/>
      <c r="I62" s="60"/>
      <c r="J62" s="60"/>
      <c r="K62" s="60"/>
      <c r="L62" s="60"/>
      <c r="M62" s="60"/>
      <c r="N62" s="60"/>
      <c r="O62" s="60"/>
      <c r="P62" s="60"/>
      <c r="Q62" s="60"/>
      <c r="R62" s="60"/>
      <c r="S62" s="60"/>
      <c r="T62" s="60"/>
      <c r="U62" s="60"/>
      <c r="V62" s="60"/>
      <c r="W62" s="60"/>
      <c r="X62" s="60"/>
      <c r="Y62" s="60"/>
      <c r="Z62" s="60"/>
      <c r="AA62" s="60"/>
      <c r="AB62" s="60"/>
      <c r="AC62" s="60"/>
      <c r="AD62" s="60"/>
      <c r="AE62" s="60"/>
      <c r="AF62" s="60"/>
      <c r="AG62" s="60"/>
      <c r="AH62" s="60"/>
    </row>
    <row r="71" spans="2:30" x14ac:dyDescent="0.4">
      <c r="B71" s="32" t="s">
        <v>248</v>
      </c>
      <c r="C71" s="32"/>
      <c r="D71" s="32"/>
      <c r="E71" s="32"/>
      <c r="F71" s="32"/>
      <c r="G71" s="32"/>
      <c r="H71" s="32"/>
      <c r="I71" s="32"/>
      <c r="J71" s="32"/>
      <c r="K71" s="32"/>
      <c r="L71" s="32"/>
      <c r="M71" s="32"/>
    </row>
    <row r="72" spans="2:30" x14ac:dyDescent="0.4">
      <c r="B72" s="32"/>
      <c r="C72" s="32"/>
      <c r="D72" s="32"/>
      <c r="E72" s="32"/>
      <c r="F72" s="32"/>
      <c r="G72" s="32"/>
    </row>
    <row r="75" spans="2:30" ht="18.75" customHeight="1" x14ac:dyDescent="0.4">
      <c r="G75" s="157" t="s">
        <v>224</v>
      </c>
      <c r="H75" s="60"/>
      <c r="I75" s="60"/>
      <c r="J75" s="60"/>
      <c r="K75" s="60"/>
      <c r="L75" s="60"/>
      <c r="M75" s="157" t="s">
        <v>225</v>
      </c>
      <c r="N75" s="60"/>
      <c r="O75" s="60"/>
      <c r="P75" s="60"/>
      <c r="Q75" s="60"/>
      <c r="R75" s="60"/>
      <c r="S75" s="60"/>
      <c r="T75" s="60"/>
      <c r="U75" s="157" t="s">
        <v>226</v>
      </c>
      <c r="V75" s="60"/>
      <c r="W75" s="60"/>
      <c r="X75" s="60"/>
      <c r="Y75" s="60"/>
      <c r="Z75" s="60"/>
      <c r="AA75" s="60"/>
      <c r="AB75" s="60"/>
      <c r="AC75" s="60"/>
      <c r="AD75" s="60"/>
    </row>
    <row r="76" spans="2:30" x14ac:dyDescent="0.4">
      <c r="G76" s="60"/>
      <c r="H76" s="60"/>
      <c r="I76" s="60"/>
      <c r="J76" s="60"/>
      <c r="K76" s="60"/>
      <c r="L76" s="60"/>
      <c r="M76" s="60"/>
      <c r="N76" s="60"/>
      <c r="O76" s="60"/>
      <c r="P76" s="60"/>
      <c r="Q76" s="60"/>
      <c r="R76" s="60"/>
      <c r="S76" s="60"/>
      <c r="T76" s="60"/>
      <c r="U76" s="60"/>
      <c r="V76" s="60"/>
      <c r="W76" s="60"/>
      <c r="X76" s="60"/>
      <c r="Y76" s="60"/>
      <c r="Z76" s="60"/>
      <c r="AA76" s="60"/>
      <c r="AB76" s="60"/>
      <c r="AC76" s="60"/>
      <c r="AD76" s="60"/>
    </row>
    <row r="80" spans="2:30" x14ac:dyDescent="0.4">
      <c r="B80" s="32" t="s">
        <v>247</v>
      </c>
      <c r="C80" s="32"/>
      <c r="D80" s="32"/>
      <c r="E80" s="32"/>
      <c r="F80" s="32"/>
      <c r="G80" s="32"/>
    </row>
    <row r="81" spans="2:38" x14ac:dyDescent="0.4">
      <c r="B81" s="32"/>
      <c r="C81" s="32"/>
      <c r="D81" s="32"/>
      <c r="E81" s="32"/>
      <c r="F81" s="32"/>
      <c r="G81" s="32"/>
    </row>
    <row r="82" spans="2:38" x14ac:dyDescent="0.4">
      <c r="AI82" s="65"/>
      <c r="AJ82" s="65"/>
      <c r="AK82" s="65"/>
      <c r="AL82" s="65"/>
    </row>
    <row r="84" spans="2:38" ht="18.75" customHeight="1" x14ac:dyDescent="0.4">
      <c r="G84" s="157" t="s">
        <v>224</v>
      </c>
      <c r="H84" s="60"/>
      <c r="I84" s="60"/>
      <c r="J84" s="60"/>
      <c r="K84" s="60"/>
      <c r="L84" s="60"/>
      <c r="M84" s="157" t="s">
        <v>225</v>
      </c>
      <c r="N84" s="60"/>
      <c r="O84" s="60"/>
      <c r="P84" s="60"/>
      <c r="Q84" s="60"/>
      <c r="R84" s="60"/>
      <c r="S84" s="60"/>
      <c r="T84" s="60"/>
      <c r="U84" s="157" t="s">
        <v>226</v>
      </c>
      <c r="V84" s="60"/>
      <c r="W84" s="60"/>
      <c r="X84" s="60"/>
      <c r="Y84" s="60"/>
      <c r="Z84" s="60"/>
      <c r="AA84" s="60"/>
      <c r="AB84" s="60"/>
      <c r="AC84" s="60"/>
      <c r="AD84" s="60"/>
    </row>
    <row r="85" spans="2:38" x14ac:dyDescent="0.4">
      <c r="G85" s="60"/>
      <c r="H85" s="60"/>
      <c r="I85" s="60"/>
      <c r="J85" s="60"/>
      <c r="K85" s="60"/>
      <c r="L85" s="60"/>
      <c r="M85" s="60"/>
      <c r="N85" s="60"/>
      <c r="O85" s="60"/>
      <c r="P85" s="60"/>
      <c r="Q85" s="60"/>
      <c r="R85" s="60"/>
      <c r="S85" s="60"/>
      <c r="T85" s="60"/>
      <c r="U85" s="60"/>
      <c r="V85" s="60"/>
      <c r="W85" s="60"/>
      <c r="X85" s="60"/>
      <c r="Y85" s="60"/>
      <c r="Z85" s="60"/>
      <c r="AA85" s="60"/>
      <c r="AB85" s="60"/>
      <c r="AC85" s="60"/>
      <c r="AD85" s="60"/>
    </row>
    <row r="89" spans="2:38" x14ac:dyDescent="0.4">
      <c r="B89" s="32"/>
      <c r="C89" s="32"/>
      <c r="D89" s="32"/>
      <c r="E89" s="32"/>
      <c r="F89" s="32"/>
      <c r="G89" s="32"/>
    </row>
    <row r="90" spans="2:38" x14ac:dyDescent="0.4">
      <c r="AI90" s="65"/>
      <c r="AJ90" s="65"/>
      <c r="AK90" s="65"/>
      <c r="AL90" s="65"/>
    </row>
    <row r="92" spans="2:38" ht="18.75" customHeight="1" x14ac:dyDescent="0.4">
      <c r="G92" s="157" t="s">
        <v>224</v>
      </c>
      <c r="H92" s="60"/>
      <c r="I92" s="60"/>
      <c r="J92" s="60"/>
      <c r="K92" s="60"/>
      <c r="L92" s="60"/>
      <c r="M92" s="157" t="s">
        <v>225</v>
      </c>
      <c r="N92" s="60"/>
      <c r="O92" s="60"/>
      <c r="P92" s="60"/>
      <c r="Q92" s="60"/>
      <c r="R92" s="60"/>
      <c r="S92" s="60"/>
      <c r="T92" s="60"/>
      <c r="U92" s="157" t="s">
        <v>226</v>
      </c>
      <c r="V92" s="60"/>
      <c r="W92" s="60"/>
      <c r="X92" s="60"/>
      <c r="Y92" s="60"/>
      <c r="Z92" s="60"/>
      <c r="AA92" s="60"/>
      <c r="AB92" s="60"/>
      <c r="AC92" s="60"/>
      <c r="AD92" s="60"/>
    </row>
    <row r="93" spans="2:38" x14ac:dyDescent="0.4">
      <c r="G93" s="60"/>
      <c r="H93" s="60"/>
      <c r="I93" s="60"/>
      <c r="J93" s="60"/>
      <c r="K93" s="60"/>
      <c r="L93" s="60"/>
      <c r="M93" s="60"/>
      <c r="N93" s="60"/>
      <c r="O93" s="60"/>
      <c r="P93" s="60"/>
      <c r="Q93" s="60"/>
      <c r="R93" s="60"/>
      <c r="S93" s="60"/>
      <c r="T93" s="60"/>
      <c r="U93" s="60"/>
      <c r="V93" s="60"/>
      <c r="W93" s="60"/>
      <c r="X93" s="60"/>
      <c r="Y93" s="60"/>
      <c r="Z93" s="60"/>
      <c r="AA93" s="60"/>
      <c r="AB93" s="60"/>
      <c r="AC93" s="60"/>
      <c r="AD93" s="60"/>
    </row>
    <row r="100" spans="3:15" ht="18.75" customHeight="1" x14ac:dyDescent="0.4">
      <c r="C100" s="65" t="s">
        <v>227</v>
      </c>
      <c r="D100" s="65"/>
      <c r="E100" s="65"/>
      <c r="G100" s="157" t="s">
        <v>228</v>
      </c>
      <c r="H100" s="60"/>
      <c r="I100" s="60"/>
      <c r="J100" s="158" t="s">
        <v>229</v>
      </c>
      <c r="K100" s="159"/>
      <c r="L100" s="160"/>
    </row>
    <row r="101" spans="3:15" x14ac:dyDescent="0.4">
      <c r="C101" s="65"/>
      <c r="D101" s="65"/>
      <c r="E101" s="65"/>
      <c r="G101" s="60"/>
      <c r="H101" s="60"/>
      <c r="I101" s="60"/>
      <c r="J101" s="161"/>
      <c r="K101" s="162"/>
      <c r="L101" s="163"/>
    </row>
    <row r="108" spans="3:15" ht="18.75" customHeight="1" x14ac:dyDescent="0.4">
      <c r="C108" s="65" t="s">
        <v>230</v>
      </c>
      <c r="D108" s="65"/>
      <c r="E108" s="65"/>
      <c r="G108" s="157" t="s">
        <v>231</v>
      </c>
      <c r="H108" s="60"/>
      <c r="I108" s="60"/>
      <c r="J108" s="158" t="s">
        <v>229</v>
      </c>
      <c r="K108" s="159"/>
      <c r="L108" s="160"/>
      <c r="M108" s="158" t="s">
        <v>228</v>
      </c>
      <c r="N108" s="159"/>
      <c r="O108" s="160"/>
    </row>
    <row r="109" spans="3:15" x14ac:dyDescent="0.4">
      <c r="C109" s="65"/>
      <c r="D109" s="65"/>
      <c r="E109" s="65"/>
      <c r="G109" s="60"/>
      <c r="H109" s="60"/>
      <c r="I109" s="60"/>
      <c r="J109" s="161"/>
      <c r="K109" s="162"/>
      <c r="L109" s="163"/>
      <c r="M109" s="161"/>
      <c r="N109" s="162"/>
      <c r="O109" s="163"/>
    </row>
    <row r="120" spans="6:49" ht="18.75" customHeight="1" x14ac:dyDescent="0.4">
      <c r="F120" s="164" t="s">
        <v>232</v>
      </c>
      <c r="G120" s="165"/>
      <c r="H120" s="165"/>
      <c r="I120" s="165"/>
      <c r="J120" s="166" t="s">
        <v>233</v>
      </c>
      <c r="K120" s="166"/>
      <c r="L120" s="166"/>
      <c r="M120" s="166"/>
      <c r="N120" s="167" t="s">
        <v>234</v>
      </c>
      <c r="O120" s="167"/>
      <c r="P120" s="167"/>
      <c r="Q120" s="167"/>
      <c r="R120" s="164" t="s">
        <v>235</v>
      </c>
      <c r="S120" s="165"/>
      <c r="T120" s="165"/>
      <c r="U120" s="165"/>
      <c r="V120" s="167" t="s">
        <v>234</v>
      </c>
      <c r="W120" s="167"/>
      <c r="X120" s="167"/>
      <c r="Y120" s="167"/>
      <c r="Z120" s="164" t="s">
        <v>235</v>
      </c>
      <c r="AA120" s="165"/>
      <c r="AB120" s="165"/>
      <c r="AC120" s="165"/>
      <c r="AD120" s="166" t="s">
        <v>233</v>
      </c>
      <c r="AE120" s="166"/>
      <c r="AF120" s="166"/>
      <c r="AG120" s="166"/>
      <c r="AH120" s="167" t="s">
        <v>234</v>
      </c>
      <c r="AI120" s="167"/>
      <c r="AJ120" s="167"/>
      <c r="AK120" s="167"/>
      <c r="AL120" s="164" t="s">
        <v>235</v>
      </c>
      <c r="AM120" s="165"/>
      <c r="AN120" s="165"/>
      <c r="AO120" s="165"/>
      <c r="AP120" s="167" t="s">
        <v>234</v>
      </c>
      <c r="AQ120" s="167"/>
      <c r="AR120" s="167"/>
      <c r="AS120" s="167"/>
      <c r="AT120" s="164" t="s">
        <v>235</v>
      </c>
      <c r="AU120" s="165"/>
      <c r="AV120" s="165"/>
      <c r="AW120" s="165"/>
    </row>
    <row r="121" spans="6:49" x14ac:dyDescent="0.4">
      <c r="F121" s="165"/>
      <c r="G121" s="165"/>
      <c r="H121" s="165"/>
      <c r="I121" s="165"/>
      <c r="J121" s="166"/>
      <c r="K121" s="166"/>
      <c r="L121" s="166"/>
      <c r="M121" s="166"/>
      <c r="N121" s="167"/>
      <c r="O121" s="167"/>
      <c r="P121" s="167"/>
      <c r="Q121" s="167"/>
      <c r="R121" s="165"/>
      <c r="S121" s="165"/>
      <c r="T121" s="165"/>
      <c r="U121" s="165"/>
      <c r="V121" s="167"/>
      <c r="W121" s="167"/>
      <c r="X121" s="167"/>
      <c r="Y121" s="167"/>
      <c r="Z121" s="165"/>
      <c r="AA121" s="165"/>
      <c r="AB121" s="165"/>
      <c r="AC121" s="165"/>
      <c r="AD121" s="166"/>
      <c r="AE121" s="166"/>
      <c r="AF121" s="166"/>
      <c r="AG121" s="166"/>
      <c r="AH121" s="167"/>
      <c r="AI121" s="167"/>
      <c r="AJ121" s="167"/>
      <c r="AK121" s="167"/>
      <c r="AL121" s="165"/>
      <c r="AM121" s="165"/>
      <c r="AN121" s="165"/>
      <c r="AO121" s="165"/>
      <c r="AP121" s="167"/>
      <c r="AQ121" s="167"/>
      <c r="AR121" s="167"/>
      <c r="AS121" s="167"/>
      <c r="AT121" s="165"/>
      <c r="AU121" s="165"/>
      <c r="AV121" s="165"/>
      <c r="AW121" s="165"/>
    </row>
    <row r="129" spans="5:28" x14ac:dyDescent="0.4">
      <c r="E129" s="168" t="s">
        <v>239</v>
      </c>
      <c r="F129" s="168"/>
      <c r="G129" s="168"/>
      <c r="H129" s="168"/>
      <c r="I129" s="168" t="s">
        <v>241</v>
      </c>
      <c r="J129" s="168"/>
      <c r="K129" s="168"/>
      <c r="L129" s="168"/>
      <c r="M129" s="168"/>
      <c r="N129" s="168"/>
      <c r="O129" s="168"/>
      <c r="P129" s="168"/>
      <c r="Q129" s="168" t="s">
        <v>240</v>
      </c>
      <c r="R129" s="168"/>
      <c r="S129" s="168"/>
      <c r="T129" s="168"/>
      <c r="U129" s="168"/>
      <c r="V129" s="168"/>
      <c r="W129" s="169" t="s">
        <v>0</v>
      </c>
      <c r="X129" s="170"/>
      <c r="Y129" s="168" t="s">
        <v>242</v>
      </c>
      <c r="Z129" s="168"/>
      <c r="AA129" s="168"/>
      <c r="AB129" s="168"/>
    </row>
    <row r="130" spans="5:28" x14ac:dyDescent="0.4">
      <c r="E130" s="168"/>
      <c r="F130" s="168"/>
      <c r="G130" s="168"/>
      <c r="H130" s="168"/>
      <c r="I130" s="168"/>
      <c r="J130" s="168"/>
      <c r="K130" s="168"/>
      <c r="L130" s="168"/>
      <c r="M130" s="168"/>
      <c r="N130" s="168"/>
      <c r="O130" s="168"/>
      <c r="P130" s="168"/>
      <c r="Q130" s="168"/>
      <c r="R130" s="168"/>
      <c r="S130" s="168"/>
      <c r="T130" s="168"/>
      <c r="U130" s="168"/>
      <c r="V130" s="168"/>
      <c r="W130" s="171"/>
      <c r="X130" s="172"/>
      <c r="Y130" s="168"/>
      <c r="Z130" s="168"/>
      <c r="AA130" s="168"/>
      <c r="AB130" s="168"/>
    </row>
  </sheetData>
  <mergeCells count="81">
    <mergeCell ref="AI90:AL90"/>
    <mergeCell ref="G92:L93"/>
    <mergeCell ref="M92:T93"/>
    <mergeCell ref="U92:AD93"/>
    <mergeCell ref="W47:Y48"/>
    <mergeCell ref="Z47:AB48"/>
    <mergeCell ref="AC47:AE48"/>
    <mergeCell ref="AF47:AH48"/>
    <mergeCell ref="X50:Z51"/>
    <mergeCell ref="AA50:AC51"/>
    <mergeCell ref="G47:I48"/>
    <mergeCell ref="J47:L48"/>
    <mergeCell ref="M47:O48"/>
    <mergeCell ref="P47:R48"/>
    <mergeCell ref="S47:V48"/>
    <mergeCell ref="Q129:V130"/>
    <mergeCell ref="W129:X130"/>
    <mergeCell ref="Y129:AB130"/>
    <mergeCell ref="E129:H130"/>
    <mergeCell ref="I129:P130"/>
    <mergeCell ref="AT120:AW121"/>
    <mergeCell ref="M108:O109"/>
    <mergeCell ref="F120:I121"/>
    <mergeCell ref="J120:M121"/>
    <mergeCell ref="N120:Q121"/>
    <mergeCell ref="R120:U121"/>
    <mergeCell ref="V120:Y121"/>
    <mergeCell ref="Z120:AC121"/>
    <mergeCell ref="AD120:AG121"/>
    <mergeCell ref="AH120:AK121"/>
    <mergeCell ref="AL120:AO121"/>
    <mergeCell ref="AP120:AS121"/>
    <mergeCell ref="C100:E101"/>
    <mergeCell ref="G100:I101"/>
    <mergeCell ref="J100:L101"/>
    <mergeCell ref="C108:E109"/>
    <mergeCell ref="G108:I109"/>
    <mergeCell ref="J108:L109"/>
    <mergeCell ref="AF61:AH62"/>
    <mergeCell ref="G75:L76"/>
    <mergeCell ref="M75:T76"/>
    <mergeCell ref="U75:AD76"/>
    <mergeCell ref="Z33:AB34"/>
    <mergeCell ref="AC33:AE34"/>
    <mergeCell ref="W61:Y62"/>
    <mergeCell ref="Z61:AB62"/>
    <mergeCell ref="AC61:AE62"/>
    <mergeCell ref="G33:I34"/>
    <mergeCell ref="J33:L34"/>
    <mergeCell ref="M33:O34"/>
    <mergeCell ref="P33:R34"/>
    <mergeCell ref="S33:V34"/>
    <mergeCell ref="X36:Z37"/>
    <mergeCell ref="AA36:AC37"/>
    <mergeCell ref="G61:I62"/>
    <mergeCell ref="J61:L62"/>
    <mergeCell ref="M61:O62"/>
    <mergeCell ref="P61:R62"/>
    <mergeCell ref="S61:V62"/>
    <mergeCell ref="J13:L14"/>
    <mergeCell ref="M13:O14"/>
    <mergeCell ref="P13:R14"/>
    <mergeCell ref="S13:V14"/>
    <mergeCell ref="AF33:AH34"/>
    <mergeCell ref="W33:Y34"/>
    <mergeCell ref="AI82:AL82"/>
    <mergeCell ref="G84:L85"/>
    <mergeCell ref="M84:T85"/>
    <mergeCell ref="U84:AD85"/>
    <mergeCell ref="G5:J6"/>
    <mergeCell ref="K5:N6"/>
    <mergeCell ref="O5:R6"/>
    <mergeCell ref="S5:V6"/>
    <mergeCell ref="W5:Z6"/>
    <mergeCell ref="W13:Y14"/>
    <mergeCell ref="Z13:AB14"/>
    <mergeCell ref="AC13:AE14"/>
    <mergeCell ref="AF13:AH14"/>
    <mergeCell ref="G23:J24"/>
    <mergeCell ref="K23:N24"/>
    <mergeCell ref="G13:I14"/>
  </mergeCells>
  <phoneticPr fontId="1"/>
  <pageMargins left="0.7" right="0.7" top="0.75" bottom="0.75" header="0.3" footer="0.3"/>
  <pageSetup paperSize="9" orientation="portrait" horizontalDpi="1200" verticalDpi="1200"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56295-C4B7-4E37-9530-ADE399C78D07}">
  <dimension ref="D7:EA128"/>
  <sheetViews>
    <sheetView showGridLines="0" zoomScale="25" zoomScaleNormal="25" workbookViewId="0">
      <selection activeCell="EK99" sqref="EK99"/>
    </sheetView>
  </sheetViews>
  <sheetFormatPr defaultRowHeight="20.25" x14ac:dyDescent="0.4"/>
  <cols>
    <col min="1" max="38" width="3.625" customWidth="1"/>
    <col min="39" max="39" width="3.625" style="39" customWidth="1"/>
    <col min="40" max="375" width="3.625" customWidth="1"/>
  </cols>
  <sheetData>
    <row r="7" spans="4:30" x14ac:dyDescent="0.4">
      <c r="D7" s="60" t="s">
        <v>809</v>
      </c>
      <c r="E7" s="60"/>
      <c r="F7" s="60"/>
      <c r="G7" s="60"/>
      <c r="H7" s="60"/>
      <c r="I7" s="131" t="s">
        <v>811</v>
      </c>
      <c r="J7" s="131"/>
      <c r="K7" s="131"/>
      <c r="L7" s="131"/>
      <c r="M7" s="131"/>
      <c r="N7" s="131"/>
      <c r="O7" s="131" t="s">
        <v>812</v>
      </c>
      <c r="P7" s="131"/>
      <c r="Q7" s="131"/>
      <c r="R7" s="131"/>
      <c r="S7" s="131"/>
      <c r="T7" s="131"/>
      <c r="U7" s="131" t="s">
        <v>0</v>
      </c>
      <c r="V7" s="131"/>
      <c r="W7" s="131"/>
      <c r="X7" s="131"/>
      <c r="Y7" s="131" t="s">
        <v>813</v>
      </c>
      <c r="Z7" s="131"/>
      <c r="AA7" s="131"/>
      <c r="AB7" s="131"/>
      <c r="AC7" s="131"/>
      <c r="AD7" s="131"/>
    </row>
    <row r="8" spans="4:30" x14ac:dyDescent="0.4">
      <c r="D8" s="60"/>
      <c r="E8" s="60"/>
      <c r="F8" s="60"/>
      <c r="G8" s="60"/>
      <c r="H8" s="60"/>
      <c r="I8" s="131"/>
      <c r="J8" s="131"/>
      <c r="K8" s="131"/>
      <c r="L8" s="131"/>
      <c r="M8" s="131"/>
      <c r="N8" s="131"/>
      <c r="O8" s="131"/>
      <c r="P8" s="131"/>
      <c r="Q8" s="131"/>
      <c r="R8" s="131"/>
      <c r="S8" s="131"/>
      <c r="T8" s="131"/>
      <c r="U8" s="131"/>
      <c r="V8" s="131"/>
      <c r="W8" s="131"/>
      <c r="X8" s="131"/>
      <c r="Y8" s="131"/>
      <c r="Z8" s="131"/>
      <c r="AA8" s="131"/>
      <c r="AB8" s="131"/>
      <c r="AC8" s="131"/>
      <c r="AD8" s="131"/>
    </row>
    <row r="15" spans="4:30" x14ac:dyDescent="0.4">
      <c r="G15" s="131" t="s">
        <v>810</v>
      </c>
      <c r="H15" s="131"/>
      <c r="I15" s="131"/>
      <c r="J15" s="131"/>
      <c r="K15" s="131"/>
      <c r="L15" s="131"/>
      <c r="M15" s="60" t="s">
        <v>47</v>
      </c>
      <c r="N15" s="60"/>
      <c r="O15" s="60"/>
      <c r="P15" s="60"/>
    </row>
    <row r="16" spans="4:30" x14ac:dyDescent="0.4">
      <c r="G16" s="131"/>
      <c r="H16" s="131"/>
      <c r="I16" s="131"/>
      <c r="J16" s="131"/>
      <c r="K16" s="131"/>
      <c r="L16" s="131"/>
      <c r="M16" s="60"/>
      <c r="N16" s="60"/>
      <c r="O16" s="60"/>
      <c r="P16" s="60"/>
    </row>
    <row r="22" spans="44:71" ht="21" thickBot="1" x14ac:dyDescent="0.45"/>
    <row r="23" spans="44:71" ht="21" thickTop="1" x14ac:dyDescent="0.4">
      <c r="AR23" s="198" t="s">
        <v>816</v>
      </c>
      <c r="AS23" s="199"/>
      <c r="AT23" s="200"/>
      <c r="AU23" s="204" t="s">
        <v>0</v>
      </c>
      <c r="AV23" s="174"/>
      <c r="AW23" s="174" t="s">
        <v>817</v>
      </c>
      <c r="AX23" s="174"/>
      <c r="AY23" s="174"/>
      <c r="AZ23" s="196" t="s">
        <v>818</v>
      </c>
      <c r="BA23" s="196"/>
      <c r="BB23" s="196"/>
      <c r="BC23" s="196" t="s">
        <v>0</v>
      </c>
      <c r="BD23" s="196"/>
      <c r="BE23" s="196" t="s">
        <v>819</v>
      </c>
      <c r="BF23" s="196"/>
      <c r="BG23" s="196"/>
      <c r="BH23" s="174" t="s">
        <v>0</v>
      </c>
      <c r="BI23" s="174"/>
      <c r="BJ23" s="196" t="s">
        <v>820</v>
      </c>
      <c r="BK23" s="196"/>
      <c r="BL23" s="196"/>
      <c r="BM23" s="196" t="s">
        <v>0</v>
      </c>
      <c r="BN23" s="196"/>
      <c r="BO23" s="196" t="s">
        <v>821</v>
      </c>
      <c r="BP23" s="196"/>
      <c r="BQ23" s="196"/>
      <c r="BR23" s="197" t="s">
        <v>814</v>
      </c>
      <c r="BS23" s="197"/>
    </row>
    <row r="24" spans="44:71" ht="21" thickBot="1" x14ac:dyDescent="0.45">
      <c r="AR24" s="201"/>
      <c r="AS24" s="202"/>
      <c r="AT24" s="203"/>
      <c r="AU24" s="204"/>
      <c r="AV24" s="174"/>
      <c r="AW24" s="174"/>
      <c r="AX24" s="174"/>
      <c r="AY24" s="174"/>
      <c r="AZ24" s="196"/>
      <c r="BA24" s="196"/>
      <c r="BB24" s="196"/>
      <c r="BC24" s="196"/>
      <c r="BD24" s="196"/>
      <c r="BE24" s="196"/>
      <c r="BF24" s="196"/>
      <c r="BG24" s="196"/>
      <c r="BH24" s="174"/>
      <c r="BI24" s="174"/>
      <c r="BJ24" s="196"/>
      <c r="BK24" s="196"/>
      <c r="BL24" s="196"/>
      <c r="BM24" s="196"/>
      <c r="BN24" s="196"/>
      <c r="BO24" s="196"/>
      <c r="BP24" s="196"/>
      <c r="BQ24" s="196"/>
      <c r="BR24" s="197"/>
      <c r="BS24" s="197"/>
    </row>
    <row r="25" spans="44:71" ht="21" thickTop="1" x14ac:dyDescent="0.4"/>
    <row r="33" spans="5:71" x14ac:dyDescent="0.4">
      <c r="AR33" s="188" t="s">
        <v>815</v>
      </c>
      <c r="AS33" s="189"/>
      <c r="AT33" s="189"/>
      <c r="AU33" s="189"/>
      <c r="AV33" s="190"/>
      <c r="AW33" s="186" t="s">
        <v>822</v>
      </c>
      <c r="AX33" s="187"/>
      <c r="AY33" s="187"/>
      <c r="AZ33" s="188" t="s">
        <v>815</v>
      </c>
      <c r="BA33" s="189"/>
      <c r="BB33" s="189"/>
      <c r="BC33" s="189"/>
      <c r="BD33" s="190"/>
      <c r="BE33" s="183" t="s">
        <v>823</v>
      </c>
      <c r="BF33" s="183"/>
      <c r="BG33" s="184"/>
      <c r="BH33" s="194" t="s">
        <v>0</v>
      </c>
      <c r="BI33" s="194"/>
      <c r="BJ33" s="188" t="s">
        <v>815</v>
      </c>
      <c r="BK33" s="189"/>
      <c r="BL33" s="189"/>
      <c r="BM33" s="189"/>
      <c r="BN33" s="190"/>
      <c r="BO33" s="183" t="s">
        <v>824</v>
      </c>
      <c r="BP33" s="183"/>
      <c r="BQ33" s="184"/>
      <c r="BR33" s="185" t="s">
        <v>815</v>
      </c>
      <c r="BS33" s="185"/>
    </row>
    <row r="34" spans="5:71" x14ac:dyDescent="0.4">
      <c r="AR34" s="191"/>
      <c r="AS34" s="192"/>
      <c r="AT34" s="192"/>
      <c r="AU34" s="192"/>
      <c r="AV34" s="193"/>
      <c r="AW34" s="187"/>
      <c r="AX34" s="187"/>
      <c r="AY34" s="187"/>
      <c r="AZ34" s="191"/>
      <c r="BA34" s="192"/>
      <c r="BB34" s="192"/>
      <c r="BC34" s="192"/>
      <c r="BD34" s="193"/>
      <c r="BE34" s="184"/>
      <c r="BF34" s="184"/>
      <c r="BG34" s="184"/>
      <c r="BH34" s="194"/>
      <c r="BI34" s="194"/>
      <c r="BJ34" s="191"/>
      <c r="BK34" s="192"/>
      <c r="BL34" s="192"/>
      <c r="BM34" s="192"/>
      <c r="BN34" s="193"/>
      <c r="BO34" s="184"/>
      <c r="BP34" s="184"/>
      <c r="BQ34" s="184"/>
      <c r="BR34" s="185"/>
      <c r="BS34" s="185"/>
    </row>
    <row r="37" spans="5:71" ht="20.25" customHeight="1" x14ac:dyDescent="0.4"/>
    <row r="38" spans="5:71" ht="20.25" customHeight="1" x14ac:dyDescent="0.4"/>
    <row r="39" spans="5:71" ht="20.25" customHeight="1" x14ac:dyDescent="0.4"/>
    <row r="41" spans="5:71" x14ac:dyDescent="0.4">
      <c r="Q41" s="65"/>
      <c r="R41" s="65"/>
      <c r="S41" s="65"/>
      <c r="T41" s="65"/>
      <c r="U41" s="65"/>
      <c r="V41" s="65"/>
    </row>
    <row r="42" spans="5:71" x14ac:dyDescent="0.4">
      <c r="Q42" s="131" t="s">
        <v>826</v>
      </c>
      <c r="R42" s="131"/>
      <c r="S42" s="131"/>
      <c r="T42" s="131"/>
      <c r="U42" s="131"/>
      <c r="V42" s="131"/>
    </row>
    <row r="43" spans="5:71" x14ac:dyDescent="0.4">
      <c r="E43" s="174" t="s">
        <v>816</v>
      </c>
      <c r="F43" s="174"/>
      <c r="G43" s="176" t="s">
        <v>825</v>
      </c>
      <c r="H43" s="176"/>
      <c r="I43" s="166" t="s">
        <v>0</v>
      </c>
      <c r="J43" s="166"/>
      <c r="K43" s="176" t="s">
        <v>828</v>
      </c>
      <c r="L43" s="176"/>
      <c r="M43" s="174" t="s">
        <v>829</v>
      </c>
      <c r="N43" s="174"/>
      <c r="O43" s="40"/>
      <c r="P43" s="40"/>
      <c r="Q43" s="40"/>
      <c r="R43" s="40"/>
      <c r="S43" s="40"/>
      <c r="T43" s="40"/>
      <c r="U43" s="40"/>
      <c r="V43" s="40"/>
      <c r="W43" s="40"/>
      <c r="X43" s="40"/>
      <c r="Y43" s="40"/>
      <c r="Z43" s="40"/>
      <c r="AA43" s="40"/>
      <c r="AB43" s="40"/>
      <c r="AC43" s="40"/>
      <c r="AD43" s="40"/>
    </row>
    <row r="44" spans="5:71" x14ac:dyDescent="0.4">
      <c r="E44" s="174"/>
      <c r="F44" s="174"/>
      <c r="G44" s="176"/>
      <c r="H44" s="176"/>
      <c r="I44" s="166"/>
      <c r="J44" s="166"/>
      <c r="K44" s="176"/>
      <c r="L44" s="176"/>
      <c r="M44" s="174"/>
      <c r="N44" s="174"/>
      <c r="O44" s="40"/>
      <c r="P44" s="40"/>
      <c r="Q44" s="175" t="s">
        <v>827</v>
      </c>
      <c r="R44" s="175"/>
      <c r="S44" s="175"/>
      <c r="T44" s="175"/>
      <c r="U44" s="175"/>
      <c r="V44" s="175"/>
      <c r="W44" s="40"/>
      <c r="X44" s="40"/>
      <c r="Y44" s="40"/>
      <c r="Z44" s="40"/>
      <c r="AA44" s="40"/>
      <c r="AB44" s="40"/>
      <c r="AC44" s="40"/>
      <c r="AD44" s="40"/>
    </row>
    <row r="45" spans="5:71" x14ac:dyDescent="0.4">
      <c r="O45" s="40"/>
      <c r="P45" s="40"/>
      <c r="W45" s="40"/>
      <c r="X45" s="40"/>
      <c r="Y45" s="40"/>
      <c r="Z45" s="40"/>
      <c r="AA45" s="40"/>
      <c r="AB45" s="40"/>
      <c r="AC45" s="40"/>
      <c r="AD45" s="40"/>
    </row>
    <row r="51" spans="5:35" x14ac:dyDescent="0.4">
      <c r="E51" s="156">
        <v>0</v>
      </c>
      <c r="F51" s="156"/>
      <c r="G51" s="156">
        <v>1</v>
      </c>
      <c r="H51" s="156"/>
      <c r="I51" s="156" t="s">
        <v>0</v>
      </c>
      <c r="J51" s="156"/>
      <c r="K51" s="156">
        <v>1</v>
      </c>
      <c r="L51" s="156"/>
      <c r="M51" s="156">
        <v>0</v>
      </c>
      <c r="N51" s="156"/>
    </row>
    <row r="52" spans="5:35" x14ac:dyDescent="0.4">
      <c r="E52" s="156"/>
      <c r="F52" s="156"/>
      <c r="G52" s="156"/>
      <c r="H52" s="156"/>
      <c r="I52" s="156"/>
      <c r="J52" s="156"/>
      <c r="K52" s="156"/>
      <c r="L52" s="156"/>
      <c r="M52" s="156"/>
      <c r="N52" s="156"/>
    </row>
    <row r="58" spans="5:35" x14ac:dyDescent="0.4">
      <c r="AD58" s="195" t="s">
        <v>830</v>
      </c>
      <c r="AE58" s="195"/>
      <c r="AF58" s="195"/>
      <c r="AG58" s="195"/>
      <c r="AH58" s="195"/>
      <c r="AI58" s="195"/>
    </row>
    <row r="59" spans="5:35" x14ac:dyDescent="0.4">
      <c r="E59" s="174" t="s">
        <v>816</v>
      </c>
      <c r="F59" s="174"/>
      <c r="G59" s="176" t="s">
        <v>825</v>
      </c>
      <c r="H59" s="176"/>
      <c r="I59" s="175" t="s">
        <v>0</v>
      </c>
      <c r="J59" s="175"/>
      <c r="K59" s="176" t="s">
        <v>828</v>
      </c>
      <c r="L59" s="176"/>
      <c r="M59" s="176" t="s">
        <v>829</v>
      </c>
      <c r="N59" s="176"/>
      <c r="O59" s="40"/>
      <c r="Q59" s="176" t="s">
        <v>816</v>
      </c>
      <c r="R59" s="176"/>
      <c r="S59" s="176" t="s">
        <v>825</v>
      </c>
      <c r="T59" s="176"/>
      <c r="U59" s="175" t="s">
        <v>0</v>
      </c>
      <c r="V59" s="175"/>
      <c r="W59" s="176" t="s">
        <v>828</v>
      </c>
      <c r="X59" s="176"/>
      <c r="Y59" s="176" t="s">
        <v>829</v>
      </c>
      <c r="Z59" s="176"/>
      <c r="AA59" s="40"/>
      <c r="AD59" s="40"/>
      <c r="AE59" s="40"/>
      <c r="AF59" s="40"/>
      <c r="AG59" s="40"/>
      <c r="AH59" s="40"/>
      <c r="AI59" s="40"/>
    </row>
    <row r="60" spans="5:35" x14ac:dyDescent="0.4">
      <c r="E60" s="174"/>
      <c r="F60" s="174"/>
      <c r="G60" s="176"/>
      <c r="H60" s="176"/>
      <c r="I60" s="175"/>
      <c r="J60" s="175"/>
      <c r="K60" s="176"/>
      <c r="L60" s="176"/>
      <c r="M60" s="176"/>
      <c r="N60" s="176"/>
      <c r="O60" s="40"/>
      <c r="Q60" s="176"/>
      <c r="R60" s="176"/>
      <c r="S60" s="176"/>
      <c r="T60" s="176"/>
      <c r="U60" s="175"/>
      <c r="V60" s="175"/>
      <c r="W60" s="176"/>
      <c r="X60" s="176"/>
      <c r="Y60" s="176"/>
      <c r="Z60" s="176"/>
      <c r="AA60" s="40"/>
      <c r="AD60" s="131" t="s">
        <v>831</v>
      </c>
      <c r="AE60" s="131"/>
      <c r="AF60" s="131"/>
      <c r="AG60" s="131"/>
      <c r="AH60" s="131"/>
      <c r="AI60" s="131"/>
    </row>
    <row r="61" spans="5:35" x14ac:dyDescent="0.4">
      <c r="O61" s="40"/>
      <c r="AA61" s="40"/>
    </row>
    <row r="67" spans="5:26" x14ac:dyDescent="0.4">
      <c r="E67" s="177" t="s">
        <v>815</v>
      </c>
      <c r="F67" s="178"/>
      <c r="G67" s="178"/>
      <c r="H67" s="178"/>
      <c r="I67" s="178"/>
      <c r="J67" s="178"/>
      <c r="K67" s="178"/>
      <c r="L67" s="179"/>
      <c r="M67" s="156">
        <v>0</v>
      </c>
      <c r="N67" s="156"/>
      <c r="Q67" s="177" t="s">
        <v>815</v>
      </c>
      <c r="R67" s="178"/>
      <c r="S67" s="178"/>
      <c r="T67" s="178"/>
      <c r="U67" s="178"/>
      <c r="V67" s="178"/>
      <c r="W67" s="178"/>
      <c r="X67" s="179"/>
      <c r="Y67" s="156">
        <v>1</v>
      </c>
      <c r="Z67" s="156"/>
    </row>
    <row r="68" spans="5:26" x14ac:dyDescent="0.4">
      <c r="E68" s="180"/>
      <c r="F68" s="181"/>
      <c r="G68" s="181"/>
      <c r="H68" s="181"/>
      <c r="I68" s="181"/>
      <c r="J68" s="181"/>
      <c r="K68" s="181"/>
      <c r="L68" s="182"/>
      <c r="M68" s="156"/>
      <c r="N68" s="156"/>
      <c r="Q68" s="180"/>
      <c r="R68" s="181"/>
      <c r="S68" s="181"/>
      <c r="T68" s="181"/>
      <c r="U68" s="181"/>
      <c r="V68" s="181"/>
      <c r="W68" s="181"/>
      <c r="X68" s="182"/>
      <c r="Y68" s="156"/>
      <c r="Z68" s="156"/>
    </row>
    <row r="74" spans="5:26" x14ac:dyDescent="0.4">
      <c r="E74" s="174" t="s">
        <v>816</v>
      </c>
      <c r="F74" s="174"/>
      <c r="G74" s="174" t="s">
        <v>825</v>
      </c>
      <c r="H74" s="174"/>
      <c r="I74" s="166" t="s">
        <v>0</v>
      </c>
      <c r="J74" s="166"/>
      <c r="K74" s="174" t="s">
        <v>828</v>
      </c>
      <c r="L74" s="174"/>
      <c r="M74" s="174" t="s">
        <v>829</v>
      </c>
      <c r="N74" s="174"/>
      <c r="O74" s="40"/>
      <c r="Q74" s="176" t="s">
        <v>816</v>
      </c>
      <c r="R74" s="176"/>
      <c r="S74" s="174" t="s">
        <v>825</v>
      </c>
      <c r="T74" s="174"/>
      <c r="U74" s="166" t="s">
        <v>0</v>
      </c>
      <c r="V74" s="166"/>
      <c r="W74" s="174" t="s">
        <v>828</v>
      </c>
      <c r="X74" s="174"/>
      <c r="Y74" s="174" t="s">
        <v>829</v>
      </c>
      <c r="Z74" s="174"/>
    </row>
    <row r="75" spans="5:26" x14ac:dyDescent="0.4">
      <c r="E75" s="174"/>
      <c r="F75" s="174"/>
      <c r="G75" s="174"/>
      <c r="H75" s="174"/>
      <c r="I75" s="166"/>
      <c r="J75" s="166"/>
      <c r="K75" s="174"/>
      <c r="L75" s="174"/>
      <c r="M75" s="174"/>
      <c r="N75" s="174"/>
      <c r="O75" s="40"/>
      <c r="Q75" s="176"/>
      <c r="R75" s="176"/>
      <c r="S75" s="174"/>
      <c r="T75" s="174"/>
      <c r="U75" s="166"/>
      <c r="V75" s="166"/>
      <c r="W75" s="174"/>
      <c r="X75" s="174"/>
      <c r="Y75" s="174"/>
      <c r="Z75" s="174"/>
    </row>
    <row r="76" spans="5:26" x14ac:dyDescent="0.4">
      <c r="O76" s="40"/>
    </row>
    <row r="82" spans="5:38" x14ac:dyDescent="0.4">
      <c r="E82" s="177" t="s">
        <v>815</v>
      </c>
      <c r="F82" s="178"/>
      <c r="G82" s="178"/>
      <c r="H82" s="178"/>
      <c r="I82" s="178"/>
      <c r="J82" s="178"/>
      <c r="K82" s="178"/>
      <c r="L82" s="179"/>
      <c r="M82" s="156">
        <v>0</v>
      </c>
      <c r="N82" s="156"/>
      <c r="Q82" s="177" t="s">
        <v>815</v>
      </c>
      <c r="R82" s="178"/>
      <c r="S82" s="178"/>
      <c r="T82" s="178"/>
      <c r="U82" s="178"/>
      <c r="V82" s="178"/>
      <c r="W82" s="178"/>
      <c r="X82" s="179"/>
      <c r="Y82" s="156">
        <v>1</v>
      </c>
      <c r="Z82" s="156"/>
    </row>
    <row r="83" spans="5:38" x14ac:dyDescent="0.4">
      <c r="E83" s="180"/>
      <c r="F83" s="181"/>
      <c r="G83" s="181"/>
      <c r="H83" s="181"/>
      <c r="I83" s="181"/>
      <c r="J83" s="181"/>
      <c r="K83" s="181"/>
      <c r="L83" s="182"/>
      <c r="M83" s="156"/>
      <c r="N83" s="156"/>
      <c r="Q83" s="180"/>
      <c r="R83" s="181"/>
      <c r="S83" s="181"/>
      <c r="T83" s="181"/>
      <c r="U83" s="181"/>
      <c r="V83" s="181"/>
      <c r="W83" s="181"/>
      <c r="X83" s="182"/>
      <c r="Y83" s="156"/>
      <c r="Z83" s="156"/>
    </row>
    <row r="92" spans="5:38" ht="20.25" customHeight="1" x14ac:dyDescent="0.4">
      <c r="E92" s="157" t="s">
        <v>1133</v>
      </c>
      <c r="F92" s="60"/>
      <c r="G92" s="60"/>
      <c r="H92" s="60"/>
      <c r="I92" s="60"/>
      <c r="J92" s="60"/>
      <c r="K92" s="173" t="s">
        <v>1134</v>
      </c>
      <c r="L92" s="131"/>
      <c r="M92" s="131"/>
      <c r="N92" s="131"/>
      <c r="O92" s="131"/>
      <c r="P92" s="131"/>
      <c r="Q92" s="131"/>
      <c r="R92" s="157" t="s">
        <v>1135</v>
      </c>
      <c r="S92" s="157"/>
      <c r="T92" s="157"/>
      <c r="U92" s="157"/>
      <c r="V92" s="157"/>
      <c r="W92" s="157"/>
      <c r="X92" s="157"/>
      <c r="Y92" s="173" t="s">
        <v>1136</v>
      </c>
      <c r="Z92" s="131"/>
      <c r="AA92" s="131"/>
      <c r="AB92" s="131"/>
      <c r="AC92" s="131"/>
      <c r="AD92" s="131"/>
      <c r="AE92" s="131"/>
      <c r="AF92" s="38"/>
      <c r="AG92" s="38"/>
      <c r="AH92" s="38"/>
      <c r="AI92" s="38"/>
      <c r="AJ92" s="38"/>
      <c r="AK92" s="38"/>
      <c r="AL92" s="38"/>
    </row>
    <row r="93" spans="5:38" x14ac:dyDescent="0.4">
      <c r="E93" s="60"/>
      <c r="F93" s="60"/>
      <c r="G93" s="60"/>
      <c r="H93" s="60"/>
      <c r="I93" s="60"/>
      <c r="J93" s="60"/>
      <c r="K93" s="131"/>
      <c r="L93" s="131"/>
      <c r="M93" s="131"/>
      <c r="N93" s="131"/>
      <c r="O93" s="131"/>
      <c r="P93" s="131"/>
      <c r="Q93" s="131"/>
      <c r="R93" s="157"/>
      <c r="S93" s="157"/>
      <c r="T93" s="157"/>
      <c r="U93" s="157"/>
      <c r="V93" s="157"/>
      <c r="W93" s="157"/>
      <c r="X93" s="157"/>
      <c r="Y93" s="131"/>
      <c r="Z93" s="131"/>
      <c r="AA93" s="131"/>
      <c r="AB93" s="131"/>
      <c r="AC93" s="131"/>
      <c r="AD93" s="131"/>
      <c r="AE93" s="131"/>
      <c r="AF93" s="38"/>
      <c r="AG93" s="38"/>
      <c r="AH93" s="38"/>
      <c r="AI93" s="38"/>
      <c r="AJ93" s="38"/>
      <c r="AK93" s="38"/>
      <c r="AL93" s="38"/>
    </row>
    <row r="98" spans="75:131" ht="21" thickBot="1" x14ac:dyDescent="0.45"/>
    <row r="99" spans="75:131" ht="21" customHeight="1" thickTop="1" x14ac:dyDescent="0.4">
      <c r="BW99" s="196" t="s">
        <v>0</v>
      </c>
      <c r="BX99" s="205"/>
      <c r="BY99" s="198" t="s">
        <v>1162</v>
      </c>
      <c r="BZ99" s="199"/>
      <c r="CA99" s="200"/>
      <c r="CB99" s="204" t="s">
        <v>0</v>
      </c>
      <c r="CC99" s="174"/>
      <c r="CD99" s="174" t="s">
        <v>1163</v>
      </c>
      <c r="CE99" s="174"/>
      <c r="CF99" s="174"/>
      <c r="CG99" s="196" t="s">
        <v>1164</v>
      </c>
      <c r="CH99" s="196"/>
      <c r="CI99" s="196"/>
      <c r="CJ99" s="196" t="s">
        <v>0</v>
      </c>
      <c r="CK99" s="196"/>
      <c r="CL99" s="196" t="s">
        <v>1165</v>
      </c>
      <c r="CM99" s="196"/>
      <c r="CN99" s="196"/>
      <c r="CO99" s="174" t="s">
        <v>0</v>
      </c>
      <c r="CP99" s="174"/>
      <c r="CQ99" s="196" t="s">
        <v>1168</v>
      </c>
      <c r="CR99" s="196"/>
      <c r="CS99" s="196"/>
      <c r="CT99" s="196" t="s">
        <v>0</v>
      </c>
      <c r="CU99" s="196"/>
      <c r="CV99" s="196" t="s">
        <v>1169</v>
      </c>
      <c r="CW99" s="196"/>
      <c r="CX99" s="196"/>
      <c r="CY99" s="196"/>
      <c r="CZ99" s="174" t="s">
        <v>0</v>
      </c>
      <c r="DA99" s="174"/>
      <c r="DB99" s="196" t="s">
        <v>1166</v>
      </c>
      <c r="DC99" s="196"/>
      <c r="DD99" s="196"/>
      <c r="DE99" s="196" t="s">
        <v>0</v>
      </c>
      <c r="DF99" s="196"/>
      <c r="DG99" s="196" t="s">
        <v>1167</v>
      </c>
      <c r="DH99" s="196"/>
      <c r="DI99" s="196"/>
      <c r="DJ99" s="174" t="s">
        <v>0</v>
      </c>
      <c r="DK99" s="174"/>
      <c r="DL99" s="47"/>
      <c r="DM99" s="47"/>
      <c r="DN99" s="47"/>
      <c r="DO99" s="47"/>
      <c r="DP99" s="47"/>
      <c r="DQ99" s="47"/>
      <c r="DR99" s="47"/>
      <c r="DS99" s="47"/>
      <c r="DT99" s="47"/>
      <c r="DU99" s="47"/>
      <c r="DV99" s="47"/>
      <c r="DW99" s="47"/>
      <c r="DX99" s="47"/>
      <c r="DY99" s="47"/>
      <c r="DZ99" s="47"/>
      <c r="EA99" s="47"/>
    </row>
    <row r="100" spans="75:131" ht="21" customHeight="1" thickBot="1" x14ac:dyDescent="0.45">
      <c r="BW100" s="196"/>
      <c r="BX100" s="205"/>
      <c r="BY100" s="201"/>
      <c r="BZ100" s="202"/>
      <c r="CA100" s="203"/>
      <c r="CB100" s="204"/>
      <c r="CC100" s="174"/>
      <c r="CD100" s="174"/>
      <c r="CE100" s="174"/>
      <c r="CF100" s="174"/>
      <c r="CG100" s="196"/>
      <c r="CH100" s="196"/>
      <c r="CI100" s="196"/>
      <c r="CJ100" s="196"/>
      <c r="CK100" s="196"/>
      <c r="CL100" s="196"/>
      <c r="CM100" s="196"/>
      <c r="CN100" s="196"/>
      <c r="CO100" s="174"/>
      <c r="CP100" s="174"/>
      <c r="CQ100" s="196"/>
      <c r="CR100" s="196"/>
      <c r="CS100" s="196"/>
      <c r="CT100" s="196"/>
      <c r="CU100" s="196"/>
      <c r="CV100" s="196"/>
      <c r="CW100" s="196"/>
      <c r="CX100" s="196"/>
      <c r="CY100" s="196"/>
      <c r="CZ100" s="174"/>
      <c r="DA100" s="174"/>
      <c r="DB100" s="196"/>
      <c r="DC100" s="196"/>
      <c r="DD100" s="196"/>
      <c r="DE100" s="196"/>
      <c r="DF100" s="196"/>
      <c r="DG100" s="196"/>
      <c r="DH100" s="196"/>
      <c r="DI100" s="196"/>
      <c r="DJ100" s="174"/>
      <c r="DK100" s="174"/>
      <c r="DL100" s="47"/>
      <c r="DM100" s="47"/>
      <c r="DN100" s="47"/>
      <c r="DO100" s="47"/>
      <c r="DP100" s="47"/>
      <c r="DQ100" s="47"/>
      <c r="DR100" s="47"/>
      <c r="DS100" s="47"/>
      <c r="DT100" s="47"/>
      <c r="DU100" s="47"/>
      <c r="DV100" s="47"/>
      <c r="DW100" s="47"/>
      <c r="DX100" s="47"/>
      <c r="DY100" s="47"/>
      <c r="DZ100" s="47"/>
      <c r="EA100" s="47"/>
    </row>
    <row r="101" spans="75:131" ht="21" thickTop="1" x14ac:dyDescent="0.4"/>
    <row r="107" spans="75:131" ht="20.25" customHeight="1" x14ac:dyDescent="0.4">
      <c r="BW107" s="206" t="s">
        <v>0</v>
      </c>
      <c r="BX107" s="206"/>
      <c r="BY107" s="174" t="s">
        <v>1162</v>
      </c>
      <c r="BZ107" s="174"/>
      <c r="CA107" s="174"/>
      <c r="CB107" s="207" t="s">
        <v>815</v>
      </c>
      <c r="CC107" s="208"/>
      <c r="CD107" s="208"/>
      <c r="CE107" s="208"/>
      <c r="CF107" s="211"/>
      <c r="CG107" s="196" t="s">
        <v>1164</v>
      </c>
      <c r="CH107" s="196"/>
      <c r="CI107" s="196"/>
      <c r="CJ107" s="207" t="s">
        <v>815</v>
      </c>
      <c r="CK107" s="208"/>
      <c r="CL107" s="208"/>
      <c r="CM107" s="208"/>
      <c r="CN107" s="211"/>
      <c r="CO107" s="206" t="s">
        <v>0</v>
      </c>
      <c r="CP107" s="206"/>
      <c r="CQ107" s="196" t="s">
        <v>1168</v>
      </c>
      <c r="CR107" s="196"/>
      <c r="CS107" s="196"/>
      <c r="CT107" s="207" t="s">
        <v>815</v>
      </c>
      <c r="CU107" s="208"/>
      <c r="CV107" s="208"/>
      <c r="CW107" s="208"/>
      <c r="CX107" s="208"/>
      <c r="CY107" s="208"/>
      <c r="CZ107" s="206" t="s">
        <v>0</v>
      </c>
      <c r="DA107" s="206"/>
      <c r="DB107" s="196" t="s">
        <v>1166</v>
      </c>
      <c r="DC107" s="196"/>
      <c r="DD107" s="196"/>
      <c r="DE107" s="207" t="s">
        <v>815</v>
      </c>
      <c r="DF107" s="208"/>
      <c r="DG107" s="208"/>
      <c r="DH107" s="208"/>
      <c r="DI107" s="208"/>
      <c r="DJ107" s="206" t="s">
        <v>0</v>
      </c>
      <c r="DK107" s="206"/>
    </row>
    <row r="108" spans="75:131" ht="20.25" customHeight="1" x14ac:dyDescent="0.4">
      <c r="BW108" s="206"/>
      <c r="BX108" s="206"/>
      <c r="BY108" s="174"/>
      <c r="BZ108" s="174"/>
      <c r="CA108" s="174"/>
      <c r="CB108" s="209"/>
      <c r="CC108" s="210"/>
      <c r="CD108" s="210"/>
      <c r="CE108" s="210"/>
      <c r="CF108" s="212"/>
      <c r="CG108" s="196"/>
      <c r="CH108" s="196"/>
      <c r="CI108" s="196"/>
      <c r="CJ108" s="209"/>
      <c r="CK108" s="210"/>
      <c r="CL108" s="210"/>
      <c r="CM108" s="210"/>
      <c r="CN108" s="212"/>
      <c r="CO108" s="206"/>
      <c r="CP108" s="206"/>
      <c r="CQ108" s="196"/>
      <c r="CR108" s="196"/>
      <c r="CS108" s="196"/>
      <c r="CT108" s="209"/>
      <c r="CU108" s="210"/>
      <c r="CV108" s="210"/>
      <c r="CW108" s="210"/>
      <c r="CX108" s="210"/>
      <c r="CY108" s="210"/>
      <c r="CZ108" s="206"/>
      <c r="DA108" s="206"/>
      <c r="DB108" s="196"/>
      <c r="DC108" s="196"/>
      <c r="DD108" s="196"/>
      <c r="DE108" s="209"/>
      <c r="DF108" s="210"/>
      <c r="DG108" s="210"/>
      <c r="DH108" s="210"/>
      <c r="DI108" s="210"/>
      <c r="DJ108" s="206"/>
      <c r="DK108" s="206"/>
    </row>
    <row r="115" spans="77:124" ht="21" customHeight="1" x14ac:dyDescent="0.4">
      <c r="BY115" s="174" t="s">
        <v>1174</v>
      </c>
      <c r="BZ115" s="174"/>
      <c r="CA115" s="174"/>
      <c r="CB115" s="174"/>
      <c r="CC115" s="174"/>
      <c r="CD115" s="174"/>
      <c r="CE115" s="174"/>
      <c r="CF115" s="174"/>
      <c r="CG115" s="196" t="s">
        <v>1172</v>
      </c>
      <c r="CH115" s="196"/>
      <c r="CI115" s="196"/>
      <c r="CJ115" s="196"/>
      <c r="CK115" s="196"/>
      <c r="CL115" s="196"/>
      <c r="CM115" s="196"/>
      <c r="CN115" s="196"/>
      <c r="CO115" s="174" t="s">
        <v>0</v>
      </c>
      <c r="CP115" s="174"/>
      <c r="CQ115" s="196" t="s">
        <v>1175</v>
      </c>
      <c r="CR115" s="196"/>
      <c r="CS115" s="196"/>
      <c r="CT115" s="196"/>
      <c r="CU115" s="196"/>
      <c r="CV115" s="196"/>
      <c r="CW115" s="196"/>
      <c r="CX115" s="196"/>
      <c r="CY115" s="196"/>
      <c r="CZ115" s="131" t="s">
        <v>814</v>
      </c>
      <c r="DA115" s="131"/>
      <c r="DC115" s="214" t="s">
        <v>1177</v>
      </c>
      <c r="DD115" s="214"/>
      <c r="DE115" s="214"/>
      <c r="DF115" s="214"/>
      <c r="DG115" s="214"/>
      <c r="DH115" s="214"/>
      <c r="DI115" s="214"/>
      <c r="DJ115" s="47"/>
      <c r="DK115" s="47"/>
      <c r="DL115" s="47"/>
      <c r="DP115" s="213"/>
      <c r="DQ115" s="213"/>
      <c r="DR115" s="213"/>
      <c r="DS115" s="213"/>
      <c r="DT115" s="213"/>
    </row>
    <row r="116" spans="77:124" ht="21" customHeight="1" x14ac:dyDescent="0.4">
      <c r="BY116" s="174"/>
      <c r="BZ116" s="174"/>
      <c r="CA116" s="174"/>
      <c r="CB116" s="174"/>
      <c r="CC116" s="174"/>
      <c r="CD116" s="174"/>
      <c r="CE116" s="174"/>
      <c r="CF116" s="174"/>
      <c r="CG116" s="196"/>
      <c r="CH116" s="196"/>
      <c r="CI116" s="196"/>
      <c r="CJ116" s="196"/>
      <c r="CK116" s="196"/>
      <c r="CL116" s="196"/>
      <c r="CM116" s="196"/>
      <c r="CN116" s="196"/>
      <c r="CO116" s="174"/>
      <c r="CP116" s="174"/>
      <c r="CQ116" s="196"/>
      <c r="CR116" s="196"/>
      <c r="CS116" s="196"/>
      <c r="CT116" s="196"/>
      <c r="CU116" s="196"/>
      <c r="CV116" s="196"/>
      <c r="CW116" s="196"/>
      <c r="CX116" s="196"/>
      <c r="CY116" s="196"/>
      <c r="CZ116" s="131"/>
      <c r="DA116" s="131"/>
      <c r="DC116" s="214"/>
      <c r="DD116" s="214"/>
      <c r="DE116" s="214"/>
      <c r="DF116" s="214"/>
      <c r="DG116" s="214"/>
      <c r="DH116" s="214"/>
      <c r="DI116" s="214"/>
      <c r="DJ116" s="47"/>
      <c r="DK116" s="47"/>
      <c r="DL116" s="47"/>
      <c r="DP116" s="213"/>
      <c r="DQ116" s="213"/>
      <c r="DR116" s="213"/>
      <c r="DS116" s="213"/>
      <c r="DT116" s="213"/>
    </row>
    <row r="123" spans="77:124" ht="20.25" customHeight="1" x14ac:dyDescent="0.4">
      <c r="BY123" s="174" t="s">
        <v>1171</v>
      </c>
      <c r="BZ123" s="174"/>
      <c r="CA123" s="174"/>
      <c r="CB123" s="174"/>
      <c r="CC123" s="174"/>
      <c r="CD123" s="174"/>
      <c r="CE123" s="174"/>
      <c r="CF123" s="174"/>
      <c r="CG123" s="196" t="s">
        <v>1173</v>
      </c>
      <c r="CH123" s="196"/>
      <c r="CI123" s="196"/>
      <c r="CJ123" s="196"/>
      <c r="CK123" s="196"/>
      <c r="CL123" s="196"/>
      <c r="CM123" s="196"/>
      <c r="CN123" s="196"/>
      <c r="CO123" s="174" t="s">
        <v>0</v>
      </c>
      <c r="CP123" s="174"/>
      <c r="CQ123" s="196" t="s">
        <v>1170</v>
      </c>
      <c r="CR123" s="196"/>
      <c r="CS123" s="196"/>
      <c r="CT123" s="196"/>
      <c r="CU123" s="196"/>
      <c r="CV123" s="196"/>
      <c r="CW123" s="196"/>
      <c r="CX123" s="196"/>
      <c r="CY123" s="196"/>
    </row>
    <row r="124" spans="77:124" ht="20.25" customHeight="1" x14ac:dyDescent="0.4">
      <c r="BY124" s="174"/>
      <c r="BZ124" s="174"/>
      <c r="CA124" s="174"/>
      <c r="CB124" s="174"/>
      <c r="CC124" s="174"/>
      <c r="CD124" s="174"/>
      <c r="CE124" s="174"/>
      <c r="CF124" s="174"/>
      <c r="CG124" s="196"/>
      <c r="CH124" s="196"/>
      <c r="CI124" s="196"/>
      <c r="CJ124" s="196"/>
      <c r="CK124" s="196"/>
      <c r="CL124" s="196"/>
      <c r="CM124" s="196"/>
      <c r="CN124" s="196"/>
      <c r="CO124" s="174"/>
      <c r="CP124" s="174"/>
      <c r="CQ124" s="196"/>
      <c r="CR124" s="196"/>
      <c r="CS124" s="196"/>
      <c r="CT124" s="196"/>
      <c r="CU124" s="196"/>
      <c r="CV124" s="196"/>
      <c r="CW124" s="196"/>
      <c r="CX124" s="196"/>
      <c r="CY124" s="196"/>
    </row>
    <row r="127" spans="77:124" x14ac:dyDescent="0.4">
      <c r="BY127" s="196" t="s">
        <v>1176</v>
      </c>
      <c r="BZ127" s="196"/>
      <c r="CA127" s="196"/>
      <c r="CB127" s="207" t="s">
        <v>815</v>
      </c>
      <c r="CC127" s="208"/>
      <c r="CD127" s="208"/>
      <c r="CE127" s="208"/>
      <c r="CF127" s="211"/>
      <c r="CG127" s="196" t="s">
        <v>1164</v>
      </c>
      <c r="CH127" s="196"/>
      <c r="CI127" s="196"/>
      <c r="CJ127" s="207" t="s">
        <v>815</v>
      </c>
      <c r="CK127" s="208"/>
      <c r="CL127" s="208"/>
      <c r="CM127" s="208"/>
      <c r="CN127" s="211"/>
      <c r="CO127" s="206" t="s">
        <v>0</v>
      </c>
      <c r="CP127" s="206"/>
      <c r="CQ127" s="196" t="s">
        <v>1168</v>
      </c>
      <c r="CR127" s="196"/>
      <c r="CS127" s="196"/>
      <c r="CT127" s="207" t="s">
        <v>815</v>
      </c>
      <c r="CU127" s="208"/>
      <c r="CV127" s="208"/>
      <c r="CW127" s="208"/>
      <c r="CX127" s="208"/>
      <c r="CY127" s="208"/>
      <c r="CZ127" s="206" t="s">
        <v>0</v>
      </c>
      <c r="DA127" s="206"/>
      <c r="DB127" s="196" t="s">
        <v>1166</v>
      </c>
      <c r="DC127" s="196"/>
      <c r="DD127" s="196"/>
      <c r="DE127" s="207" t="s">
        <v>815</v>
      </c>
      <c r="DF127" s="208"/>
      <c r="DG127" s="208"/>
      <c r="DH127" s="208"/>
      <c r="DI127" s="211"/>
    </row>
    <row r="128" spans="77:124" x14ac:dyDescent="0.4">
      <c r="BY128" s="196"/>
      <c r="BZ128" s="196"/>
      <c r="CA128" s="196"/>
      <c r="CB128" s="209"/>
      <c r="CC128" s="210"/>
      <c r="CD128" s="210"/>
      <c r="CE128" s="210"/>
      <c r="CF128" s="212"/>
      <c r="CG128" s="196"/>
      <c r="CH128" s="196"/>
      <c r="CI128" s="196"/>
      <c r="CJ128" s="209"/>
      <c r="CK128" s="210"/>
      <c r="CL128" s="210"/>
      <c r="CM128" s="210"/>
      <c r="CN128" s="212"/>
      <c r="CO128" s="206"/>
      <c r="CP128" s="206"/>
      <c r="CQ128" s="196"/>
      <c r="CR128" s="196"/>
      <c r="CS128" s="196"/>
      <c r="CT128" s="209"/>
      <c r="CU128" s="210"/>
      <c r="CV128" s="210"/>
      <c r="CW128" s="210"/>
      <c r="CX128" s="210"/>
      <c r="CY128" s="210"/>
      <c r="CZ128" s="206"/>
      <c r="DA128" s="206"/>
      <c r="DB128" s="196"/>
      <c r="DC128" s="196"/>
      <c r="DD128" s="196"/>
      <c r="DE128" s="209"/>
      <c r="DF128" s="210"/>
      <c r="DG128" s="210"/>
      <c r="DH128" s="210"/>
      <c r="DI128" s="212"/>
    </row>
  </sheetData>
  <mergeCells count="122">
    <mergeCell ref="BY115:CF116"/>
    <mergeCell ref="DC115:DI116"/>
    <mergeCell ref="BY127:CA128"/>
    <mergeCell ref="CB127:CF128"/>
    <mergeCell ref="CG127:CI128"/>
    <mergeCell ref="CJ127:CN128"/>
    <mergeCell ref="CO127:CP128"/>
    <mergeCell ref="BY123:CF124"/>
    <mergeCell ref="CG123:CN124"/>
    <mergeCell ref="CO123:CP124"/>
    <mergeCell ref="CQ123:CY124"/>
    <mergeCell ref="CT107:CY108"/>
    <mergeCell ref="CG107:CI108"/>
    <mergeCell ref="CO107:CP108"/>
    <mergeCell ref="CQ107:CS108"/>
    <mergeCell ref="DP115:DT116"/>
    <mergeCell ref="CQ115:CY116"/>
    <mergeCell ref="CZ115:DA116"/>
    <mergeCell ref="CQ127:CS128"/>
    <mergeCell ref="CT127:CY128"/>
    <mergeCell ref="CZ127:DA128"/>
    <mergeCell ref="DB127:DD128"/>
    <mergeCell ref="DE127:DI128"/>
    <mergeCell ref="CG115:CN116"/>
    <mergeCell ref="CO115:CP116"/>
    <mergeCell ref="BW99:BX100"/>
    <mergeCell ref="BW107:BX108"/>
    <mergeCell ref="BY107:CA108"/>
    <mergeCell ref="DB99:DD100"/>
    <mergeCell ref="DE99:DF100"/>
    <mergeCell ref="DG99:DI100"/>
    <mergeCell ref="DJ99:DK100"/>
    <mergeCell ref="CZ99:DA100"/>
    <mergeCell ref="CL99:CN100"/>
    <mergeCell ref="CO99:CP100"/>
    <mergeCell ref="CQ99:CS100"/>
    <mergeCell ref="CT99:CU100"/>
    <mergeCell ref="CV99:CY100"/>
    <mergeCell ref="BY99:CA100"/>
    <mergeCell ref="CB99:CC100"/>
    <mergeCell ref="CD99:CF100"/>
    <mergeCell ref="CG99:CI100"/>
    <mergeCell ref="CJ99:CK100"/>
    <mergeCell ref="DB107:DD108"/>
    <mergeCell ref="DE107:DI108"/>
    <mergeCell ref="DJ107:DK108"/>
    <mergeCell ref="CZ107:DA108"/>
    <mergeCell ref="CB107:CF108"/>
    <mergeCell ref="CJ107:CN108"/>
    <mergeCell ref="G74:H75"/>
    <mergeCell ref="I74:J75"/>
    <mergeCell ref="K74:L75"/>
    <mergeCell ref="M74:N75"/>
    <mergeCell ref="Q74:R75"/>
    <mergeCell ref="S74:T75"/>
    <mergeCell ref="U74:V75"/>
    <mergeCell ref="W74:X75"/>
    <mergeCell ref="Y74:Z75"/>
    <mergeCell ref="U7:X8"/>
    <mergeCell ref="Y7:AD8"/>
    <mergeCell ref="G15:L16"/>
    <mergeCell ref="M15:P16"/>
    <mergeCell ref="D7:H8"/>
    <mergeCell ref="I7:N8"/>
    <mergeCell ref="O7:T8"/>
    <mergeCell ref="BJ23:BL24"/>
    <mergeCell ref="BM23:BN24"/>
    <mergeCell ref="BO23:BQ24"/>
    <mergeCell ref="BR23:BS24"/>
    <mergeCell ref="Q41:V41"/>
    <mergeCell ref="AW23:AY24"/>
    <mergeCell ref="AZ23:BB24"/>
    <mergeCell ref="BC23:BD24"/>
    <mergeCell ref="BE23:BG24"/>
    <mergeCell ref="BH23:BI24"/>
    <mergeCell ref="AR23:AT24"/>
    <mergeCell ref="AR33:AV34"/>
    <mergeCell ref="AU23:AV24"/>
    <mergeCell ref="Q42:V42"/>
    <mergeCell ref="BO33:BQ34"/>
    <mergeCell ref="BR33:BS34"/>
    <mergeCell ref="AW33:AY34"/>
    <mergeCell ref="AZ33:BD34"/>
    <mergeCell ref="BE33:BG34"/>
    <mergeCell ref="BH33:BI34"/>
    <mergeCell ref="BJ33:BN34"/>
    <mergeCell ref="Y92:AE93"/>
    <mergeCell ref="AD58:AI58"/>
    <mergeCell ref="AD60:AI60"/>
    <mergeCell ref="Q59:R60"/>
    <mergeCell ref="S59:T60"/>
    <mergeCell ref="U59:V60"/>
    <mergeCell ref="W59:X60"/>
    <mergeCell ref="Y59:Z60"/>
    <mergeCell ref="Q82:X83"/>
    <mergeCell ref="Y82:Z83"/>
    <mergeCell ref="Q67:X68"/>
    <mergeCell ref="Y67:Z68"/>
    <mergeCell ref="E92:J93"/>
    <mergeCell ref="K92:Q93"/>
    <mergeCell ref="R92:X93"/>
    <mergeCell ref="M43:N44"/>
    <mergeCell ref="Q44:V44"/>
    <mergeCell ref="E51:F52"/>
    <mergeCell ref="G51:H52"/>
    <mergeCell ref="I51:J52"/>
    <mergeCell ref="K51:L52"/>
    <mergeCell ref="M51:N52"/>
    <mergeCell ref="E43:F44"/>
    <mergeCell ref="G43:H44"/>
    <mergeCell ref="I43:J44"/>
    <mergeCell ref="K43:L44"/>
    <mergeCell ref="M67:N68"/>
    <mergeCell ref="M59:N60"/>
    <mergeCell ref="E67:L68"/>
    <mergeCell ref="E59:F60"/>
    <mergeCell ref="G59:H60"/>
    <mergeCell ref="I59:J60"/>
    <mergeCell ref="K59:L60"/>
    <mergeCell ref="E82:L83"/>
    <mergeCell ref="M82:N83"/>
    <mergeCell ref="E74:F75"/>
  </mergeCells>
  <phoneticPr fontId="1"/>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B25D21-DFB1-4CFE-8F94-3ECC73064D5E}">
  <dimension ref="N131"/>
  <sheetViews>
    <sheetView zoomScale="25" zoomScaleNormal="25" workbookViewId="0">
      <selection activeCell="N131" sqref="N131"/>
    </sheetView>
  </sheetViews>
  <sheetFormatPr defaultRowHeight="18.75" x14ac:dyDescent="0.4"/>
  <sheetData>
    <row r="131" spans="14:14" x14ac:dyDescent="0.4">
      <c r="N131" t="s">
        <v>441</v>
      </c>
    </row>
  </sheetData>
  <phoneticPr fontId="1"/>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F130FA-1229-49F6-90A6-C42C067A02FB}">
  <dimension ref="H2:BG181"/>
  <sheetViews>
    <sheetView showGridLines="0" zoomScale="40" zoomScaleNormal="40" workbookViewId="0">
      <selection activeCell="BY189" sqref="BY189"/>
    </sheetView>
  </sheetViews>
  <sheetFormatPr defaultRowHeight="18.75" x14ac:dyDescent="0.4"/>
  <cols>
    <col min="1" max="284" width="3.625" customWidth="1"/>
  </cols>
  <sheetData>
    <row r="2" spans="8:41" x14ac:dyDescent="0.4">
      <c r="H2" s="215" t="s">
        <v>261</v>
      </c>
      <c r="I2" s="216"/>
      <c r="J2" s="216"/>
      <c r="K2" s="216"/>
      <c r="L2" s="216"/>
      <c r="M2" s="216"/>
      <c r="N2" s="217"/>
      <c r="O2" s="218" t="s">
        <v>262</v>
      </c>
      <c r="P2" s="219"/>
      <c r="Q2" s="219"/>
      <c r="R2" s="219"/>
      <c r="S2" s="219"/>
      <c r="T2" s="219"/>
      <c r="U2" s="219"/>
      <c r="V2" s="219"/>
      <c r="W2" s="218" t="s">
        <v>249</v>
      </c>
      <c r="X2" s="219"/>
      <c r="Y2" s="220"/>
    </row>
    <row r="3" spans="8:41" x14ac:dyDescent="0.4">
      <c r="H3" s="215" t="s">
        <v>263</v>
      </c>
      <c r="I3" s="216"/>
      <c r="J3" s="216"/>
      <c r="K3" s="216"/>
      <c r="L3" s="216"/>
      <c r="M3" s="216"/>
      <c r="N3" s="217"/>
      <c r="O3" s="218" t="s">
        <v>264</v>
      </c>
      <c r="P3" s="219"/>
      <c r="Q3" s="219"/>
      <c r="R3" s="219"/>
      <c r="S3" s="219"/>
      <c r="T3" s="219"/>
      <c r="U3" s="219"/>
      <c r="V3" s="219"/>
      <c r="W3" s="218" t="s">
        <v>250</v>
      </c>
      <c r="X3" s="219"/>
      <c r="Y3" s="220"/>
    </row>
    <row r="4" spans="8:41" x14ac:dyDescent="0.4">
      <c r="H4" s="223" t="s">
        <v>265</v>
      </c>
      <c r="I4" s="223"/>
      <c r="J4" s="223"/>
      <c r="K4" s="223"/>
      <c r="L4" s="223"/>
      <c r="M4" s="223"/>
      <c r="N4" s="223"/>
      <c r="O4" s="224" t="s">
        <v>266</v>
      </c>
      <c r="P4" s="224"/>
      <c r="Q4" s="224"/>
      <c r="R4" s="224"/>
      <c r="S4" s="224"/>
      <c r="T4" s="224"/>
      <c r="U4" s="224"/>
      <c r="V4" s="224"/>
      <c r="W4" s="225" t="s">
        <v>251</v>
      </c>
      <c r="X4" s="224"/>
      <c r="Y4" s="224"/>
    </row>
    <row r="5" spans="8:41" ht="18.75" customHeight="1" x14ac:dyDescent="0.4">
      <c r="H5" s="131" t="s">
        <v>267</v>
      </c>
      <c r="I5" s="131"/>
      <c r="J5" s="131"/>
      <c r="K5" s="131"/>
      <c r="L5" s="131"/>
      <c r="M5" s="131"/>
      <c r="N5" s="131"/>
      <c r="O5" s="221" t="s">
        <v>268</v>
      </c>
      <c r="P5" s="221"/>
      <c r="Q5" s="221"/>
      <c r="R5" s="221"/>
      <c r="S5" s="221"/>
      <c r="T5" s="221"/>
      <c r="U5" s="221"/>
      <c r="V5" s="221"/>
      <c r="W5" s="221" t="s">
        <v>252</v>
      </c>
      <c r="X5" s="221"/>
      <c r="Y5" s="221"/>
    </row>
    <row r="6" spans="8:41" x14ac:dyDescent="0.4">
      <c r="H6" s="131" t="s">
        <v>269</v>
      </c>
      <c r="I6" s="131"/>
      <c r="J6" s="131"/>
      <c r="K6" s="131"/>
      <c r="L6" s="131"/>
      <c r="M6" s="131"/>
      <c r="N6" s="131"/>
      <c r="O6" s="221" t="s">
        <v>270</v>
      </c>
      <c r="P6" s="221"/>
      <c r="Q6" s="221"/>
      <c r="R6" s="221"/>
      <c r="S6" s="221"/>
      <c r="T6" s="221"/>
      <c r="U6" s="221"/>
      <c r="V6" s="221"/>
      <c r="W6" s="222" t="s">
        <v>253</v>
      </c>
      <c r="X6" s="221"/>
      <c r="Y6" s="221"/>
    </row>
    <row r="7" spans="8:41" x14ac:dyDescent="0.4">
      <c r="H7" s="131" t="s">
        <v>271</v>
      </c>
      <c r="I7" s="131"/>
      <c r="J7" s="131"/>
      <c r="K7" s="131"/>
      <c r="L7" s="131"/>
      <c r="M7" s="131"/>
      <c r="N7" s="131"/>
      <c r="O7" s="221" t="s">
        <v>272</v>
      </c>
      <c r="P7" s="221"/>
      <c r="Q7" s="221"/>
      <c r="R7" s="221"/>
      <c r="S7" s="221"/>
      <c r="T7" s="221"/>
      <c r="U7" s="221"/>
      <c r="V7" s="221"/>
      <c r="W7" s="221" t="s">
        <v>254</v>
      </c>
      <c r="X7" s="221"/>
      <c r="Y7" s="221"/>
    </row>
    <row r="8" spans="8:41" x14ac:dyDescent="0.4">
      <c r="H8" s="131" t="s">
        <v>273</v>
      </c>
      <c r="I8" s="131"/>
      <c r="J8" s="131"/>
      <c r="K8" s="131"/>
      <c r="L8" s="131"/>
      <c r="M8" s="131"/>
      <c r="N8" s="131"/>
      <c r="O8" s="221" t="s">
        <v>274</v>
      </c>
      <c r="P8" s="221"/>
      <c r="Q8" s="221"/>
      <c r="R8" s="221"/>
      <c r="S8" s="221"/>
      <c r="T8" s="221"/>
      <c r="U8" s="221"/>
      <c r="V8" s="221"/>
      <c r="W8" s="222" t="s">
        <v>255</v>
      </c>
      <c r="X8" s="221"/>
      <c r="Y8" s="221"/>
    </row>
    <row r="9" spans="8:41" x14ac:dyDescent="0.4">
      <c r="H9" s="131" t="s">
        <v>275</v>
      </c>
      <c r="I9" s="131"/>
      <c r="J9" s="131"/>
      <c r="K9" s="131"/>
      <c r="L9" s="131"/>
      <c r="M9" s="131"/>
      <c r="N9" s="131"/>
      <c r="O9" s="221" t="s">
        <v>276</v>
      </c>
      <c r="P9" s="221"/>
      <c r="Q9" s="221"/>
      <c r="R9" s="221"/>
      <c r="S9" s="221"/>
      <c r="T9" s="221"/>
      <c r="U9" s="221"/>
      <c r="V9" s="221"/>
      <c r="W9" s="221" t="s">
        <v>256</v>
      </c>
      <c r="X9" s="221"/>
      <c r="Y9" s="221"/>
      <c r="AG9" s="1"/>
      <c r="AH9" s="1"/>
      <c r="AI9" s="1"/>
      <c r="AJ9" s="1"/>
      <c r="AK9" s="1"/>
      <c r="AL9" s="1"/>
      <c r="AM9" s="1"/>
      <c r="AN9" s="1"/>
      <c r="AO9" s="1"/>
    </row>
    <row r="10" spans="8:41" x14ac:dyDescent="0.4">
      <c r="H10" s="131" t="s">
        <v>277</v>
      </c>
      <c r="I10" s="131"/>
      <c r="J10" s="131"/>
      <c r="K10" s="131"/>
      <c r="L10" s="131"/>
      <c r="M10" s="131"/>
      <c r="N10" s="131"/>
      <c r="O10" s="221" t="s">
        <v>278</v>
      </c>
      <c r="P10" s="221"/>
      <c r="Q10" s="221"/>
      <c r="R10" s="221"/>
      <c r="S10" s="221"/>
      <c r="T10" s="221"/>
      <c r="U10" s="221"/>
      <c r="V10" s="221"/>
      <c r="W10" s="222" t="s">
        <v>257</v>
      </c>
      <c r="X10" s="221"/>
      <c r="Y10" s="221"/>
      <c r="AG10" s="1"/>
      <c r="AH10" s="1"/>
      <c r="AI10" s="1"/>
      <c r="AJ10" s="1"/>
      <c r="AK10" s="1"/>
      <c r="AL10" s="1"/>
      <c r="AM10" s="1"/>
      <c r="AN10" s="1"/>
      <c r="AO10" s="1"/>
    </row>
    <row r="11" spans="8:41" x14ac:dyDescent="0.4">
      <c r="H11" s="131" t="s">
        <v>279</v>
      </c>
      <c r="I11" s="131"/>
      <c r="J11" s="131"/>
      <c r="K11" s="131"/>
      <c r="L11" s="131"/>
      <c r="M11" s="131"/>
      <c r="N11" s="131"/>
      <c r="O11" s="221" t="s">
        <v>280</v>
      </c>
      <c r="P11" s="221"/>
      <c r="Q11" s="221"/>
      <c r="R11" s="221"/>
      <c r="S11" s="221"/>
      <c r="T11" s="221"/>
      <c r="U11" s="221"/>
      <c r="V11" s="221"/>
      <c r="W11" s="221" t="s">
        <v>561</v>
      </c>
      <c r="X11" s="221"/>
      <c r="Y11" s="221"/>
      <c r="AG11" s="1"/>
      <c r="AH11" s="1"/>
      <c r="AI11" s="1"/>
      <c r="AJ11" s="1"/>
      <c r="AK11" s="1"/>
      <c r="AL11" s="1"/>
      <c r="AM11" s="1"/>
      <c r="AN11" s="1"/>
      <c r="AO11" s="1"/>
    </row>
    <row r="12" spans="8:41" x14ac:dyDescent="0.4">
      <c r="H12" s="131" t="s">
        <v>281</v>
      </c>
      <c r="I12" s="131"/>
      <c r="J12" s="131"/>
      <c r="K12" s="131"/>
      <c r="L12" s="131"/>
      <c r="M12" s="131"/>
      <c r="N12" s="131"/>
      <c r="O12" s="221" t="s">
        <v>282</v>
      </c>
      <c r="P12" s="221"/>
      <c r="Q12" s="221"/>
      <c r="R12" s="221"/>
      <c r="S12" s="221"/>
      <c r="T12" s="221"/>
      <c r="U12" s="221"/>
      <c r="V12" s="221"/>
      <c r="W12" s="222" t="s">
        <v>562</v>
      </c>
      <c r="X12" s="221"/>
      <c r="Y12" s="221"/>
      <c r="AG12" s="1"/>
      <c r="AH12" s="1"/>
      <c r="AI12" s="1"/>
      <c r="AJ12" s="1"/>
      <c r="AK12" s="1"/>
      <c r="AL12" s="1"/>
      <c r="AM12" s="1"/>
      <c r="AN12" s="1"/>
      <c r="AO12" s="1"/>
    </row>
    <row r="13" spans="8:41" x14ac:dyDescent="0.4">
      <c r="H13" s="131" t="s">
        <v>283</v>
      </c>
      <c r="I13" s="131"/>
      <c r="J13" s="131"/>
      <c r="K13" s="131"/>
      <c r="L13" s="131"/>
      <c r="M13" s="131"/>
      <c r="N13" s="131"/>
      <c r="O13" s="221" t="s">
        <v>284</v>
      </c>
      <c r="P13" s="221"/>
      <c r="Q13" s="221"/>
      <c r="R13" s="221"/>
      <c r="S13" s="221"/>
      <c r="T13" s="221"/>
      <c r="U13" s="221"/>
      <c r="V13" s="221"/>
      <c r="W13" s="221" t="s">
        <v>563</v>
      </c>
      <c r="X13" s="221"/>
      <c r="Y13" s="221"/>
      <c r="AG13" s="1"/>
      <c r="AH13" s="1"/>
      <c r="AI13" s="1"/>
      <c r="AJ13" s="1"/>
      <c r="AK13" s="1"/>
      <c r="AL13" s="1"/>
      <c r="AM13" s="1"/>
      <c r="AN13" s="1"/>
      <c r="AO13" s="1"/>
    </row>
    <row r="14" spans="8:41" x14ac:dyDescent="0.4">
      <c r="H14" s="131" t="s">
        <v>285</v>
      </c>
      <c r="I14" s="131"/>
      <c r="J14" s="131"/>
      <c r="K14" s="131"/>
      <c r="L14" s="131"/>
      <c r="M14" s="131"/>
      <c r="N14" s="131"/>
      <c r="O14" s="221" t="s">
        <v>286</v>
      </c>
      <c r="P14" s="221"/>
      <c r="Q14" s="221"/>
      <c r="R14" s="221"/>
      <c r="S14" s="221"/>
      <c r="T14" s="221"/>
      <c r="U14" s="221"/>
      <c r="V14" s="221"/>
      <c r="W14" s="222" t="s">
        <v>564</v>
      </c>
      <c r="X14" s="221"/>
      <c r="Y14" s="221"/>
      <c r="AG14" s="1"/>
      <c r="AH14" s="1"/>
      <c r="AI14" s="1"/>
      <c r="AJ14" s="1"/>
      <c r="AK14" s="1"/>
      <c r="AL14" s="1"/>
      <c r="AM14" s="1"/>
      <c r="AN14" s="1"/>
      <c r="AO14" s="1"/>
    </row>
    <row r="15" spans="8:41" x14ac:dyDescent="0.4">
      <c r="H15" s="131" t="s">
        <v>287</v>
      </c>
      <c r="I15" s="131"/>
      <c r="J15" s="131"/>
      <c r="K15" s="131"/>
      <c r="L15" s="131"/>
      <c r="M15" s="131"/>
      <c r="N15" s="131"/>
      <c r="O15" s="221" t="s">
        <v>288</v>
      </c>
      <c r="P15" s="221"/>
      <c r="Q15" s="221"/>
      <c r="R15" s="221"/>
      <c r="S15" s="221"/>
      <c r="T15" s="221"/>
      <c r="U15" s="221"/>
      <c r="V15" s="221"/>
      <c r="W15" s="221" t="s">
        <v>565</v>
      </c>
      <c r="X15" s="221"/>
      <c r="Y15" s="221"/>
      <c r="AG15" s="1"/>
      <c r="AH15" s="1"/>
      <c r="AI15" s="1"/>
      <c r="AJ15" s="1"/>
      <c r="AK15" s="1"/>
      <c r="AL15" s="1"/>
      <c r="AM15" s="1"/>
      <c r="AN15" s="1"/>
      <c r="AO15" s="1"/>
    </row>
    <row r="16" spans="8:41" x14ac:dyDescent="0.4">
      <c r="H16" s="131" t="s">
        <v>289</v>
      </c>
      <c r="I16" s="131"/>
      <c r="J16" s="131"/>
      <c r="K16" s="131"/>
      <c r="L16" s="131"/>
      <c r="M16" s="131"/>
      <c r="N16" s="131"/>
      <c r="O16" s="221" t="s">
        <v>290</v>
      </c>
      <c r="P16" s="221"/>
      <c r="Q16" s="221"/>
      <c r="R16" s="221"/>
      <c r="S16" s="221"/>
      <c r="T16" s="221"/>
      <c r="U16" s="221"/>
      <c r="V16" s="221"/>
      <c r="W16" s="222" t="s">
        <v>566</v>
      </c>
      <c r="X16" s="221"/>
      <c r="Y16" s="221"/>
      <c r="AG16" s="1"/>
      <c r="AH16" s="1"/>
      <c r="AI16" s="1"/>
      <c r="AJ16" s="1"/>
      <c r="AK16" s="1"/>
      <c r="AL16" s="1"/>
      <c r="AM16" s="1"/>
      <c r="AN16" s="1"/>
      <c r="AO16" s="1"/>
    </row>
    <row r="17" spans="8:41" x14ac:dyDescent="0.4">
      <c r="H17" s="131" t="s">
        <v>291</v>
      </c>
      <c r="I17" s="131"/>
      <c r="J17" s="131"/>
      <c r="K17" s="131"/>
      <c r="L17" s="131"/>
      <c r="M17" s="131"/>
      <c r="N17" s="131"/>
      <c r="O17" s="221" t="s">
        <v>292</v>
      </c>
      <c r="P17" s="221"/>
      <c r="Q17" s="221"/>
      <c r="R17" s="221"/>
      <c r="S17" s="221"/>
      <c r="T17" s="221"/>
      <c r="U17" s="221"/>
      <c r="V17" s="221"/>
      <c r="W17" s="221" t="s">
        <v>567</v>
      </c>
      <c r="X17" s="221"/>
      <c r="Y17" s="221"/>
      <c r="AG17" s="1"/>
      <c r="AH17" s="1"/>
      <c r="AI17" s="1"/>
      <c r="AJ17" s="1"/>
      <c r="AK17" s="1"/>
      <c r="AL17" s="1"/>
      <c r="AM17" s="1"/>
      <c r="AN17" s="1"/>
      <c r="AO17" s="1"/>
    </row>
    <row r="18" spans="8:41" x14ac:dyDescent="0.4">
      <c r="H18" s="131" t="s">
        <v>293</v>
      </c>
      <c r="I18" s="131"/>
      <c r="J18" s="131"/>
      <c r="K18" s="131"/>
      <c r="L18" s="131"/>
      <c r="M18" s="131"/>
      <c r="N18" s="131"/>
      <c r="O18" s="221" t="s">
        <v>294</v>
      </c>
      <c r="P18" s="221"/>
      <c r="Q18" s="221"/>
      <c r="R18" s="221"/>
      <c r="S18" s="221"/>
      <c r="T18" s="221"/>
      <c r="U18" s="221"/>
      <c r="V18" s="221"/>
      <c r="W18" s="222" t="s">
        <v>568</v>
      </c>
      <c r="X18" s="221"/>
      <c r="Y18" s="221"/>
      <c r="AG18" s="1"/>
      <c r="AH18" s="1"/>
      <c r="AI18" s="1"/>
      <c r="AJ18" s="1"/>
      <c r="AK18" s="1"/>
      <c r="AL18" s="1"/>
      <c r="AM18" s="1"/>
      <c r="AN18" s="1"/>
      <c r="AO18" s="1"/>
    </row>
    <row r="19" spans="8:41" x14ac:dyDescent="0.4">
      <c r="H19" s="223" t="s">
        <v>295</v>
      </c>
      <c r="I19" s="223"/>
      <c r="J19" s="223"/>
      <c r="K19" s="223"/>
      <c r="L19" s="223"/>
      <c r="M19" s="223"/>
      <c r="N19" s="223"/>
      <c r="O19" s="224" t="s">
        <v>296</v>
      </c>
      <c r="P19" s="224"/>
      <c r="Q19" s="224"/>
      <c r="R19" s="224"/>
      <c r="S19" s="224"/>
      <c r="T19" s="224"/>
      <c r="U19" s="224"/>
      <c r="V19" s="224"/>
      <c r="W19" s="225" t="s">
        <v>569</v>
      </c>
      <c r="X19" s="224"/>
      <c r="Y19" s="224"/>
      <c r="AG19" s="1"/>
      <c r="AH19" s="1"/>
      <c r="AI19" s="1"/>
      <c r="AJ19" s="1"/>
      <c r="AK19" s="1"/>
      <c r="AL19" s="1"/>
      <c r="AM19" s="1"/>
      <c r="AN19" s="1"/>
      <c r="AO19" s="1"/>
    </row>
    <row r="20" spans="8:41" x14ac:dyDescent="0.4">
      <c r="H20" s="131" t="s">
        <v>297</v>
      </c>
      <c r="I20" s="131"/>
      <c r="J20" s="131"/>
      <c r="K20" s="131"/>
      <c r="L20" s="131"/>
      <c r="M20" s="131"/>
      <c r="N20" s="131"/>
      <c r="O20" s="221" t="s">
        <v>298</v>
      </c>
      <c r="P20" s="221"/>
      <c r="Q20" s="221"/>
      <c r="R20" s="221"/>
      <c r="S20" s="221"/>
      <c r="T20" s="221"/>
      <c r="U20" s="221"/>
      <c r="V20" s="221"/>
      <c r="W20" s="221" t="s">
        <v>570</v>
      </c>
      <c r="X20" s="221"/>
      <c r="Y20" s="221"/>
      <c r="AG20" s="1"/>
      <c r="AH20" s="1"/>
      <c r="AI20" s="1"/>
      <c r="AJ20" s="1"/>
      <c r="AK20" s="1"/>
      <c r="AL20" s="1"/>
      <c r="AM20" s="1"/>
      <c r="AN20" s="1"/>
      <c r="AO20" s="1"/>
    </row>
    <row r="21" spans="8:41" x14ac:dyDescent="0.4">
      <c r="H21" s="131" t="s">
        <v>299</v>
      </c>
      <c r="I21" s="131"/>
      <c r="J21" s="131"/>
      <c r="K21" s="131"/>
      <c r="L21" s="131"/>
      <c r="M21" s="131"/>
      <c r="N21" s="131"/>
      <c r="O21" s="221" t="s">
        <v>300</v>
      </c>
      <c r="P21" s="221"/>
      <c r="Q21" s="221"/>
      <c r="R21" s="221"/>
      <c r="S21" s="221"/>
      <c r="T21" s="221"/>
      <c r="U21" s="221"/>
      <c r="V21" s="221"/>
      <c r="W21" s="222" t="s">
        <v>571</v>
      </c>
      <c r="X21" s="221"/>
      <c r="Y21" s="221"/>
      <c r="AG21" s="1"/>
      <c r="AH21" s="1"/>
      <c r="AI21" s="1"/>
      <c r="AJ21" s="1"/>
      <c r="AK21" s="1"/>
      <c r="AL21" s="1"/>
      <c r="AM21" s="1"/>
      <c r="AN21" s="1"/>
      <c r="AO21" s="1"/>
    </row>
    <row r="22" spans="8:41" x14ac:dyDescent="0.4">
      <c r="H22" s="131" t="s">
        <v>301</v>
      </c>
      <c r="I22" s="131"/>
      <c r="J22" s="131"/>
      <c r="K22" s="131"/>
      <c r="L22" s="131"/>
      <c r="M22" s="131"/>
      <c r="N22" s="131"/>
      <c r="O22" s="221" t="s">
        <v>302</v>
      </c>
      <c r="P22" s="221"/>
      <c r="Q22" s="221"/>
      <c r="R22" s="221"/>
      <c r="S22" s="221"/>
      <c r="T22" s="221"/>
      <c r="U22" s="221"/>
      <c r="V22" s="221"/>
      <c r="W22" s="221" t="s">
        <v>573</v>
      </c>
      <c r="X22" s="221"/>
      <c r="Y22" s="221"/>
      <c r="AG22" s="1"/>
      <c r="AH22" s="1"/>
      <c r="AI22" s="1"/>
      <c r="AJ22" s="1"/>
      <c r="AK22" s="1"/>
      <c r="AL22" s="1"/>
      <c r="AM22" s="1"/>
      <c r="AN22" s="1"/>
      <c r="AO22" s="1"/>
    </row>
    <row r="23" spans="8:41" x14ac:dyDescent="0.4">
      <c r="H23" s="131" t="s">
        <v>303</v>
      </c>
      <c r="I23" s="131"/>
      <c r="J23" s="131"/>
      <c r="K23" s="131"/>
      <c r="L23" s="131"/>
      <c r="M23" s="131"/>
      <c r="N23" s="131"/>
      <c r="O23" s="221" t="s">
        <v>304</v>
      </c>
      <c r="P23" s="221"/>
      <c r="Q23" s="221"/>
      <c r="R23" s="221"/>
      <c r="S23" s="221"/>
      <c r="T23" s="221"/>
      <c r="U23" s="221"/>
      <c r="V23" s="221"/>
      <c r="W23" s="222" t="s">
        <v>572</v>
      </c>
      <c r="X23" s="221"/>
      <c r="Y23" s="221"/>
      <c r="AG23" s="1"/>
      <c r="AH23" s="1"/>
      <c r="AI23" s="1"/>
      <c r="AJ23" s="1"/>
      <c r="AK23" s="1"/>
      <c r="AL23" s="1"/>
      <c r="AM23" s="1"/>
      <c r="AN23" s="1"/>
      <c r="AO23" s="1"/>
    </row>
    <row r="24" spans="8:41" x14ac:dyDescent="0.4">
      <c r="H24" s="131" t="s">
        <v>305</v>
      </c>
      <c r="I24" s="131"/>
      <c r="J24" s="131"/>
      <c r="K24" s="131"/>
      <c r="L24" s="131"/>
      <c r="M24" s="131"/>
      <c r="N24" s="131"/>
      <c r="O24" s="221" t="s">
        <v>306</v>
      </c>
      <c r="P24" s="221"/>
      <c r="Q24" s="221"/>
      <c r="R24" s="221"/>
      <c r="S24" s="221"/>
      <c r="T24" s="221"/>
      <c r="U24" s="221"/>
      <c r="V24" s="221"/>
      <c r="W24" s="221" t="s">
        <v>574</v>
      </c>
      <c r="X24" s="221"/>
      <c r="Y24" s="221"/>
      <c r="AG24" s="1"/>
      <c r="AH24" s="1"/>
      <c r="AI24" s="1"/>
      <c r="AJ24" s="1"/>
      <c r="AK24" s="1"/>
      <c r="AL24" s="1"/>
      <c r="AM24" s="1"/>
      <c r="AN24" s="1"/>
      <c r="AO24" s="1"/>
    </row>
    <row r="25" spans="8:41" x14ac:dyDescent="0.4">
      <c r="H25" s="131" t="s">
        <v>307</v>
      </c>
      <c r="I25" s="131"/>
      <c r="J25" s="131"/>
      <c r="K25" s="131"/>
      <c r="L25" s="131"/>
      <c r="M25" s="131"/>
      <c r="N25" s="131"/>
      <c r="O25" s="221" t="s">
        <v>308</v>
      </c>
      <c r="P25" s="221"/>
      <c r="Q25" s="221"/>
      <c r="R25" s="221"/>
      <c r="S25" s="221"/>
      <c r="T25" s="221"/>
      <c r="U25" s="221"/>
      <c r="V25" s="221"/>
      <c r="W25" s="222" t="s">
        <v>575</v>
      </c>
      <c r="X25" s="221"/>
      <c r="Y25" s="221"/>
      <c r="AG25" s="1"/>
      <c r="AH25" s="1"/>
      <c r="AI25" s="1"/>
      <c r="AJ25" s="1"/>
      <c r="AK25" s="1"/>
      <c r="AL25" s="1"/>
      <c r="AM25" s="1"/>
      <c r="AN25" s="1"/>
      <c r="AO25" s="1"/>
    </row>
    <row r="26" spans="8:41" x14ac:dyDescent="0.4">
      <c r="H26" s="131" t="s">
        <v>309</v>
      </c>
      <c r="I26" s="131"/>
      <c r="J26" s="131"/>
      <c r="K26" s="131"/>
      <c r="L26" s="131"/>
      <c r="M26" s="131"/>
      <c r="N26" s="131"/>
      <c r="O26" s="221" t="s">
        <v>310</v>
      </c>
      <c r="P26" s="221"/>
      <c r="Q26" s="221"/>
      <c r="R26" s="221"/>
      <c r="S26" s="221"/>
      <c r="T26" s="221"/>
      <c r="U26" s="221"/>
      <c r="V26" s="221"/>
      <c r="W26" s="221" t="s">
        <v>576</v>
      </c>
      <c r="X26" s="221"/>
      <c r="Y26" s="221"/>
      <c r="AG26" s="1"/>
      <c r="AH26" s="1"/>
      <c r="AI26" s="1"/>
      <c r="AJ26" s="1"/>
      <c r="AK26" s="1"/>
      <c r="AL26" s="1"/>
      <c r="AM26" s="1"/>
      <c r="AN26" s="1"/>
      <c r="AO26" s="1"/>
    </row>
    <row r="27" spans="8:41" x14ac:dyDescent="0.4">
      <c r="H27" s="131" t="s">
        <v>311</v>
      </c>
      <c r="I27" s="131"/>
      <c r="J27" s="131"/>
      <c r="K27" s="131"/>
      <c r="L27" s="131"/>
      <c r="M27" s="131"/>
      <c r="N27" s="131"/>
      <c r="O27" s="221" t="s">
        <v>312</v>
      </c>
      <c r="P27" s="221"/>
      <c r="Q27" s="221"/>
      <c r="R27" s="221"/>
      <c r="S27" s="221"/>
      <c r="T27" s="221"/>
      <c r="U27" s="221"/>
      <c r="V27" s="221"/>
      <c r="W27" s="222" t="s">
        <v>577</v>
      </c>
      <c r="X27" s="221"/>
      <c r="Y27" s="221"/>
      <c r="AG27" s="1"/>
      <c r="AH27" s="1"/>
      <c r="AI27" s="1"/>
      <c r="AJ27" s="1"/>
      <c r="AK27" s="1"/>
      <c r="AL27" s="1"/>
      <c r="AM27" s="1"/>
      <c r="AN27" s="1"/>
      <c r="AO27" s="1"/>
    </row>
    <row r="28" spans="8:41" x14ac:dyDescent="0.4">
      <c r="H28" s="131" t="s">
        <v>313</v>
      </c>
      <c r="I28" s="131"/>
      <c r="J28" s="131"/>
      <c r="K28" s="131"/>
      <c r="L28" s="131"/>
      <c r="M28" s="131"/>
      <c r="N28" s="131"/>
      <c r="O28" s="221" t="s">
        <v>314</v>
      </c>
      <c r="P28" s="221"/>
      <c r="Q28" s="221"/>
      <c r="R28" s="221"/>
      <c r="S28" s="221"/>
      <c r="T28" s="221"/>
      <c r="U28" s="221"/>
      <c r="V28" s="221"/>
      <c r="W28" s="221" t="s">
        <v>578</v>
      </c>
      <c r="X28" s="221"/>
      <c r="Y28" s="221"/>
      <c r="AG28" s="1"/>
      <c r="AH28" s="1"/>
      <c r="AI28" s="1"/>
      <c r="AJ28" s="1"/>
      <c r="AK28" s="1"/>
      <c r="AL28" s="1"/>
      <c r="AM28" s="1"/>
      <c r="AN28" s="1"/>
      <c r="AO28" s="1"/>
    </row>
    <row r="29" spans="8:41" x14ac:dyDescent="0.4">
      <c r="H29" s="131" t="s">
        <v>315</v>
      </c>
      <c r="I29" s="131"/>
      <c r="J29" s="131"/>
      <c r="K29" s="131"/>
      <c r="L29" s="131"/>
      <c r="M29" s="131"/>
      <c r="N29" s="131"/>
      <c r="O29" s="221" t="s">
        <v>316</v>
      </c>
      <c r="P29" s="221"/>
      <c r="Q29" s="221"/>
      <c r="R29" s="221"/>
      <c r="S29" s="221"/>
      <c r="T29" s="221"/>
      <c r="U29" s="221"/>
      <c r="V29" s="221"/>
      <c r="W29" s="222" t="s">
        <v>579</v>
      </c>
      <c r="X29" s="221"/>
      <c r="Y29" s="221"/>
      <c r="AG29" s="1"/>
      <c r="AH29" s="1"/>
      <c r="AI29" s="1"/>
      <c r="AJ29" s="1"/>
      <c r="AK29" s="1"/>
      <c r="AL29" s="1"/>
      <c r="AM29" s="1"/>
      <c r="AN29" s="1"/>
      <c r="AO29" s="1"/>
    </row>
    <row r="30" spans="8:41" x14ac:dyDescent="0.4">
      <c r="H30" s="131" t="s">
        <v>317</v>
      </c>
      <c r="I30" s="131"/>
      <c r="J30" s="131"/>
      <c r="K30" s="131"/>
      <c r="L30" s="131"/>
      <c r="M30" s="131"/>
      <c r="N30" s="131"/>
      <c r="O30" s="221" t="s">
        <v>318</v>
      </c>
      <c r="P30" s="221"/>
      <c r="Q30" s="221"/>
      <c r="R30" s="221"/>
      <c r="S30" s="221"/>
      <c r="T30" s="221"/>
      <c r="U30" s="221"/>
      <c r="V30" s="221"/>
      <c r="W30" s="221" t="s">
        <v>580</v>
      </c>
      <c r="X30" s="221"/>
      <c r="Y30" s="221"/>
      <c r="AG30" s="1"/>
      <c r="AH30" s="1"/>
      <c r="AI30" s="1"/>
      <c r="AJ30" s="1"/>
      <c r="AK30" s="1"/>
      <c r="AL30" s="1"/>
      <c r="AM30" s="1"/>
      <c r="AN30" s="1"/>
      <c r="AO30" s="1"/>
    </row>
    <row r="31" spans="8:41" x14ac:dyDescent="0.4">
      <c r="H31" s="131" t="s">
        <v>319</v>
      </c>
      <c r="I31" s="131"/>
      <c r="J31" s="131"/>
      <c r="K31" s="131"/>
      <c r="L31" s="131"/>
      <c r="M31" s="131"/>
      <c r="N31" s="131"/>
      <c r="O31" s="221" t="s">
        <v>320</v>
      </c>
      <c r="P31" s="221"/>
      <c r="Q31" s="221"/>
      <c r="R31" s="221"/>
      <c r="S31" s="221"/>
      <c r="T31" s="221"/>
      <c r="U31" s="221"/>
      <c r="V31" s="221"/>
      <c r="W31" s="222" t="s">
        <v>581</v>
      </c>
      <c r="X31" s="221"/>
      <c r="Y31" s="221"/>
      <c r="AG31" s="1"/>
      <c r="AH31" s="1"/>
      <c r="AI31" s="1"/>
      <c r="AJ31" s="1"/>
      <c r="AK31" s="1"/>
      <c r="AL31" s="1"/>
      <c r="AM31" s="1"/>
      <c r="AN31" s="1"/>
      <c r="AO31" s="1"/>
    </row>
    <row r="32" spans="8:41" x14ac:dyDescent="0.4">
      <c r="H32" s="131" t="s">
        <v>321</v>
      </c>
      <c r="I32" s="131"/>
      <c r="J32" s="131"/>
      <c r="K32" s="131"/>
      <c r="L32" s="131"/>
      <c r="M32" s="131"/>
      <c r="N32" s="131"/>
      <c r="O32" s="221" t="s">
        <v>322</v>
      </c>
      <c r="P32" s="221"/>
      <c r="Q32" s="221"/>
      <c r="R32" s="221"/>
      <c r="S32" s="221"/>
      <c r="T32" s="221"/>
      <c r="U32" s="221"/>
      <c r="V32" s="221"/>
      <c r="W32" s="221" t="s">
        <v>582</v>
      </c>
      <c r="X32" s="221"/>
      <c r="Y32" s="221"/>
      <c r="AG32" s="1"/>
      <c r="AH32" s="1"/>
      <c r="AI32" s="1"/>
      <c r="AJ32" s="1"/>
      <c r="AK32" s="1"/>
      <c r="AL32" s="1"/>
      <c r="AM32" s="1"/>
      <c r="AN32" s="1"/>
      <c r="AO32" s="1"/>
    </row>
    <row r="33" spans="8:41" x14ac:dyDescent="0.4">
      <c r="H33" s="131" t="s">
        <v>323</v>
      </c>
      <c r="I33" s="131"/>
      <c r="J33" s="131"/>
      <c r="K33" s="131"/>
      <c r="L33" s="131"/>
      <c r="M33" s="131"/>
      <c r="N33" s="131"/>
      <c r="O33" s="221" t="s">
        <v>324</v>
      </c>
      <c r="P33" s="221"/>
      <c r="Q33" s="221"/>
      <c r="R33" s="221"/>
      <c r="S33" s="221"/>
      <c r="T33" s="221"/>
      <c r="U33" s="221"/>
      <c r="V33" s="221"/>
      <c r="W33" s="222" t="s">
        <v>583</v>
      </c>
      <c r="X33" s="221"/>
      <c r="Y33" s="221"/>
      <c r="AG33" s="1"/>
      <c r="AH33" s="1"/>
      <c r="AI33" s="1"/>
      <c r="AJ33" s="1"/>
      <c r="AK33" s="1"/>
      <c r="AL33" s="1"/>
      <c r="AM33" s="1"/>
      <c r="AN33" s="1"/>
      <c r="AO33" s="1"/>
    </row>
    <row r="34" spans="8:41" x14ac:dyDescent="0.4">
      <c r="H34" s="131" t="s">
        <v>325</v>
      </c>
      <c r="I34" s="131"/>
      <c r="J34" s="131"/>
      <c r="K34" s="131"/>
      <c r="L34" s="131"/>
      <c r="M34" s="131"/>
      <c r="N34" s="131"/>
      <c r="O34" s="221" t="s">
        <v>326</v>
      </c>
      <c r="P34" s="221"/>
      <c r="Q34" s="221"/>
      <c r="R34" s="221"/>
      <c r="S34" s="221"/>
      <c r="T34" s="221"/>
      <c r="U34" s="221"/>
      <c r="V34" s="221"/>
      <c r="W34" s="222" t="s">
        <v>260</v>
      </c>
      <c r="X34" s="221"/>
      <c r="Y34" s="221"/>
      <c r="AG34" s="1"/>
      <c r="AH34" s="1"/>
      <c r="AI34" s="1"/>
      <c r="AJ34" s="1"/>
      <c r="AK34" s="1"/>
      <c r="AL34" s="1"/>
      <c r="AM34" s="1"/>
      <c r="AN34" s="1"/>
      <c r="AO34" s="1"/>
    </row>
    <row r="35" spans="8:41" x14ac:dyDescent="0.4">
      <c r="H35" s="131" t="s">
        <v>327</v>
      </c>
      <c r="I35" s="131"/>
      <c r="J35" s="131"/>
      <c r="K35" s="131"/>
      <c r="L35" s="131"/>
      <c r="M35" s="131"/>
      <c r="N35" s="131"/>
      <c r="O35" s="221" t="s">
        <v>328</v>
      </c>
      <c r="P35" s="221"/>
      <c r="Q35" s="221"/>
      <c r="R35" s="221"/>
      <c r="S35" s="221"/>
      <c r="T35" s="221"/>
      <c r="U35" s="221"/>
      <c r="V35" s="221"/>
      <c r="W35" s="221" t="s">
        <v>584</v>
      </c>
      <c r="X35" s="221"/>
      <c r="Y35" s="221"/>
      <c r="AG35" s="1"/>
      <c r="AH35" s="1"/>
      <c r="AI35" s="1"/>
      <c r="AJ35" s="1"/>
      <c r="AK35" s="1"/>
      <c r="AL35" s="1"/>
      <c r="AM35" s="1"/>
      <c r="AN35" s="1"/>
      <c r="AO35" s="1"/>
    </row>
    <row r="36" spans="8:41" x14ac:dyDescent="0.4">
      <c r="H36" s="131" t="s">
        <v>329</v>
      </c>
      <c r="I36" s="131"/>
      <c r="J36" s="131"/>
      <c r="K36" s="131"/>
      <c r="L36" s="131"/>
      <c r="M36" s="131"/>
      <c r="N36" s="131"/>
      <c r="O36" s="221" t="s">
        <v>330</v>
      </c>
      <c r="P36" s="221"/>
      <c r="Q36" s="221"/>
      <c r="R36" s="221"/>
      <c r="S36" s="221"/>
      <c r="T36" s="221"/>
      <c r="U36" s="221"/>
      <c r="V36" s="221"/>
      <c r="W36" s="222" t="s">
        <v>585</v>
      </c>
      <c r="X36" s="221"/>
      <c r="Y36" s="221"/>
      <c r="AG36" s="1"/>
      <c r="AH36" s="1"/>
      <c r="AI36" s="1"/>
      <c r="AJ36" s="1"/>
      <c r="AK36" s="1"/>
      <c r="AL36" s="1"/>
      <c r="AM36" s="1"/>
      <c r="AN36" s="1"/>
      <c r="AO36" s="1"/>
    </row>
    <row r="37" spans="8:41" x14ac:dyDescent="0.4">
      <c r="H37" s="226" t="s">
        <v>258</v>
      </c>
      <c r="I37" s="227"/>
      <c r="J37" s="227"/>
      <c r="K37" s="227"/>
      <c r="L37" s="227"/>
      <c r="M37" s="227"/>
      <c r="N37" s="228"/>
      <c r="O37" s="226" t="s">
        <v>259</v>
      </c>
      <c r="P37" s="227"/>
      <c r="Q37" s="227"/>
      <c r="R37" s="227"/>
      <c r="S37" s="227"/>
      <c r="T37" s="227"/>
      <c r="U37" s="227"/>
      <c r="V37" s="229"/>
      <c r="W37" s="230" t="s">
        <v>586</v>
      </c>
      <c r="X37" s="231"/>
      <c r="Y37" s="232"/>
      <c r="AG37" s="1"/>
      <c r="AH37" s="1"/>
      <c r="AI37" s="1"/>
      <c r="AJ37" s="1"/>
      <c r="AK37" s="1"/>
      <c r="AL37" s="1"/>
      <c r="AM37" s="1"/>
      <c r="AN37" s="1"/>
      <c r="AO37" s="1"/>
    </row>
    <row r="38" spans="8:41" x14ac:dyDescent="0.4">
      <c r="H38" s="226"/>
      <c r="I38" s="227"/>
      <c r="J38" s="227"/>
      <c r="K38" s="227"/>
      <c r="L38" s="227"/>
      <c r="M38" s="227"/>
      <c r="N38" s="228"/>
      <c r="O38" s="226"/>
      <c r="P38" s="227"/>
      <c r="Q38" s="227"/>
      <c r="R38" s="227"/>
      <c r="S38" s="227"/>
      <c r="T38" s="227"/>
      <c r="U38" s="227"/>
      <c r="V38" s="229"/>
      <c r="W38" s="230"/>
      <c r="X38" s="231"/>
      <c r="Y38" s="232"/>
      <c r="AG38" s="1"/>
      <c r="AH38" s="1"/>
      <c r="AI38" s="1"/>
      <c r="AJ38" s="1"/>
      <c r="AK38" s="1"/>
      <c r="AL38" s="1"/>
      <c r="AM38" s="1"/>
      <c r="AN38" s="1"/>
      <c r="AO38" s="1"/>
    </row>
    <row r="39" spans="8:41" x14ac:dyDescent="0.4">
      <c r="H39" s="226"/>
      <c r="I39" s="227"/>
      <c r="J39" s="227"/>
      <c r="K39" s="227"/>
      <c r="L39" s="227"/>
      <c r="M39" s="227"/>
      <c r="N39" s="228"/>
      <c r="O39" s="226"/>
      <c r="P39" s="227"/>
      <c r="Q39" s="227"/>
      <c r="R39" s="227"/>
      <c r="S39" s="227"/>
      <c r="T39" s="227"/>
      <c r="U39" s="227"/>
      <c r="V39" s="229"/>
      <c r="W39" s="230"/>
      <c r="X39" s="231"/>
      <c r="Y39" s="232"/>
      <c r="AG39" s="1"/>
      <c r="AH39" s="1"/>
      <c r="AI39" s="1"/>
      <c r="AJ39" s="1"/>
      <c r="AK39" s="1"/>
      <c r="AL39" s="1"/>
      <c r="AM39" s="1"/>
      <c r="AN39" s="1"/>
      <c r="AO39" s="1"/>
    </row>
    <row r="40" spans="8:41" ht="18" customHeight="1" x14ac:dyDescent="0.4">
      <c r="H40" s="226"/>
      <c r="I40" s="227"/>
      <c r="J40" s="227"/>
      <c r="K40" s="227"/>
      <c r="L40" s="227"/>
      <c r="M40" s="227"/>
      <c r="N40" s="228"/>
      <c r="O40" s="226"/>
      <c r="P40" s="227"/>
      <c r="Q40" s="227"/>
      <c r="R40" s="227"/>
      <c r="S40" s="227"/>
      <c r="T40" s="227"/>
      <c r="U40" s="227"/>
      <c r="V40" s="229"/>
      <c r="W40" s="230"/>
      <c r="X40" s="231"/>
      <c r="Y40" s="232"/>
    </row>
    <row r="41" spans="8:41" x14ac:dyDescent="0.4">
      <c r="H41" s="233" t="s">
        <v>331</v>
      </c>
      <c r="I41" s="234"/>
      <c r="J41" s="234"/>
      <c r="K41" s="234"/>
      <c r="L41" s="234"/>
      <c r="M41" s="234"/>
      <c r="N41" s="234"/>
      <c r="O41" s="235" t="s">
        <v>332</v>
      </c>
      <c r="P41" s="235"/>
      <c r="Q41" s="235"/>
      <c r="R41" s="235"/>
      <c r="S41" s="235"/>
      <c r="T41" s="235"/>
      <c r="U41" s="235"/>
      <c r="V41" s="235"/>
      <c r="W41" s="235" t="s">
        <v>333</v>
      </c>
      <c r="X41" s="235"/>
      <c r="Y41" s="236"/>
      <c r="AH41" s="1"/>
      <c r="AI41" s="1"/>
      <c r="AJ41" s="1"/>
      <c r="AK41" s="1"/>
      <c r="AL41" s="1"/>
      <c r="AM41" s="1"/>
      <c r="AN41" s="1"/>
      <c r="AO41" s="1"/>
    </row>
    <row r="42" spans="8:41" x14ac:dyDescent="0.4">
      <c r="H42" s="223" t="s">
        <v>334</v>
      </c>
      <c r="I42" s="223"/>
      <c r="J42" s="223"/>
      <c r="K42" s="223"/>
      <c r="L42" s="223"/>
      <c r="M42" s="223"/>
      <c r="N42" s="223"/>
      <c r="O42" s="224" t="s">
        <v>335</v>
      </c>
      <c r="P42" s="224"/>
      <c r="Q42" s="224"/>
      <c r="R42" s="224"/>
      <c r="S42" s="224"/>
      <c r="T42" s="224"/>
      <c r="U42" s="224"/>
      <c r="V42" s="224"/>
      <c r="W42" s="224" t="s">
        <v>336</v>
      </c>
      <c r="X42" s="224"/>
      <c r="Y42" s="224"/>
      <c r="AH42" s="1"/>
      <c r="AI42" s="1"/>
      <c r="AJ42" s="1"/>
      <c r="AK42" s="1"/>
      <c r="AL42" s="1"/>
      <c r="AM42" s="1"/>
      <c r="AN42" s="1"/>
      <c r="AO42" s="1"/>
    </row>
    <row r="43" spans="8:41" x14ac:dyDescent="0.4">
      <c r="H43" s="131" t="s">
        <v>337</v>
      </c>
      <c r="I43" s="131"/>
      <c r="J43" s="131"/>
      <c r="K43" s="131"/>
      <c r="L43" s="131"/>
      <c r="M43" s="131"/>
      <c r="N43" s="131"/>
      <c r="O43" s="221" t="s">
        <v>338</v>
      </c>
      <c r="P43" s="221"/>
      <c r="Q43" s="221"/>
      <c r="R43" s="221"/>
      <c r="S43" s="221"/>
      <c r="T43" s="221"/>
      <c r="U43" s="221"/>
      <c r="V43" s="221"/>
      <c r="W43" s="221" t="s">
        <v>339</v>
      </c>
      <c r="X43" s="221"/>
      <c r="Y43" s="221"/>
      <c r="AH43" s="1"/>
      <c r="AI43" s="1"/>
      <c r="AJ43" s="1"/>
      <c r="AK43" s="1"/>
      <c r="AL43" s="1"/>
      <c r="AM43" s="1"/>
      <c r="AN43" s="1"/>
      <c r="AO43" s="1"/>
    </row>
    <row r="44" spans="8:41" x14ac:dyDescent="0.4">
      <c r="H44" s="131" t="s">
        <v>340</v>
      </c>
      <c r="I44" s="131"/>
      <c r="J44" s="131"/>
      <c r="K44" s="131"/>
      <c r="L44" s="131"/>
      <c r="M44" s="131"/>
      <c r="N44" s="131"/>
      <c r="O44" s="221" t="s">
        <v>341</v>
      </c>
      <c r="P44" s="221"/>
      <c r="Q44" s="221"/>
      <c r="R44" s="221"/>
      <c r="S44" s="221"/>
      <c r="T44" s="221"/>
      <c r="U44" s="221"/>
      <c r="V44" s="221"/>
      <c r="W44" s="221" t="s">
        <v>342</v>
      </c>
      <c r="X44" s="221"/>
      <c r="Y44" s="221"/>
    </row>
    <row r="45" spans="8:41" x14ac:dyDescent="0.4">
      <c r="H45" s="131" t="s">
        <v>343</v>
      </c>
      <c r="I45" s="131"/>
      <c r="J45" s="131"/>
      <c r="K45" s="131"/>
      <c r="L45" s="131"/>
      <c r="M45" s="131"/>
      <c r="N45" s="131"/>
      <c r="O45" s="221" t="s">
        <v>344</v>
      </c>
      <c r="P45" s="221"/>
      <c r="Q45" s="221"/>
      <c r="R45" s="221"/>
      <c r="S45" s="221"/>
      <c r="T45" s="221"/>
      <c r="U45" s="221"/>
      <c r="V45" s="221"/>
      <c r="W45" s="221" t="s">
        <v>345</v>
      </c>
      <c r="X45" s="221"/>
      <c r="Y45" s="221"/>
    </row>
    <row r="46" spans="8:41" x14ac:dyDescent="0.4">
      <c r="H46" s="131" t="s">
        <v>346</v>
      </c>
      <c r="I46" s="131"/>
      <c r="J46" s="131"/>
      <c r="K46" s="131"/>
      <c r="L46" s="131"/>
      <c r="M46" s="131"/>
      <c r="N46" s="131"/>
      <c r="O46" s="221" t="s">
        <v>347</v>
      </c>
      <c r="P46" s="221"/>
      <c r="Q46" s="221"/>
      <c r="R46" s="221"/>
      <c r="S46" s="221"/>
      <c r="T46" s="221"/>
      <c r="U46" s="221"/>
      <c r="V46" s="221"/>
      <c r="W46" s="221" t="s">
        <v>348</v>
      </c>
      <c r="X46" s="221"/>
      <c r="Y46" s="221"/>
    </row>
    <row r="47" spans="8:41" x14ac:dyDescent="0.4">
      <c r="H47" s="131" t="s">
        <v>349</v>
      </c>
      <c r="I47" s="131"/>
      <c r="J47" s="131"/>
      <c r="K47" s="131"/>
      <c r="L47" s="131"/>
      <c r="M47" s="131"/>
      <c r="N47" s="131"/>
      <c r="O47" s="221" t="s">
        <v>350</v>
      </c>
      <c r="P47" s="221"/>
      <c r="Q47" s="221"/>
      <c r="R47" s="221"/>
      <c r="S47" s="221"/>
      <c r="T47" s="221"/>
      <c r="U47" s="221"/>
      <c r="V47" s="221"/>
      <c r="W47" s="221" t="s">
        <v>351</v>
      </c>
      <c r="X47" s="221"/>
      <c r="Y47" s="221"/>
    </row>
    <row r="48" spans="8:41" x14ac:dyDescent="0.4">
      <c r="H48" s="131" t="s">
        <v>352</v>
      </c>
      <c r="I48" s="131"/>
      <c r="J48" s="131"/>
      <c r="K48" s="131"/>
      <c r="L48" s="131"/>
      <c r="M48" s="131"/>
      <c r="N48" s="131"/>
      <c r="O48" s="221" t="s">
        <v>353</v>
      </c>
      <c r="P48" s="221"/>
      <c r="Q48" s="221"/>
      <c r="R48" s="221"/>
      <c r="S48" s="221"/>
      <c r="T48" s="221"/>
      <c r="U48" s="221"/>
      <c r="V48" s="221"/>
      <c r="W48" s="221" t="s">
        <v>354</v>
      </c>
      <c r="X48" s="221"/>
      <c r="Y48" s="221"/>
    </row>
    <row r="49" spans="8:41" x14ac:dyDescent="0.4">
      <c r="H49" s="131" t="s">
        <v>355</v>
      </c>
      <c r="I49" s="131"/>
      <c r="J49" s="131"/>
      <c r="K49" s="131"/>
      <c r="L49" s="131"/>
      <c r="M49" s="131"/>
      <c r="N49" s="131"/>
      <c r="O49" s="221" t="s">
        <v>356</v>
      </c>
      <c r="P49" s="221"/>
      <c r="Q49" s="221"/>
      <c r="R49" s="221"/>
      <c r="S49" s="221"/>
      <c r="T49" s="221"/>
      <c r="U49" s="221"/>
      <c r="V49" s="221"/>
      <c r="W49" s="221" t="s">
        <v>357</v>
      </c>
      <c r="X49" s="221"/>
      <c r="Y49" s="221"/>
    </row>
    <row r="50" spans="8:41" x14ac:dyDescent="0.4">
      <c r="H50" s="131" t="s">
        <v>358</v>
      </c>
      <c r="I50" s="131"/>
      <c r="J50" s="131"/>
      <c r="K50" s="131"/>
      <c r="L50" s="131"/>
      <c r="M50" s="131"/>
      <c r="N50" s="131"/>
      <c r="O50" s="221" t="s">
        <v>359</v>
      </c>
      <c r="P50" s="221"/>
      <c r="Q50" s="221"/>
      <c r="R50" s="221"/>
      <c r="S50" s="221"/>
      <c r="T50" s="221"/>
      <c r="U50" s="221"/>
      <c r="V50" s="221"/>
      <c r="W50" s="221" t="s">
        <v>360</v>
      </c>
      <c r="X50" s="221"/>
      <c r="Y50" s="221"/>
    </row>
    <row r="51" spans="8:41" x14ac:dyDescent="0.4">
      <c r="H51" s="131" t="s">
        <v>361</v>
      </c>
      <c r="I51" s="131"/>
      <c r="J51" s="131"/>
      <c r="K51" s="131"/>
      <c r="L51" s="131"/>
      <c r="M51" s="131"/>
      <c r="N51" s="131"/>
      <c r="O51" s="221" t="s">
        <v>362</v>
      </c>
      <c r="P51" s="221"/>
      <c r="Q51" s="221"/>
      <c r="R51" s="221"/>
      <c r="S51" s="221"/>
      <c r="T51" s="221"/>
      <c r="U51" s="221"/>
      <c r="V51" s="221"/>
      <c r="W51" s="221" t="s">
        <v>363</v>
      </c>
      <c r="X51" s="221"/>
      <c r="Y51" s="221"/>
    </row>
    <row r="52" spans="8:41" x14ac:dyDescent="0.4">
      <c r="H52" s="131" t="s">
        <v>364</v>
      </c>
      <c r="I52" s="131"/>
      <c r="J52" s="131"/>
      <c r="K52" s="131"/>
      <c r="L52" s="131"/>
      <c r="M52" s="131"/>
      <c r="N52" s="131"/>
      <c r="O52" s="221" t="s">
        <v>365</v>
      </c>
      <c r="P52" s="221"/>
      <c r="Q52" s="221"/>
      <c r="R52" s="221"/>
      <c r="S52" s="221"/>
      <c r="T52" s="221"/>
      <c r="U52" s="221"/>
      <c r="V52" s="221"/>
      <c r="W52" s="221" t="s">
        <v>366</v>
      </c>
      <c r="X52" s="221"/>
      <c r="Y52" s="221"/>
    </row>
    <row r="53" spans="8:41" x14ac:dyDescent="0.4">
      <c r="H53" s="131" t="s">
        <v>367</v>
      </c>
      <c r="I53" s="131"/>
      <c r="J53" s="131"/>
      <c r="K53" s="131"/>
      <c r="L53" s="131"/>
      <c r="M53" s="131"/>
      <c r="N53" s="131"/>
      <c r="O53" s="221" t="s">
        <v>368</v>
      </c>
      <c r="P53" s="221"/>
      <c r="Q53" s="221"/>
      <c r="R53" s="221"/>
      <c r="S53" s="221"/>
      <c r="T53" s="221"/>
      <c r="U53" s="221"/>
      <c r="V53" s="221"/>
      <c r="W53" s="221" t="s">
        <v>369</v>
      </c>
      <c r="X53" s="221"/>
      <c r="Y53" s="221"/>
    </row>
    <row r="54" spans="8:41" x14ac:dyDescent="0.4">
      <c r="H54" s="131" t="s">
        <v>370</v>
      </c>
      <c r="I54" s="131"/>
      <c r="J54" s="131"/>
      <c r="K54" s="131"/>
      <c r="L54" s="131"/>
      <c r="M54" s="131"/>
      <c r="N54" s="131"/>
      <c r="O54" s="221" t="s">
        <v>371</v>
      </c>
      <c r="P54" s="221"/>
      <c r="Q54" s="221"/>
      <c r="R54" s="221"/>
      <c r="S54" s="221"/>
      <c r="T54" s="221"/>
      <c r="U54" s="221"/>
      <c r="V54" s="221"/>
      <c r="W54" s="221" t="s">
        <v>372</v>
      </c>
      <c r="X54" s="221"/>
      <c r="Y54" s="221"/>
    </row>
    <row r="55" spans="8:41" x14ac:dyDescent="0.4">
      <c r="H55" s="131" t="s">
        <v>373</v>
      </c>
      <c r="I55" s="131"/>
      <c r="J55" s="131"/>
      <c r="K55" s="131"/>
      <c r="L55" s="131"/>
      <c r="M55" s="131"/>
      <c r="N55" s="131"/>
      <c r="O55" s="221" t="s">
        <v>374</v>
      </c>
      <c r="P55" s="221"/>
      <c r="Q55" s="221"/>
      <c r="R55" s="221"/>
      <c r="S55" s="221"/>
      <c r="T55" s="221"/>
      <c r="U55" s="221"/>
      <c r="V55" s="221"/>
      <c r="W55" s="221" t="s">
        <v>375</v>
      </c>
      <c r="X55" s="221"/>
      <c r="Y55" s="221"/>
    </row>
    <row r="56" spans="8:41" x14ac:dyDescent="0.4">
      <c r="H56" s="131" t="s">
        <v>376</v>
      </c>
      <c r="I56" s="131"/>
      <c r="J56" s="131"/>
      <c r="K56" s="131"/>
      <c r="L56" s="131"/>
      <c r="M56" s="131"/>
      <c r="N56" s="131"/>
      <c r="O56" s="221" t="s">
        <v>377</v>
      </c>
      <c r="P56" s="221"/>
      <c r="Q56" s="221"/>
      <c r="R56" s="221"/>
      <c r="S56" s="221"/>
      <c r="T56" s="221"/>
      <c r="U56" s="221"/>
      <c r="V56" s="221"/>
      <c r="W56" s="221" t="s">
        <v>378</v>
      </c>
      <c r="X56" s="221"/>
      <c r="Y56" s="221"/>
    </row>
    <row r="57" spans="8:41" x14ac:dyDescent="0.4">
      <c r="H57" s="223" t="s">
        <v>379</v>
      </c>
      <c r="I57" s="223"/>
      <c r="J57" s="223"/>
      <c r="K57" s="223"/>
      <c r="L57" s="223"/>
      <c r="M57" s="223"/>
      <c r="N57" s="223"/>
      <c r="O57" s="224" t="s">
        <v>380</v>
      </c>
      <c r="P57" s="224"/>
      <c r="Q57" s="224"/>
      <c r="R57" s="224"/>
      <c r="S57" s="224"/>
      <c r="T57" s="224"/>
      <c r="U57" s="224"/>
      <c r="V57" s="224"/>
      <c r="W57" s="224" t="s">
        <v>381</v>
      </c>
      <c r="X57" s="224"/>
      <c r="Y57" s="224"/>
      <c r="AH57" s="1"/>
      <c r="AI57" s="1"/>
      <c r="AJ57" s="1"/>
      <c r="AK57" s="1"/>
      <c r="AL57" s="1"/>
      <c r="AM57" s="1"/>
      <c r="AN57" s="1"/>
      <c r="AO57" s="1"/>
    </row>
    <row r="58" spans="8:41" x14ac:dyDescent="0.4">
      <c r="H58" s="131" t="s">
        <v>382</v>
      </c>
      <c r="I58" s="131"/>
      <c r="J58" s="131"/>
      <c r="K58" s="131"/>
      <c r="L58" s="131"/>
      <c r="M58" s="131"/>
      <c r="N58" s="131"/>
      <c r="O58" s="221" t="s">
        <v>383</v>
      </c>
      <c r="P58" s="221"/>
      <c r="Q58" s="221"/>
      <c r="R58" s="221"/>
      <c r="S58" s="221"/>
      <c r="T58" s="221"/>
      <c r="U58" s="221"/>
      <c r="V58" s="221"/>
      <c r="W58" s="221" t="s">
        <v>384</v>
      </c>
      <c r="X58" s="221"/>
      <c r="Y58" s="221"/>
      <c r="AH58" s="1"/>
      <c r="AI58" s="1"/>
      <c r="AJ58" s="1"/>
      <c r="AK58" s="1"/>
      <c r="AL58" s="1"/>
      <c r="AM58" s="1"/>
      <c r="AN58" s="1"/>
      <c r="AO58" s="1"/>
    </row>
    <row r="59" spans="8:41" x14ac:dyDescent="0.4">
      <c r="H59" s="131" t="s">
        <v>385</v>
      </c>
      <c r="I59" s="131"/>
      <c r="J59" s="131"/>
      <c r="K59" s="131"/>
      <c r="L59" s="131"/>
      <c r="M59" s="131"/>
      <c r="N59" s="131"/>
      <c r="O59" s="221" t="s">
        <v>386</v>
      </c>
      <c r="P59" s="221"/>
      <c r="Q59" s="221"/>
      <c r="R59" s="221"/>
      <c r="S59" s="221"/>
      <c r="T59" s="221"/>
      <c r="U59" s="221"/>
      <c r="V59" s="221"/>
      <c r="W59" s="221" t="s">
        <v>387</v>
      </c>
      <c r="X59" s="221"/>
      <c r="Y59" s="221"/>
    </row>
    <row r="60" spans="8:41" x14ac:dyDescent="0.4">
      <c r="H60" s="131" t="s">
        <v>388</v>
      </c>
      <c r="I60" s="131"/>
      <c r="J60" s="131"/>
      <c r="K60" s="131"/>
      <c r="L60" s="131"/>
      <c r="M60" s="131"/>
      <c r="N60" s="131"/>
      <c r="O60" s="221" t="s">
        <v>389</v>
      </c>
      <c r="P60" s="221"/>
      <c r="Q60" s="221"/>
      <c r="R60" s="221"/>
      <c r="S60" s="221"/>
      <c r="T60" s="221"/>
      <c r="U60" s="221"/>
      <c r="V60" s="221"/>
      <c r="W60" s="221" t="s">
        <v>390</v>
      </c>
      <c r="X60" s="221"/>
      <c r="Y60" s="221"/>
    </row>
    <row r="61" spans="8:41" x14ac:dyDescent="0.4">
      <c r="H61" s="131" t="s">
        <v>391</v>
      </c>
      <c r="I61" s="131"/>
      <c r="J61" s="131"/>
      <c r="K61" s="131"/>
      <c r="L61" s="131"/>
      <c r="M61" s="131"/>
      <c r="N61" s="131"/>
      <c r="O61" s="221" t="s">
        <v>392</v>
      </c>
      <c r="P61" s="221"/>
      <c r="Q61" s="221"/>
      <c r="R61" s="221"/>
      <c r="S61" s="221"/>
      <c r="T61" s="221"/>
      <c r="U61" s="221"/>
      <c r="V61" s="221"/>
      <c r="W61" s="221" t="s">
        <v>393</v>
      </c>
      <c r="X61" s="221"/>
      <c r="Y61" s="221"/>
    </row>
    <row r="62" spans="8:41" x14ac:dyDescent="0.4">
      <c r="H62" s="131" t="s">
        <v>394</v>
      </c>
      <c r="I62" s="131"/>
      <c r="J62" s="131"/>
      <c r="K62" s="131"/>
      <c r="L62" s="131"/>
      <c r="M62" s="131"/>
      <c r="N62" s="131"/>
      <c r="O62" s="221" t="s">
        <v>395</v>
      </c>
      <c r="P62" s="221"/>
      <c r="Q62" s="221"/>
      <c r="R62" s="221"/>
      <c r="S62" s="221"/>
      <c r="T62" s="221"/>
      <c r="U62" s="221"/>
      <c r="V62" s="221"/>
      <c r="W62" s="221" t="s">
        <v>396</v>
      </c>
      <c r="X62" s="221"/>
      <c r="Y62" s="221"/>
    </row>
    <row r="63" spans="8:41" x14ac:dyDescent="0.4">
      <c r="H63" s="131" t="s">
        <v>397</v>
      </c>
      <c r="I63" s="131"/>
      <c r="J63" s="131"/>
      <c r="K63" s="131"/>
      <c r="L63" s="131"/>
      <c r="M63" s="131"/>
      <c r="N63" s="131"/>
      <c r="O63" s="221" t="s">
        <v>398</v>
      </c>
      <c r="P63" s="221"/>
      <c r="Q63" s="221"/>
      <c r="R63" s="221"/>
      <c r="S63" s="221"/>
      <c r="T63" s="221"/>
      <c r="U63" s="221"/>
      <c r="V63" s="221"/>
      <c r="W63" s="221" t="s">
        <v>399</v>
      </c>
      <c r="X63" s="221"/>
      <c r="Y63" s="221"/>
    </row>
    <row r="64" spans="8:41" x14ac:dyDescent="0.4">
      <c r="H64" s="131" t="s">
        <v>400</v>
      </c>
      <c r="I64" s="131"/>
      <c r="J64" s="131"/>
      <c r="K64" s="131"/>
      <c r="L64" s="131"/>
      <c r="M64" s="131"/>
      <c r="N64" s="131"/>
      <c r="O64" s="221" t="s">
        <v>401</v>
      </c>
      <c r="P64" s="221"/>
      <c r="Q64" s="221"/>
      <c r="R64" s="221"/>
      <c r="S64" s="221"/>
      <c r="T64" s="221"/>
      <c r="U64" s="221"/>
      <c r="V64" s="221"/>
      <c r="W64" s="221" t="s">
        <v>402</v>
      </c>
      <c r="X64" s="221"/>
      <c r="Y64" s="221"/>
    </row>
    <row r="65" spans="8:59" x14ac:dyDescent="0.4">
      <c r="H65" s="131" t="s">
        <v>403</v>
      </c>
      <c r="I65" s="131"/>
      <c r="J65" s="131"/>
      <c r="K65" s="131"/>
      <c r="L65" s="131"/>
      <c r="M65" s="131"/>
      <c r="N65" s="131"/>
      <c r="O65" s="221" t="s">
        <v>404</v>
      </c>
      <c r="P65" s="221"/>
      <c r="Q65" s="221"/>
      <c r="R65" s="221"/>
      <c r="S65" s="221"/>
      <c r="T65" s="221"/>
      <c r="U65" s="221"/>
      <c r="V65" s="221"/>
      <c r="W65" s="221" t="s">
        <v>405</v>
      </c>
      <c r="X65" s="221"/>
      <c r="Y65" s="221"/>
    </row>
    <row r="66" spans="8:59" x14ac:dyDescent="0.4">
      <c r="H66" s="131" t="s">
        <v>406</v>
      </c>
      <c r="I66" s="131"/>
      <c r="J66" s="131"/>
      <c r="K66" s="131"/>
      <c r="L66" s="131"/>
      <c r="M66" s="131"/>
      <c r="N66" s="131"/>
      <c r="O66" s="221" t="s">
        <v>407</v>
      </c>
      <c r="P66" s="221"/>
      <c r="Q66" s="221"/>
      <c r="R66" s="221"/>
      <c r="S66" s="221"/>
      <c r="T66" s="221"/>
      <c r="U66" s="221"/>
      <c r="V66" s="221"/>
      <c r="W66" s="221" t="s">
        <v>408</v>
      </c>
      <c r="X66" s="221"/>
      <c r="Y66" s="221"/>
    </row>
    <row r="67" spans="8:59" x14ac:dyDescent="0.4">
      <c r="H67" s="131" t="s">
        <v>409</v>
      </c>
      <c r="I67" s="131"/>
      <c r="J67" s="131"/>
      <c r="K67" s="131"/>
      <c r="L67" s="131"/>
      <c r="M67" s="131"/>
      <c r="N67" s="131"/>
      <c r="O67" s="221" t="s">
        <v>410</v>
      </c>
      <c r="P67" s="221"/>
      <c r="Q67" s="221"/>
      <c r="R67" s="221"/>
      <c r="S67" s="221"/>
      <c r="T67" s="221"/>
      <c r="U67" s="221"/>
      <c r="V67" s="221"/>
      <c r="W67" s="221" t="s">
        <v>411</v>
      </c>
      <c r="X67" s="221"/>
      <c r="Y67" s="221"/>
    </row>
    <row r="68" spans="8:59" x14ac:dyDescent="0.4">
      <c r="H68" s="131" t="s">
        <v>412</v>
      </c>
      <c r="I68" s="131"/>
      <c r="J68" s="131"/>
      <c r="K68" s="131"/>
      <c r="L68" s="131"/>
      <c r="M68" s="131"/>
      <c r="N68" s="131"/>
      <c r="O68" s="221" t="s">
        <v>413</v>
      </c>
      <c r="P68" s="221"/>
      <c r="Q68" s="221"/>
      <c r="R68" s="221"/>
      <c r="S68" s="221"/>
      <c r="T68" s="221"/>
      <c r="U68" s="221"/>
      <c r="V68" s="221"/>
      <c r="W68" s="221" t="s">
        <v>414</v>
      </c>
      <c r="X68" s="221"/>
      <c r="Y68" s="221"/>
    </row>
    <row r="69" spans="8:59" x14ac:dyDescent="0.4">
      <c r="H69" s="131" t="s">
        <v>415</v>
      </c>
      <c r="I69" s="131"/>
      <c r="J69" s="131"/>
      <c r="K69" s="131"/>
      <c r="L69" s="131"/>
      <c r="M69" s="131"/>
      <c r="N69" s="131"/>
      <c r="O69" s="221" t="s">
        <v>416</v>
      </c>
      <c r="P69" s="221"/>
      <c r="Q69" s="221"/>
      <c r="R69" s="221"/>
      <c r="S69" s="221"/>
      <c r="T69" s="221"/>
      <c r="U69" s="221"/>
      <c r="V69" s="221"/>
      <c r="W69" s="221" t="s">
        <v>417</v>
      </c>
      <c r="X69" s="221"/>
      <c r="Y69" s="221"/>
    </row>
    <row r="70" spans="8:59" x14ac:dyDescent="0.4">
      <c r="H70" s="131" t="s">
        <v>418</v>
      </c>
      <c r="I70" s="131"/>
      <c r="J70" s="131"/>
      <c r="K70" s="131"/>
      <c r="L70" s="131"/>
      <c r="M70" s="131"/>
      <c r="N70" s="131"/>
      <c r="O70" s="221" t="s">
        <v>419</v>
      </c>
      <c r="P70" s="221"/>
      <c r="Q70" s="221"/>
      <c r="R70" s="221"/>
      <c r="S70" s="221"/>
      <c r="T70" s="221"/>
      <c r="U70" s="221"/>
      <c r="V70" s="221"/>
      <c r="W70" s="221" t="s">
        <v>420</v>
      </c>
      <c r="X70" s="221"/>
      <c r="Y70" s="221"/>
    </row>
    <row r="71" spans="8:59" x14ac:dyDescent="0.4">
      <c r="H71" s="131" t="s">
        <v>421</v>
      </c>
      <c r="I71" s="131"/>
      <c r="J71" s="131"/>
      <c r="K71" s="131"/>
      <c r="L71" s="131"/>
      <c r="M71" s="131"/>
      <c r="N71" s="131"/>
      <c r="O71" s="221" t="s">
        <v>422</v>
      </c>
      <c r="P71" s="221"/>
      <c r="Q71" s="221"/>
      <c r="R71" s="221"/>
      <c r="S71" s="221"/>
      <c r="T71" s="221"/>
      <c r="U71" s="221"/>
      <c r="V71" s="221"/>
      <c r="W71" s="221" t="s">
        <v>423</v>
      </c>
      <c r="X71" s="221"/>
      <c r="Y71" s="221"/>
    </row>
    <row r="72" spans="8:59" x14ac:dyDescent="0.4">
      <c r="H72" s="131" t="s">
        <v>424</v>
      </c>
      <c r="I72" s="131"/>
      <c r="J72" s="131"/>
      <c r="K72" s="131"/>
      <c r="L72" s="131"/>
      <c r="M72" s="131"/>
      <c r="N72" s="131"/>
      <c r="O72" s="221" t="s">
        <v>425</v>
      </c>
      <c r="P72" s="221"/>
      <c r="Q72" s="221"/>
      <c r="R72" s="221"/>
      <c r="S72" s="221"/>
      <c r="T72" s="221"/>
      <c r="U72" s="221"/>
      <c r="V72" s="221"/>
      <c r="W72" s="221" t="s">
        <v>426</v>
      </c>
      <c r="X72" s="221"/>
      <c r="Y72" s="221"/>
    </row>
    <row r="73" spans="8:59" x14ac:dyDescent="0.4">
      <c r="H73" s="131" t="s">
        <v>427</v>
      </c>
      <c r="I73" s="131"/>
      <c r="J73" s="131"/>
      <c r="K73" s="131"/>
      <c r="L73" s="131"/>
      <c r="M73" s="131"/>
      <c r="N73" s="131"/>
      <c r="O73" s="221" t="s">
        <v>428</v>
      </c>
      <c r="P73" s="221"/>
      <c r="Q73" s="221"/>
      <c r="R73" s="221"/>
      <c r="S73" s="221"/>
      <c r="T73" s="221"/>
      <c r="U73" s="221"/>
      <c r="V73" s="221"/>
      <c r="W73" s="221" t="s">
        <v>429</v>
      </c>
      <c r="X73" s="221"/>
      <c r="Y73" s="221"/>
    </row>
    <row r="74" spans="8:59" x14ac:dyDescent="0.4">
      <c r="H74" s="131" t="s">
        <v>430</v>
      </c>
      <c r="I74" s="131"/>
      <c r="J74" s="131"/>
      <c r="K74" s="131"/>
      <c r="L74" s="131"/>
      <c r="M74" s="131"/>
      <c r="N74" s="131"/>
      <c r="O74" s="221" t="s">
        <v>431</v>
      </c>
      <c r="P74" s="221"/>
      <c r="Q74" s="221"/>
      <c r="R74" s="221"/>
      <c r="S74" s="221"/>
      <c r="T74" s="221"/>
      <c r="U74" s="221"/>
      <c r="V74" s="221"/>
      <c r="W74" s="221" t="s">
        <v>432</v>
      </c>
      <c r="X74" s="221"/>
      <c r="Y74" s="221"/>
    </row>
    <row r="75" spans="8:59" x14ac:dyDescent="0.4">
      <c r="Q75" s="1"/>
      <c r="R75" s="1"/>
    </row>
    <row r="76" spans="8:59" ht="18.75" customHeight="1" x14ac:dyDescent="0.4">
      <c r="H76" s="34"/>
      <c r="I76" s="34"/>
      <c r="J76" s="34"/>
      <c r="K76" s="34"/>
      <c r="L76" s="34"/>
      <c r="M76" s="34"/>
      <c r="N76" s="34"/>
      <c r="O76" s="34"/>
      <c r="P76" s="34"/>
      <c r="Q76" s="34"/>
      <c r="R76" s="1"/>
      <c r="S76" s="1"/>
      <c r="T76" s="1"/>
      <c r="U76" s="1"/>
      <c r="V76" s="1"/>
      <c r="W76" s="1"/>
      <c r="X76" s="1"/>
      <c r="Y76" s="1"/>
      <c r="Z76" s="1"/>
      <c r="AA76" s="1"/>
      <c r="AB76" s="35"/>
      <c r="AC76" s="35"/>
      <c r="AD76" s="36"/>
      <c r="AE76" s="36"/>
      <c r="AF76" s="36"/>
      <c r="AG76" s="36"/>
      <c r="AH76" s="36"/>
      <c r="AI76" s="1"/>
      <c r="AJ76" s="1"/>
      <c r="AK76" s="7"/>
      <c r="AL76" s="7"/>
      <c r="AM76" s="7"/>
      <c r="AN76" s="7"/>
      <c r="AO76" s="7"/>
      <c r="AP76" s="7"/>
      <c r="AQ76" s="7"/>
      <c r="AR76" s="7"/>
      <c r="AS76" s="7"/>
      <c r="AT76" s="7"/>
      <c r="AU76" s="7"/>
      <c r="AV76" s="7"/>
      <c r="AW76" s="7"/>
      <c r="AX76" s="7"/>
      <c r="AY76" s="7"/>
      <c r="AZ76" s="7"/>
      <c r="BA76" s="7"/>
      <c r="BB76" s="7"/>
      <c r="BC76" s="7"/>
      <c r="BD76" s="7"/>
      <c r="BE76" s="7"/>
      <c r="BF76" s="7"/>
      <c r="BG76" s="7"/>
    </row>
    <row r="77" spans="8:59" x14ac:dyDescent="0.4">
      <c r="AD77" s="33"/>
      <c r="AE77" s="33"/>
      <c r="AF77" s="33"/>
      <c r="AG77" s="33"/>
      <c r="AH77" s="33"/>
    </row>
    <row r="78" spans="8:59" x14ac:dyDescent="0.4">
      <c r="H78" s="237" t="s">
        <v>464</v>
      </c>
      <c r="I78" s="238"/>
      <c r="J78" s="238"/>
      <c r="K78" s="238"/>
      <c r="L78" s="238"/>
      <c r="M78" s="238"/>
      <c r="N78" s="238"/>
      <c r="O78" s="238"/>
      <c r="P78" s="238"/>
      <c r="Q78" s="238"/>
      <c r="R78" s="238"/>
      <c r="S78" s="238"/>
      <c r="T78" s="238"/>
      <c r="U78" s="238"/>
      <c r="V78" s="238"/>
      <c r="W78" s="238"/>
      <c r="X78" s="238"/>
      <c r="Y78" s="238"/>
      <c r="Z78" s="238"/>
      <c r="AA78" s="238"/>
      <c r="AB78" s="238"/>
      <c r="AC78" s="238"/>
      <c r="AD78" s="238"/>
      <c r="AE78" s="238"/>
      <c r="AF78" s="238"/>
      <c r="AG78" s="238"/>
      <c r="AH78" s="238"/>
      <c r="AI78" s="238"/>
      <c r="AJ78" s="238"/>
      <c r="AK78" s="238"/>
      <c r="AL78" s="238"/>
      <c r="AM78" s="238"/>
      <c r="AN78" s="238"/>
      <c r="AO78" s="238"/>
      <c r="AP78" s="238"/>
      <c r="AQ78" s="238"/>
      <c r="AR78" s="238"/>
      <c r="AS78" s="238"/>
      <c r="AT78" s="238"/>
      <c r="AU78" s="238"/>
      <c r="AV78" s="238"/>
      <c r="AW78" s="238"/>
      <c r="AX78" s="238"/>
      <c r="AY78" s="238"/>
      <c r="AZ78" s="238"/>
      <c r="BA78" s="238"/>
      <c r="BB78" s="238"/>
      <c r="BC78" s="238"/>
      <c r="BD78" s="238"/>
      <c r="BE78" s="238"/>
      <c r="BF78" s="238"/>
      <c r="BG78" s="239"/>
    </row>
    <row r="79" spans="8:59" ht="18.75" customHeight="1" x14ac:dyDescent="0.4">
      <c r="H79" s="240" t="s">
        <v>433</v>
      </c>
      <c r="I79" s="240"/>
      <c r="J79" s="240"/>
      <c r="K79" s="240"/>
      <c r="L79" s="240"/>
      <c r="M79" s="240"/>
      <c r="N79" s="240"/>
      <c r="O79" s="240"/>
      <c r="P79" s="240"/>
      <c r="Q79" s="240"/>
      <c r="R79" s="240" t="s">
        <v>1</v>
      </c>
      <c r="S79" s="240"/>
      <c r="T79" s="240"/>
      <c r="U79" s="240"/>
      <c r="V79" s="240"/>
      <c r="W79" s="240"/>
      <c r="X79" s="240"/>
      <c r="Y79" s="240"/>
      <c r="Z79" s="240"/>
      <c r="AA79" s="240"/>
      <c r="AB79" s="241" t="s">
        <v>434</v>
      </c>
      <c r="AC79" s="242"/>
      <c r="AD79" s="243" t="s">
        <v>435</v>
      </c>
      <c r="AE79" s="244"/>
      <c r="AF79" s="244"/>
      <c r="AG79" s="244"/>
      <c r="AH79" s="245"/>
      <c r="AI79" s="246" t="s">
        <v>436</v>
      </c>
      <c r="AJ79" s="246"/>
      <c r="AK79" s="247" t="s">
        <v>437</v>
      </c>
      <c r="AL79" s="247"/>
      <c r="AM79" s="247"/>
      <c r="AN79" s="247"/>
      <c r="AO79" s="247"/>
      <c r="AP79" s="247"/>
      <c r="AQ79" s="247"/>
      <c r="AR79" s="247"/>
      <c r="AS79" s="247"/>
      <c r="AT79" s="247"/>
      <c r="AU79" s="247"/>
      <c r="AV79" s="247"/>
      <c r="AW79" s="247"/>
      <c r="AX79" s="247"/>
      <c r="AY79" s="247"/>
      <c r="AZ79" s="247"/>
      <c r="BA79" s="247"/>
      <c r="BB79" s="247"/>
      <c r="BC79" s="247"/>
      <c r="BD79" s="247"/>
      <c r="BE79" s="247"/>
      <c r="BF79" s="247"/>
      <c r="BG79" s="247"/>
    </row>
    <row r="80" spans="8:59" x14ac:dyDescent="0.4">
      <c r="H80" s="136" t="s">
        <v>438</v>
      </c>
      <c r="I80" s="137"/>
      <c r="J80" s="137"/>
      <c r="K80" s="137"/>
      <c r="L80" s="137"/>
      <c r="M80" s="137"/>
      <c r="N80" s="137"/>
      <c r="O80" s="137"/>
      <c r="P80" s="137"/>
      <c r="Q80" s="138"/>
      <c r="R80" s="136" t="s">
        <v>465</v>
      </c>
      <c r="S80" s="137"/>
      <c r="T80" s="137"/>
      <c r="U80" s="137"/>
      <c r="V80" s="137"/>
      <c r="W80" s="137"/>
      <c r="X80" s="137"/>
      <c r="Y80" s="137"/>
      <c r="Z80" s="137"/>
      <c r="AA80" s="138"/>
      <c r="AB80" s="266" t="s">
        <v>439</v>
      </c>
      <c r="AC80" s="267"/>
      <c r="AD80" s="266" t="s">
        <v>440</v>
      </c>
      <c r="AE80" s="268"/>
      <c r="AF80" s="268"/>
      <c r="AG80" s="268"/>
      <c r="AH80" s="267"/>
      <c r="AI80" s="136" t="s">
        <v>441</v>
      </c>
      <c r="AJ80" s="138"/>
      <c r="AK80" s="269" t="s">
        <v>466</v>
      </c>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1"/>
    </row>
    <row r="81" spans="8:59" x14ac:dyDescent="0.4">
      <c r="H81" s="248" t="s">
        <v>467</v>
      </c>
      <c r="I81" s="249"/>
      <c r="J81" s="249"/>
      <c r="K81" s="249"/>
      <c r="L81" s="249"/>
      <c r="M81" s="249"/>
      <c r="N81" s="249"/>
      <c r="O81" s="249"/>
      <c r="P81" s="249"/>
      <c r="Q81" s="250"/>
      <c r="R81" s="248" t="s">
        <v>468</v>
      </c>
      <c r="S81" s="249"/>
      <c r="T81" s="249"/>
      <c r="U81" s="249"/>
      <c r="V81" s="249"/>
      <c r="W81" s="249"/>
      <c r="X81" s="249"/>
      <c r="Y81" s="249"/>
      <c r="Z81" s="249"/>
      <c r="AA81" s="250"/>
      <c r="AB81" s="254" t="s">
        <v>439</v>
      </c>
      <c r="AC81" s="255"/>
      <c r="AD81" s="254" t="s">
        <v>469</v>
      </c>
      <c r="AE81" s="258"/>
      <c r="AF81" s="258"/>
      <c r="AG81" s="258"/>
      <c r="AH81" s="255"/>
      <c r="AI81" s="248" t="s">
        <v>442</v>
      </c>
      <c r="AJ81" s="250"/>
      <c r="AK81" s="260" t="s">
        <v>470</v>
      </c>
      <c r="AL81" s="261"/>
      <c r="AM81" s="261"/>
      <c r="AN81" s="261"/>
      <c r="AO81" s="261"/>
      <c r="AP81" s="261"/>
      <c r="AQ81" s="261"/>
      <c r="AR81" s="261"/>
      <c r="AS81" s="261"/>
      <c r="AT81" s="261"/>
      <c r="AU81" s="261"/>
      <c r="AV81" s="261"/>
      <c r="AW81" s="261"/>
      <c r="AX81" s="261"/>
      <c r="AY81" s="261"/>
      <c r="AZ81" s="261"/>
      <c r="BA81" s="261"/>
      <c r="BB81" s="261"/>
      <c r="BC81" s="261"/>
      <c r="BD81" s="261"/>
      <c r="BE81" s="261"/>
      <c r="BF81" s="261"/>
      <c r="BG81" s="262"/>
    </row>
    <row r="82" spans="8:59" x14ac:dyDescent="0.4">
      <c r="H82" s="251"/>
      <c r="I82" s="252"/>
      <c r="J82" s="252"/>
      <c r="K82" s="252"/>
      <c r="L82" s="252"/>
      <c r="M82" s="252"/>
      <c r="N82" s="252"/>
      <c r="O82" s="252"/>
      <c r="P82" s="252"/>
      <c r="Q82" s="253"/>
      <c r="R82" s="251"/>
      <c r="S82" s="252"/>
      <c r="T82" s="252"/>
      <c r="U82" s="252"/>
      <c r="V82" s="252"/>
      <c r="W82" s="252"/>
      <c r="X82" s="252"/>
      <c r="Y82" s="252"/>
      <c r="Z82" s="252"/>
      <c r="AA82" s="253"/>
      <c r="AB82" s="256"/>
      <c r="AC82" s="257"/>
      <c r="AD82" s="256"/>
      <c r="AE82" s="259"/>
      <c r="AF82" s="259"/>
      <c r="AG82" s="259"/>
      <c r="AH82" s="257"/>
      <c r="AI82" s="251"/>
      <c r="AJ82" s="253"/>
      <c r="AK82" s="263"/>
      <c r="AL82" s="264"/>
      <c r="AM82" s="264"/>
      <c r="AN82" s="264"/>
      <c r="AO82" s="264"/>
      <c r="AP82" s="264"/>
      <c r="AQ82" s="264"/>
      <c r="AR82" s="264"/>
      <c r="AS82" s="264"/>
      <c r="AT82" s="264"/>
      <c r="AU82" s="264"/>
      <c r="AV82" s="264"/>
      <c r="AW82" s="264"/>
      <c r="AX82" s="264"/>
      <c r="AY82" s="264"/>
      <c r="AZ82" s="264"/>
      <c r="BA82" s="264"/>
      <c r="BB82" s="264"/>
      <c r="BC82" s="264"/>
      <c r="BD82" s="264"/>
      <c r="BE82" s="264"/>
      <c r="BF82" s="264"/>
      <c r="BG82" s="265"/>
    </row>
    <row r="83" spans="8:59" x14ac:dyDescent="0.4">
      <c r="H83" s="251"/>
      <c r="I83" s="252"/>
      <c r="J83" s="252"/>
      <c r="K83" s="252"/>
      <c r="L83" s="252"/>
      <c r="M83" s="252"/>
      <c r="N83" s="252"/>
      <c r="O83" s="252"/>
      <c r="P83" s="252"/>
      <c r="Q83" s="253"/>
      <c r="R83" s="251"/>
      <c r="S83" s="252"/>
      <c r="T83" s="252"/>
      <c r="U83" s="252"/>
      <c r="V83" s="252"/>
      <c r="W83" s="252"/>
      <c r="X83" s="252"/>
      <c r="Y83" s="252"/>
      <c r="Z83" s="252"/>
      <c r="AA83" s="253"/>
      <c r="AB83" s="256"/>
      <c r="AC83" s="257"/>
      <c r="AD83" s="256"/>
      <c r="AE83" s="259"/>
      <c r="AF83" s="259"/>
      <c r="AG83" s="259"/>
      <c r="AH83" s="257"/>
      <c r="AI83" s="251"/>
      <c r="AJ83" s="253"/>
      <c r="AK83" s="263"/>
      <c r="AL83" s="264"/>
      <c r="AM83" s="264"/>
      <c r="AN83" s="264"/>
      <c r="AO83" s="264"/>
      <c r="AP83" s="264"/>
      <c r="AQ83" s="264"/>
      <c r="AR83" s="264"/>
      <c r="AS83" s="264"/>
      <c r="AT83" s="264"/>
      <c r="AU83" s="264"/>
      <c r="AV83" s="264"/>
      <c r="AW83" s="264"/>
      <c r="AX83" s="264"/>
      <c r="AY83" s="264"/>
      <c r="AZ83" s="264"/>
      <c r="BA83" s="264"/>
      <c r="BB83" s="264"/>
      <c r="BC83" s="264"/>
      <c r="BD83" s="264"/>
      <c r="BE83" s="264"/>
      <c r="BF83" s="264"/>
      <c r="BG83" s="265"/>
    </row>
    <row r="84" spans="8:59" x14ac:dyDescent="0.4">
      <c r="H84" s="272" t="s">
        <v>471</v>
      </c>
      <c r="I84" s="273"/>
      <c r="J84" s="273"/>
      <c r="K84" s="273"/>
      <c r="L84" s="273"/>
      <c r="M84" s="273"/>
      <c r="N84" s="273"/>
      <c r="O84" s="273"/>
      <c r="P84" s="273"/>
      <c r="Q84" s="274"/>
      <c r="R84" s="272" t="s">
        <v>472</v>
      </c>
      <c r="S84" s="273"/>
      <c r="T84" s="273"/>
      <c r="U84" s="273"/>
      <c r="V84" s="273"/>
      <c r="W84" s="273"/>
      <c r="X84" s="273"/>
      <c r="Y84" s="273"/>
      <c r="Z84" s="273"/>
      <c r="AA84" s="274"/>
      <c r="AB84" s="281" t="s">
        <v>473</v>
      </c>
      <c r="AC84" s="282"/>
      <c r="AD84" s="281" t="s">
        <v>474</v>
      </c>
      <c r="AE84" s="285"/>
      <c r="AF84" s="285"/>
      <c r="AG84" s="285"/>
      <c r="AH84" s="282"/>
      <c r="AI84" s="272" t="s">
        <v>442</v>
      </c>
      <c r="AJ84" s="274"/>
      <c r="AK84" s="287" t="s">
        <v>475</v>
      </c>
      <c r="AL84" s="288"/>
      <c r="AM84" s="288"/>
      <c r="AN84" s="288"/>
      <c r="AO84" s="288"/>
      <c r="AP84" s="288"/>
      <c r="AQ84" s="288"/>
      <c r="AR84" s="288"/>
      <c r="AS84" s="288"/>
      <c r="AT84" s="288"/>
      <c r="AU84" s="288"/>
      <c r="AV84" s="288"/>
      <c r="AW84" s="288"/>
      <c r="AX84" s="288"/>
      <c r="AY84" s="288"/>
      <c r="AZ84" s="288"/>
      <c r="BA84" s="288"/>
      <c r="BB84" s="288"/>
      <c r="BC84" s="288"/>
      <c r="BD84" s="288"/>
      <c r="BE84" s="288"/>
      <c r="BF84" s="288"/>
      <c r="BG84" s="289"/>
    </row>
    <row r="85" spans="8:59" x14ac:dyDescent="0.4">
      <c r="H85" s="275"/>
      <c r="I85" s="276"/>
      <c r="J85" s="276"/>
      <c r="K85" s="276"/>
      <c r="L85" s="276"/>
      <c r="M85" s="276"/>
      <c r="N85" s="276"/>
      <c r="O85" s="276"/>
      <c r="P85" s="276"/>
      <c r="Q85" s="277"/>
      <c r="R85" s="275"/>
      <c r="S85" s="276"/>
      <c r="T85" s="276"/>
      <c r="U85" s="276"/>
      <c r="V85" s="276"/>
      <c r="W85" s="276"/>
      <c r="X85" s="276"/>
      <c r="Y85" s="276"/>
      <c r="Z85" s="276"/>
      <c r="AA85" s="277"/>
      <c r="AB85" s="283"/>
      <c r="AC85" s="284"/>
      <c r="AD85" s="283"/>
      <c r="AE85" s="286"/>
      <c r="AF85" s="286"/>
      <c r="AG85" s="286"/>
      <c r="AH85" s="284"/>
      <c r="AI85" s="275"/>
      <c r="AJ85" s="277"/>
      <c r="AK85" s="290"/>
      <c r="AL85" s="291"/>
      <c r="AM85" s="291"/>
      <c r="AN85" s="291"/>
      <c r="AO85" s="291"/>
      <c r="AP85" s="291"/>
      <c r="AQ85" s="291"/>
      <c r="AR85" s="291"/>
      <c r="AS85" s="291"/>
      <c r="AT85" s="291"/>
      <c r="AU85" s="291"/>
      <c r="AV85" s="291"/>
      <c r="AW85" s="291"/>
      <c r="AX85" s="291"/>
      <c r="AY85" s="291"/>
      <c r="AZ85" s="291"/>
      <c r="BA85" s="291"/>
      <c r="BB85" s="291"/>
      <c r="BC85" s="291"/>
      <c r="BD85" s="291"/>
      <c r="BE85" s="291"/>
      <c r="BF85" s="291"/>
      <c r="BG85" s="292"/>
    </row>
    <row r="86" spans="8:59" x14ac:dyDescent="0.4">
      <c r="H86" s="275"/>
      <c r="I86" s="276"/>
      <c r="J86" s="276"/>
      <c r="K86" s="276"/>
      <c r="L86" s="276"/>
      <c r="M86" s="276"/>
      <c r="N86" s="276"/>
      <c r="O86" s="276"/>
      <c r="P86" s="276"/>
      <c r="Q86" s="277"/>
      <c r="R86" s="275"/>
      <c r="S86" s="276"/>
      <c r="T86" s="276"/>
      <c r="U86" s="276"/>
      <c r="V86" s="276"/>
      <c r="W86" s="276"/>
      <c r="X86" s="276"/>
      <c r="Y86" s="276"/>
      <c r="Z86" s="276"/>
      <c r="AA86" s="277"/>
      <c r="AB86" s="283"/>
      <c r="AC86" s="284"/>
      <c r="AD86" s="283"/>
      <c r="AE86" s="286"/>
      <c r="AF86" s="286"/>
      <c r="AG86" s="286"/>
      <c r="AH86" s="284"/>
      <c r="AI86" s="275"/>
      <c r="AJ86" s="277"/>
      <c r="AK86" s="290"/>
      <c r="AL86" s="291"/>
      <c r="AM86" s="291"/>
      <c r="AN86" s="291"/>
      <c r="AO86" s="291"/>
      <c r="AP86" s="291"/>
      <c r="AQ86" s="291"/>
      <c r="AR86" s="291"/>
      <c r="AS86" s="291"/>
      <c r="AT86" s="291"/>
      <c r="AU86" s="291"/>
      <c r="AV86" s="291"/>
      <c r="AW86" s="291"/>
      <c r="AX86" s="291"/>
      <c r="AY86" s="291"/>
      <c r="AZ86" s="291"/>
      <c r="BA86" s="291"/>
      <c r="BB86" s="291"/>
      <c r="BC86" s="291"/>
      <c r="BD86" s="291"/>
      <c r="BE86" s="291"/>
      <c r="BF86" s="291"/>
      <c r="BG86" s="292"/>
    </row>
    <row r="87" spans="8:59" ht="18.75" customHeight="1" x14ac:dyDescent="0.4">
      <c r="H87" s="278"/>
      <c r="I87" s="279"/>
      <c r="J87" s="279"/>
      <c r="K87" s="279"/>
      <c r="L87" s="279"/>
      <c r="M87" s="279"/>
      <c r="N87" s="279"/>
      <c r="O87" s="279"/>
      <c r="P87" s="279"/>
      <c r="Q87" s="280"/>
      <c r="R87" s="278"/>
      <c r="S87" s="279"/>
      <c r="T87" s="279"/>
      <c r="U87" s="279"/>
      <c r="V87" s="279"/>
      <c r="W87" s="279"/>
      <c r="X87" s="279"/>
      <c r="Y87" s="279"/>
      <c r="Z87" s="279"/>
      <c r="AA87" s="280"/>
      <c r="AB87" s="293" t="s">
        <v>462</v>
      </c>
      <c r="AC87" s="294"/>
      <c r="AD87" s="293" t="s">
        <v>259</v>
      </c>
      <c r="AE87" s="295"/>
      <c r="AF87" s="295"/>
      <c r="AG87" s="295"/>
      <c r="AH87" s="294"/>
      <c r="AI87" s="296" t="s">
        <v>259</v>
      </c>
      <c r="AJ87" s="297"/>
      <c r="AK87" s="298" t="s">
        <v>258</v>
      </c>
      <c r="AL87" s="299"/>
      <c r="AM87" s="299"/>
      <c r="AN87" s="299"/>
      <c r="AO87" s="299"/>
      <c r="AP87" s="299"/>
      <c r="AQ87" s="299"/>
      <c r="AR87" s="299"/>
      <c r="AS87" s="299"/>
      <c r="AT87" s="299"/>
      <c r="AU87" s="299"/>
      <c r="AV87" s="299"/>
      <c r="AW87" s="299"/>
      <c r="AX87" s="299"/>
      <c r="AY87" s="299"/>
      <c r="AZ87" s="299"/>
      <c r="BA87" s="299"/>
      <c r="BB87" s="299"/>
      <c r="BC87" s="299"/>
      <c r="BD87" s="299"/>
      <c r="BE87" s="299"/>
      <c r="BF87" s="299"/>
      <c r="BG87" s="300"/>
    </row>
    <row r="88" spans="8:59" x14ac:dyDescent="0.4">
      <c r="H88" s="312" t="s">
        <v>476</v>
      </c>
      <c r="I88" s="313"/>
      <c r="J88" s="313"/>
      <c r="K88" s="313"/>
      <c r="L88" s="313"/>
      <c r="M88" s="313"/>
      <c r="N88" s="313"/>
      <c r="O88" s="313"/>
      <c r="P88" s="313"/>
      <c r="Q88" s="314"/>
      <c r="R88" s="312" t="s">
        <v>477</v>
      </c>
      <c r="S88" s="313"/>
      <c r="T88" s="313"/>
      <c r="U88" s="313"/>
      <c r="V88" s="313"/>
      <c r="W88" s="313"/>
      <c r="X88" s="313"/>
      <c r="Y88" s="313"/>
      <c r="Z88" s="313"/>
      <c r="AA88" s="314"/>
      <c r="AB88" s="281" t="s">
        <v>443</v>
      </c>
      <c r="AC88" s="282"/>
      <c r="AD88" s="281" t="s">
        <v>444</v>
      </c>
      <c r="AE88" s="285"/>
      <c r="AF88" s="285"/>
      <c r="AG88" s="285"/>
      <c r="AH88" s="282"/>
      <c r="AI88" s="272" t="s">
        <v>442</v>
      </c>
      <c r="AJ88" s="274"/>
      <c r="AK88" s="287" t="s">
        <v>478</v>
      </c>
      <c r="AL88" s="288"/>
      <c r="AM88" s="288"/>
      <c r="AN88" s="288"/>
      <c r="AO88" s="288"/>
      <c r="AP88" s="288"/>
      <c r="AQ88" s="288"/>
      <c r="AR88" s="288"/>
      <c r="AS88" s="288"/>
      <c r="AT88" s="288"/>
      <c r="AU88" s="288"/>
      <c r="AV88" s="288"/>
      <c r="AW88" s="288"/>
      <c r="AX88" s="288"/>
      <c r="AY88" s="288"/>
      <c r="AZ88" s="288"/>
      <c r="BA88" s="288"/>
      <c r="BB88" s="288"/>
      <c r="BC88" s="288"/>
      <c r="BD88" s="288"/>
      <c r="BE88" s="288"/>
      <c r="BF88" s="288"/>
      <c r="BG88" s="289"/>
    </row>
    <row r="89" spans="8:59" x14ac:dyDescent="0.4">
      <c r="H89" s="315"/>
      <c r="I89" s="316"/>
      <c r="J89" s="316"/>
      <c r="K89" s="316"/>
      <c r="L89" s="316"/>
      <c r="M89" s="316"/>
      <c r="N89" s="316"/>
      <c r="O89" s="316"/>
      <c r="P89" s="316"/>
      <c r="Q89" s="317"/>
      <c r="R89" s="315"/>
      <c r="S89" s="316"/>
      <c r="T89" s="316"/>
      <c r="U89" s="316"/>
      <c r="V89" s="316"/>
      <c r="W89" s="316"/>
      <c r="X89" s="316"/>
      <c r="Y89" s="316"/>
      <c r="Z89" s="316"/>
      <c r="AA89" s="317"/>
      <c r="AB89" s="321"/>
      <c r="AC89" s="322"/>
      <c r="AD89" s="321"/>
      <c r="AE89" s="323"/>
      <c r="AF89" s="323"/>
      <c r="AG89" s="323"/>
      <c r="AH89" s="322"/>
      <c r="AI89" s="278"/>
      <c r="AJ89" s="280"/>
      <c r="AK89" s="324"/>
      <c r="AL89" s="325"/>
      <c r="AM89" s="325"/>
      <c r="AN89" s="325"/>
      <c r="AO89" s="325"/>
      <c r="AP89" s="325"/>
      <c r="AQ89" s="325"/>
      <c r="AR89" s="325"/>
      <c r="AS89" s="325"/>
      <c r="AT89" s="325"/>
      <c r="AU89" s="325"/>
      <c r="AV89" s="325"/>
      <c r="AW89" s="325"/>
      <c r="AX89" s="325"/>
      <c r="AY89" s="325"/>
      <c r="AZ89" s="325"/>
      <c r="BA89" s="325"/>
      <c r="BB89" s="325"/>
      <c r="BC89" s="325"/>
      <c r="BD89" s="325"/>
      <c r="BE89" s="325"/>
      <c r="BF89" s="325"/>
      <c r="BG89" s="326"/>
    </row>
    <row r="90" spans="8:59" x14ac:dyDescent="0.4">
      <c r="H90" s="315"/>
      <c r="I90" s="316"/>
      <c r="J90" s="316"/>
      <c r="K90" s="316"/>
      <c r="L90" s="316"/>
      <c r="M90" s="316"/>
      <c r="N90" s="316"/>
      <c r="O90" s="316"/>
      <c r="P90" s="316"/>
      <c r="Q90" s="317"/>
      <c r="R90" s="315"/>
      <c r="S90" s="316"/>
      <c r="T90" s="316"/>
      <c r="U90" s="316"/>
      <c r="V90" s="316"/>
      <c r="W90" s="316"/>
      <c r="X90" s="316"/>
      <c r="Y90" s="316"/>
      <c r="Z90" s="316"/>
      <c r="AA90" s="317"/>
      <c r="AB90" s="301" t="s">
        <v>445</v>
      </c>
      <c r="AC90" s="302"/>
      <c r="AD90" s="301" t="s">
        <v>447</v>
      </c>
      <c r="AE90" s="303"/>
      <c r="AF90" s="303"/>
      <c r="AG90" s="303"/>
      <c r="AH90" s="302"/>
      <c r="AI90" s="304" t="s">
        <v>442</v>
      </c>
      <c r="AJ90" s="304"/>
      <c r="AK90" s="308" t="s">
        <v>479</v>
      </c>
      <c r="AL90" s="308"/>
      <c r="AM90" s="308"/>
      <c r="AN90" s="308"/>
      <c r="AO90" s="308"/>
      <c r="AP90" s="308"/>
      <c r="AQ90" s="308"/>
      <c r="AR90" s="308"/>
      <c r="AS90" s="308"/>
      <c r="AT90" s="308"/>
      <c r="AU90" s="308"/>
      <c r="AV90" s="308"/>
      <c r="AW90" s="308"/>
      <c r="AX90" s="308"/>
      <c r="AY90" s="308"/>
      <c r="AZ90" s="308"/>
      <c r="BA90" s="308"/>
      <c r="BB90" s="308"/>
      <c r="BC90" s="308"/>
      <c r="BD90" s="308"/>
      <c r="BE90" s="308"/>
      <c r="BF90" s="308"/>
      <c r="BG90" s="308"/>
    </row>
    <row r="91" spans="8:59" x14ac:dyDescent="0.4">
      <c r="H91" s="315"/>
      <c r="I91" s="316"/>
      <c r="J91" s="316"/>
      <c r="K91" s="316"/>
      <c r="L91" s="316"/>
      <c r="M91" s="316"/>
      <c r="N91" s="316"/>
      <c r="O91" s="316"/>
      <c r="P91" s="316"/>
      <c r="Q91" s="317"/>
      <c r="R91" s="315"/>
      <c r="S91" s="316"/>
      <c r="T91" s="316"/>
      <c r="U91" s="316"/>
      <c r="V91" s="316"/>
      <c r="W91" s="316"/>
      <c r="X91" s="316"/>
      <c r="Y91" s="316"/>
      <c r="Z91" s="316"/>
      <c r="AA91" s="317"/>
      <c r="AB91" s="301" t="s">
        <v>446</v>
      </c>
      <c r="AC91" s="302"/>
      <c r="AD91" s="301" t="s">
        <v>449</v>
      </c>
      <c r="AE91" s="303"/>
      <c r="AF91" s="303"/>
      <c r="AG91" s="303"/>
      <c r="AH91" s="302"/>
      <c r="AI91" s="304" t="s">
        <v>442</v>
      </c>
      <c r="AJ91" s="304"/>
      <c r="AK91" s="308" t="s">
        <v>480</v>
      </c>
      <c r="AL91" s="308"/>
      <c r="AM91" s="308"/>
      <c r="AN91" s="308"/>
      <c r="AO91" s="308"/>
      <c r="AP91" s="308"/>
      <c r="AQ91" s="308"/>
      <c r="AR91" s="308"/>
      <c r="AS91" s="308"/>
      <c r="AT91" s="308"/>
      <c r="AU91" s="308"/>
      <c r="AV91" s="308"/>
      <c r="AW91" s="308"/>
      <c r="AX91" s="308"/>
      <c r="AY91" s="308"/>
      <c r="AZ91" s="308"/>
      <c r="BA91" s="308"/>
      <c r="BB91" s="308"/>
      <c r="BC91" s="308"/>
      <c r="BD91" s="308"/>
      <c r="BE91" s="308"/>
      <c r="BF91" s="308"/>
      <c r="BG91" s="308"/>
    </row>
    <row r="92" spans="8:59" x14ac:dyDescent="0.4">
      <c r="H92" s="315"/>
      <c r="I92" s="316"/>
      <c r="J92" s="316"/>
      <c r="K92" s="316"/>
      <c r="L92" s="316"/>
      <c r="M92" s="316"/>
      <c r="N92" s="316"/>
      <c r="O92" s="316"/>
      <c r="P92" s="316"/>
      <c r="Q92" s="317"/>
      <c r="R92" s="315"/>
      <c r="S92" s="316"/>
      <c r="T92" s="316"/>
      <c r="U92" s="316"/>
      <c r="V92" s="316"/>
      <c r="W92" s="316"/>
      <c r="X92" s="316"/>
      <c r="Y92" s="316"/>
      <c r="Z92" s="316"/>
      <c r="AA92" s="317"/>
      <c r="AB92" s="301" t="s">
        <v>448</v>
      </c>
      <c r="AC92" s="302"/>
      <c r="AD92" s="301" t="s">
        <v>451</v>
      </c>
      <c r="AE92" s="303"/>
      <c r="AF92" s="303"/>
      <c r="AG92" s="303"/>
      <c r="AH92" s="302"/>
      <c r="AI92" s="304" t="s">
        <v>442</v>
      </c>
      <c r="AJ92" s="304"/>
      <c r="AK92" s="305" t="s">
        <v>481</v>
      </c>
      <c r="AL92" s="306"/>
      <c r="AM92" s="306"/>
      <c r="AN92" s="306"/>
      <c r="AO92" s="306"/>
      <c r="AP92" s="306"/>
      <c r="AQ92" s="306"/>
      <c r="AR92" s="306"/>
      <c r="AS92" s="306"/>
      <c r="AT92" s="306"/>
      <c r="AU92" s="306"/>
      <c r="AV92" s="306"/>
      <c r="AW92" s="306"/>
      <c r="AX92" s="306"/>
      <c r="AY92" s="306"/>
      <c r="AZ92" s="306"/>
      <c r="BA92" s="306"/>
      <c r="BB92" s="306"/>
      <c r="BC92" s="306"/>
      <c r="BD92" s="306"/>
      <c r="BE92" s="306"/>
      <c r="BF92" s="306"/>
      <c r="BG92" s="307"/>
    </row>
    <row r="93" spans="8:59" x14ac:dyDescent="0.4">
      <c r="H93" s="315"/>
      <c r="I93" s="316"/>
      <c r="J93" s="316"/>
      <c r="K93" s="316"/>
      <c r="L93" s="316"/>
      <c r="M93" s="316"/>
      <c r="N93" s="316"/>
      <c r="O93" s="316"/>
      <c r="P93" s="316"/>
      <c r="Q93" s="317"/>
      <c r="R93" s="315"/>
      <c r="S93" s="316"/>
      <c r="T93" s="316"/>
      <c r="U93" s="316"/>
      <c r="V93" s="316"/>
      <c r="W93" s="316"/>
      <c r="X93" s="316"/>
      <c r="Y93" s="316"/>
      <c r="Z93" s="316"/>
      <c r="AA93" s="317"/>
      <c r="AB93" s="301" t="s">
        <v>450</v>
      </c>
      <c r="AC93" s="302"/>
      <c r="AD93" s="301" t="s">
        <v>453</v>
      </c>
      <c r="AE93" s="303"/>
      <c r="AF93" s="303"/>
      <c r="AG93" s="303"/>
      <c r="AH93" s="302"/>
      <c r="AI93" s="304" t="s">
        <v>442</v>
      </c>
      <c r="AJ93" s="304"/>
      <c r="AK93" s="305" t="s">
        <v>482</v>
      </c>
      <c r="AL93" s="306"/>
      <c r="AM93" s="306"/>
      <c r="AN93" s="306"/>
      <c r="AO93" s="306"/>
      <c r="AP93" s="306"/>
      <c r="AQ93" s="306"/>
      <c r="AR93" s="306"/>
      <c r="AS93" s="306"/>
      <c r="AT93" s="306"/>
      <c r="AU93" s="306"/>
      <c r="AV93" s="306"/>
      <c r="AW93" s="306"/>
      <c r="AX93" s="306"/>
      <c r="AY93" s="306"/>
      <c r="AZ93" s="306"/>
      <c r="BA93" s="306"/>
      <c r="BB93" s="306"/>
      <c r="BC93" s="306"/>
      <c r="BD93" s="306"/>
      <c r="BE93" s="306"/>
      <c r="BF93" s="306"/>
      <c r="BG93" s="307"/>
    </row>
    <row r="94" spans="8:59" x14ac:dyDescent="0.4">
      <c r="H94" s="315"/>
      <c r="I94" s="316"/>
      <c r="J94" s="316"/>
      <c r="K94" s="316"/>
      <c r="L94" s="316"/>
      <c r="M94" s="316"/>
      <c r="N94" s="316"/>
      <c r="O94" s="316"/>
      <c r="P94" s="316"/>
      <c r="Q94" s="317"/>
      <c r="R94" s="315"/>
      <c r="S94" s="316"/>
      <c r="T94" s="316"/>
      <c r="U94" s="316"/>
      <c r="V94" s="316"/>
      <c r="W94" s="316"/>
      <c r="X94" s="316"/>
      <c r="Y94" s="316"/>
      <c r="Z94" s="316"/>
      <c r="AA94" s="317"/>
      <c r="AB94" s="301" t="s">
        <v>452</v>
      </c>
      <c r="AC94" s="302"/>
      <c r="AD94" s="301" t="s">
        <v>455</v>
      </c>
      <c r="AE94" s="303"/>
      <c r="AF94" s="303"/>
      <c r="AG94" s="303"/>
      <c r="AH94" s="302"/>
      <c r="AI94" s="304" t="s">
        <v>442</v>
      </c>
      <c r="AJ94" s="304"/>
      <c r="AK94" s="305" t="s">
        <v>483</v>
      </c>
      <c r="AL94" s="306"/>
      <c r="AM94" s="306"/>
      <c r="AN94" s="306"/>
      <c r="AO94" s="306"/>
      <c r="AP94" s="306"/>
      <c r="AQ94" s="306"/>
      <c r="AR94" s="306"/>
      <c r="AS94" s="306"/>
      <c r="AT94" s="306"/>
      <c r="AU94" s="306"/>
      <c r="AV94" s="306"/>
      <c r="AW94" s="306"/>
      <c r="AX94" s="306"/>
      <c r="AY94" s="306"/>
      <c r="AZ94" s="306"/>
      <c r="BA94" s="306"/>
      <c r="BB94" s="306"/>
      <c r="BC94" s="306"/>
      <c r="BD94" s="306"/>
      <c r="BE94" s="306"/>
      <c r="BF94" s="306"/>
      <c r="BG94" s="307"/>
    </row>
    <row r="95" spans="8:59" x14ac:dyDescent="0.4">
      <c r="H95" s="315"/>
      <c r="I95" s="316"/>
      <c r="J95" s="316"/>
      <c r="K95" s="316"/>
      <c r="L95" s="316"/>
      <c r="M95" s="316"/>
      <c r="N95" s="316"/>
      <c r="O95" s="316"/>
      <c r="P95" s="316"/>
      <c r="Q95" s="317"/>
      <c r="R95" s="315"/>
      <c r="S95" s="316"/>
      <c r="T95" s="316"/>
      <c r="U95" s="316"/>
      <c r="V95" s="316"/>
      <c r="W95" s="316"/>
      <c r="X95" s="316"/>
      <c r="Y95" s="316"/>
      <c r="Z95" s="316"/>
      <c r="AA95" s="317"/>
      <c r="AB95" s="301" t="s">
        <v>454</v>
      </c>
      <c r="AC95" s="302"/>
      <c r="AD95" s="301" t="s">
        <v>484</v>
      </c>
      <c r="AE95" s="303"/>
      <c r="AF95" s="303"/>
      <c r="AG95" s="303"/>
      <c r="AH95" s="302"/>
      <c r="AI95" s="304" t="s">
        <v>442</v>
      </c>
      <c r="AJ95" s="304"/>
      <c r="AK95" s="305" t="s">
        <v>485</v>
      </c>
      <c r="AL95" s="306"/>
      <c r="AM95" s="306"/>
      <c r="AN95" s="306"/>
      <c r="AO95" s="306"/>
      <c r="AP95" s="306"/>
      <c r="AQ95" s="306"/>
      <c r="AR95" s="306"/>
      <c r="AS95" s="306"/>
      <c r="AT95" s="306"/>
      <c r="AU95" s="306"/>
      <c r="AV95" s="306"/>
      <c r="AW95" s="306"/>
      <c r="AX95" s="306"/>
      <c r="AY95" s="306"/>
      <c r="AZ95" s="306"/>
      <c r="BA95" s="306"/>
      <c r="BB95" s="306"/>
      <c r="BC95" s="306"/>
      <c r="BD95" s="306"/>
      <c r="BE95" s="306"/>
      <c r="BF95" s="306"/>
      <c r="BG95" s="307"/>
    </row>
    <row r="96" spans="8:59" x14ac:dyDescent="0.4">
      <c r="H96" s="318"/>
      <c r="I96" s="319"/>
      <c r="J96" s="319"/>
      <c r="K96" s="319"/>
      <c r="L96" s="319"/>
      <c r="M96" s="319"/>
      <c r="N96" s="319"/>
      <c r="O96" s="319"/>
      <c r="P96" s="319"/>
      <c r="Q96" s="320"/>
      <c r="R96" s="318"/>
      <c r="S96" s="319"/>
      <c r="T96" s="319"/>
      <c r="U96" s="319"/>
      <c r="V96" s="319"/>
      <c r="W96" s="319"/>
      <c r="X96" s="319"/>
      <c r="Y96" s="319"/>
      <c r="Z96" s="319"/>
      <c r="AA96" s="320"/>
      <c r="AB96" s="293" t="s">
        <v>461</v>
      </c>
      <c r="AC96" s="294"/>
      <c r="AD96" s="293" t="s">
        <v>259</v>
      </c>
      <c r="AE96" s="295"/>
      <c r="AF96" s="295"/>
      <c r="AG96" s="295"/>
      <c r="AH96" s="294"/>
      <c r="AI96" s="296" t="s">
        <v>259</v>
      </c>
      <c r="AJ96" s="297"/>
      <c r="AK96" s="298" t="s">
        <v>258</v>
      </c>
      <c r="AL96" s="299"/>
      <c r="AM96" s="299"/>
      <c r="AN96" s="299"/>
      <c r="AO96" s="299"/>
      <c r="AP96" s="299"/>
      <c r="AQ96" s="299"/>
      <c r="AR96" s="299"/>
      <c r="AS96" s="299"/>
      <c r="AT96" s="299"/>
      <c r="AU96" s="299"/>
      <c r="AV96" s="299"/>
      <c r="AW96" s="299"/>
      <c r="AX96" s="299"/>
      <c r="AY96" s="299"/>
      <c r="AZ96" s="299"/>
      <c r="BA96" s="299"/>
      <c r="BB96" s="299"/>
      <c r="BC96" s="299"/>
      <c r="BD96" s="299"/>
      <c r="BE96" s="299"/>
      <c r="BF96" s="299"/>
      <c r="BG96" s="300"/>
    </row>
    <row r="97" spans="8:59" x14ac:dyDescent="0.4">
      <c r="H97" s="304" t="s">
        <v>486</v>
      </c>
      <c r="I97" s="304"/>
      <c r="J97" s="304"/>
      <c r="K97" s="304"/>
      <c r="L97" s="304"/>
      <c r="M97" s="304"/>
      <c r="N97" s="304"/>
      <c r="O97" s="304"/>
      <c r="P97" s="304"/>
      <c r="Q97" s="304"/>
      <c r="R97" s="304" t="s">
        <v>487</v>
      </c>
      <c r="S97" s="304"/>
      <c r="T97" s="304"/>
      <c r="U97" s="304"/>
      <c r="V97" s="304"/>
      <c r="W97" s="304"/>
      <c r="X97" s="304"/>
      <c r="Y97" s="304"/>
      <c r="Z97" s="304"/>
      <c r="AA97" s="304"/>
      <c r="AB97" s="304" t="s">
        <v>439</v>
      </c>
      <c r="AC97" s="304"/>
      <c r="AD97" s="309" t="s">
        <v>488</v>
      </c>
      <c r="AE97" s="309"/>
      <c r="AF97" s="309"/>
      <c r="AG97" s="309"/>
      <c r="AH97" s="309"/>
      <c r="AI97" s="304" t="s">
        <v>442</v>
      </c>
      <c r="AJ97" s="304"/>
      <c r="AK97" s="310" t="s">
        <v>587</v>
      </c>
      <c r="AL97" s="311"/>
      <c r="AM97" s="311"/>
      <c r="AN97" s="311"/>
      <c r="AO97" s="311"/>
      <c r="AP97" s="311"/>
      <c r="AQ97" s="311"/>
      <c r="AR97" s="311"/>
      <c r="AS97" s="311"/>
      <c r="AT97" s="311"/>
      <c r="AU97" s="311"/>
      <c r="AV97" s="311"/>
      <c r="AW97" s="311"/>
      <c r="AX97" s="311"/>
      <c r="AY97" s="311"/>
      <c r="AZ97" s="311"/>
      <c r="BA97" s="311"/>
      <c r="BB97" s="311"/>
      <c r="BC97" s="311"/>
      <c r="BD97" s="311"/>
      <c r="BE97" s="311"/>
      <c r="BF97" s="311"/>
      <c r="BG97" s="311"/>
    </row>
    <row r="98" spans="8:59" x14ac:dyDescent="0.4">
      <c r="H98" s="304"/>
      <c r="I98" s="304"/>
      <c r="J98" s="304"/>
      <c r="K98" s="304"/>
      <c r="L98" s="304"/>
      <c r="M98" s="304"/>
      <c r="N98" s="304"/>
      <c r="O98" s="304"/>
      <c r="P98" s="304"/>
      <c r="Q98" s="304"/>
      <c r="R98" s="304"/>
      <c r="S98" s="304"/>
      <c r="T98" s="304"/>
      <c r="U98" s="304"/>
      <c r="V98" s="304"/>
      <c r="W98" s="304"/>
      <c r="X98" s="304"/>
      <c r="Y98" s="304"/>
      <c r="Z98" s="304"/>
      <c r="AA98" s="304"/>
      <c r="AB98" s="304"/>
      <c r="AC98" s="304"/>
      <c r="AD98" s="309"/>
      <c r="AE98" s="309"/>
      <c r="AF98" s="309"/>
      <c r="AG98" s="309"/>
      <c r="AH98" s="309"/>
      <c r="AI98" s="304"/>
      <c r="AJ98" s="304"/>
      <c r="AK98" s="311"/>
      <c r="AL98" s="311"/>
      <c r="AM98" s="311"/>
      <c r="AN98" s="311"/>
      <c r="AO98" s="311"/>
      <c r="AP98" s="311"/>
      <c r="AQ98" s="311"/>
      <c r="AR98" s="311"/>
      <c r="AS98" s="311"/>
      <c r="AT98" s="311"/>
      <c r="AU98" s="311"/>
      <c r="AV98" s="311"/>
      <c r="AW98" s="311"/>
      <c r="AX98" s="311"/>
      <c r="AY98" s="311"/>
      <c r="AZ98" s="311"/>
      <c r="BA98" s="311"/>
      <c r="BB98" s="311"/>
      <c r="BC98" s="311"/>
      <c r="BD98" s="311"/>
      <c r="BE98" s="311"/>
      <c r="BF98" s="311"/>
      <c r="BG98" s="311"/>
    </row>
    <row r="99" spans="8:59" x14ac:dyDescent="0.4">
      <c r="H99" s="304" t="s">
        <v>489</v>
      </c>
      <c r="I99" s="304"/>
      <c r="J99" s="304"/>
      <c r="K99" s="304"/>
      <c r="L99" s="304"/>
      <c r="M99" s="304"/>
      <c r="N99" s="304"/>
      <c r="O99" s="304"/>
      <c r="P99" s="304"/>
      <c r="Q99" s="304"/>
      <c r="R99" s="304" t="s">
        <v>490</v>
      </c>
      <c r="S99" s="304"/>
      <c r="T99" s="304"/>
      <c r="U99" s="304"/>
      <c r="V99" s="304"/>
      <c r="W99" s="304"/>
      <c r="X99" s="304"/>
      <c r="Y99" s="304"/>
      <c r="Z99" s="304"/>
      <c r="AA99" s="304"/>
      <c r="AB99" s="304" t="s">
        <v>473</v>
      </c>
      <c r="AC99" s="304"/>
      <c r="AD99" s="309" t="s">
        <v>491</v>
      </c>
      <c r="AE99" s="309"/>
      <c r="AF99" s="309"/>
      <c r="AG99" s="309"/>
      <c r="AH99" s="309"/>
      <c r="AI99" s="304" t="s">
        <v>442</v>
      </c>
      <c r="AJ99" s="304"/>
      <c r="AK99" s="310" t="s">
        <v>588</v>
      </c>
      <c r="AL99" s="311"/>
      <c r="AM99" s="311"/>
      <c r="AN99" s="311"/>
      <c r="AO99" s="311"/>
      <c r="AP99" s="311"/>
      <c r="AQ99" s="311"/>
      <c r="AR99" s="311"/>
      <c r="AS99" s="311"/>
      <c r="AT99" s="311"/>
      <c r="AU99" s="311"/>
      <c r="AV99" s="311"/>
      <c r="AW99" s="311"/>
      <c r="AX99" s="311"/>
      <c r="AY99" s="311"/>
      <c r="AZ99" s="311"/>
      <c r="BA99" s="311"/>
      <c r="BB99" s="311"/>
      <c r="BC99" s="311"/>
      <c r="BD99" s="311"/>
      <c r="BE99" s="311"/>
      <c r="BF99" s="311"/>
      <c r="BG99" s="311"/>
    </row>
    <row r="100" spans="8:59" x14ac:dyDescent="0.4">
      <c r="H100" s="304"/>
      <c r="I100" s="304"/>
      <c r="J100" s="304"/>
      <c r="K100" s="304"/>
      <c r="L100" s="304"/>
      <c r="M100" s="304"/>
      <c r="N100" s="304"/>
      <c r="O100" s="304"/>
      <c r="P100" s="304"/>
      <c r="Q100" s="304"/>
      <c r="R100" s="304"/>
      <c r="S100" s="304"/>
      <c r="T100" s="304"/>
      <c r="U100" s="304"/>
      <c r="V100" s="304"/>
      <c r="W100" s="304"/>
      <c r="X100" s="304"/>
      <c r="Y100" s="304"/>
      <c r="Z100" s="304"/>
      <c r="AA100" s="304"/>
      <c r="AB100" s="304"/>
      <c r="AC100" s="304"/>
      <c r="AD100" s="309"/>
      <c r="AE100" s="309"/>
      <c r="AF100" s="309"/>
      <c r="AG100" s="309"/>
      <c r="AH100" s="309"/>
      <c r="AI100" s="304"/>
      <c r="AJ100" s="304"/>
      <c r="AK100" s="311"/>
      <c r="AL100" s="311"/>
      <c r="AM100" s="311"/>
      <c r="AN100" s="311"/>
      <c r="AO100" s="311"/>
      <c r="AP100" s="311"/>
      <c r="AQ100" s="311"/>
      <c r="AR100" s="311"/>
      <c r="AS100" s="311"/>
      <c r="AT100" s="311"/>
      <c r="AU100" s="311"/>
      <c r="AV100" s="311"/>
      <c r="AW100" s="311"/>
      <c r="AX100" s="311"/>
      <c r="AY100" s="311"/>
      <c r="AZ100" s="311"/>
      <c r="BA100" s="311"/>
      <c r="BB100" s="311"/>
      <c r="BC100" s="311"/>
      <c r="BD100" s="311"/>
      <c r="BE100" s="311"/>
      <c r="BF100" s="311"/>
      <c r="BG100" s="311"/>
    </row>
    <row r="101" spans="8:59" x14ac:dyDescent="0.4">
      <c r="H101" s="304"/>
      <c r="I101" s="304"/>
      <c r="J101" s="304"/>
      <c r="K101" s="304"/>
      <c r="L101" s="304"/>
      <c r="M101" s="304"/>
      <c r="N101" s="304"/>
      <c r="O101" s="304"/>
      <c r="P101" s="304"/>
      <c r="Q101" s="304"/>
      <c r="R101" s="304"/>
      <c r="S101" s="304"/>
      <c r="T101" s="304"/>
      <c r="U101" s="304"/>
      <c r="V101" s="304"/>
      <c r="W101" s="304"/>
      <c r="X101" s="304"/>
      <c r="Y101" s="304"/>
      <c r="Z101" s="304"/>
      <c r="AA101" s="304"/>
      <c r="AB101" s="328" t="s">
        <v>462</v>
      </c>
      <c r="AC101" s="328"/>
      <c r="AD101" s="293" t="s">
        <v>259</v>
      </c>
      <c r="AE101" s="295"/>
      <c r="AF101" s="295"/>
      <c r="AG101" s="295"/>
      <c r="AH101" s="294"/>
      <c r="AI101" s="296" t="s">
        <v>259</v>
      </c>
      <c r="AJ101" s="297"/>
      <c r="AK101" s="329" t="s">
        <v>258</v>
      </c>
      <c r="AL101" s="329"/>
      <c r="AM101" s="329"/>
      <c r="AN101" s="329"/>
      <c r="AO101" s="329"/>
      <c r="AP101" s="329"/>
      <c r="AQ101" s="329"/>
      <c r="AR101" s="329"/>
      <c r="AS101" s="329"/>
      <c r="AT101" s="329"/>
      <c r="AU101" s="329"/>
      <c r="AV101" s="329"/>
      <c r="AW101" s="329"/>
      <c r="AX101" s="329"/>
      <c r="AY101" s="329"/>
      <c r="AZ101" s="329"/>
      <c r="BA101" s="329"/>
      <c r="BB101" s="329"/>
      <c r="BC101" s="329"/>
      <c r="BD101" s="329"/>
      <c r="BE101" s="329"/>
      <c r="BF101" s="329"/>
      <c r="BG101" s="329"/>
    </row>
    <row r="102" spans="8:59" ht="18.75" customHeight="1" x14ac:dyDescent="0.4">
      <c r="H102" s="304" t="s">
        <v>492</v>
      </c>
      <c r="I102" s="304"/>
      <c r="J102" s="304"/>
      <c r="K102" s="304"/>
      <c r="L102" s="304"/>
      <c r="M102" s="304"/>
      <c r="N102" s="304"/>
      <c r="O102" s="304"/>
      <c r="P102" s="304"/>
      <c r="Q102" s="304"/>
      <c r="R102" s="304" t="s">
        <v>493</v>
      </c>
      <c r="S102" s="304"/>
      <c r="T102" s="304"/>
      <c r="U102" s="304"/>
      <c r="V102" s="304"/>
      <c r="W102" s="304"/>
      <c r="X102" s="304"/>
      <c r="Y102" s="304"/>
      <c r="Z102" s="304"/>
      <c r="AA102" s="304"/>
      <c r="AB102" s="304" t="s">
        <v>439</v>
      </c>
      <c r="AC102" s="304"/>
      <c r="AD102" s="327" t="s">
        <v>494</v>
      </c>
      <c r="AE102" s="327"/>
      <c r="AF102" s="327"/>
      <c r="AG102" s="327"/>
      <c r="AH102" s="327"/>
      <c r="AI102" s="304" t="s">
        <v>442</v>
      </c>
      <c r="AJ102" s="304"/>
      <c r="AK102" s="310" t="s">
        <v>589</v>
      </c>
      <c r="AL102" s="311"/>
      <c r="AM102" s="311"/>
      <c r="AN102" s="311"/>
      <c r="AO102" s="311"/>
      <c r="AP102" s="311"/>
      <c r="AQ102" s="311"/>
      <c r="AR102" s="311"/>
      <c r="AS102" s="311"/>
      <c r="AT102" s="311"/>
      <c r="AU102" s="311"/>
      <c r="AV102" s="311"/>
      <c r="AW102" s="311"/>
      <c r="AX102" s="311"/>
      <c r="AY102" s="311"/>
      <c r="AZ102" s="311"/>
      <c r="BA102" s="311"/>
      <c r="BB102" s="311"/>
      <c r="BC102" s="311"/>
      <c r="BD102" s="311"/>
      <c r="BE102" s="311"/>
      <c r="BF102" s="311"/>
      <c r="BG102" s="311"/>
    </row>
    <row r="103" spans="8:59" x14ac:dyDescent="0.4">
      <c r="H103" s="304"/>
      <c r="I103" s="304"/>
      <c r="J103" s="304"/>
      <c r="K103" s="304"/>
      <c r="L103" s="304"/>
      <c r="M103" s="304"/>
      <c r="N103" s="304"/>
      <c r="O103" s="304"/>
      <c r="P103" s="304"/>
      <c r="Q103" s="304"/>
      <c r="R103" s="304"/>
      <c r="S103" s="304"/>
      <c r="T103" s="304"/>
      <c r="U103" s="304"/>
      <c r="V103" s="304"/>
      <c r="W103" s="304"/>
      <c r="X103" s="304"/>
      <c r="Y103" s="304"/>
      <c r="Z103" s="304"/>
      <c r="AA103" s="304"/>
      <c r="AB103" s="304"/>
      <c r="AC103" s="304"/>
      <c r="AD103" s="327"/>
      <c r="AE103" s="327"/>
      <c r="AF103" s="327"/>
      <c r="AG103" s="327"/>
      <c r="AH103" s="327"/>
      <c r="AI103" s="304"/>
      <c r="AJ103" s="304"/>
      <c r="AK103" s="311"/>
      <c r="AL103" s="311"/>
      <c r="AM103" s="311"/>
      <c r="AN103" s="311"/>
      <c r="AO103" s="311"/>
      <c r="AP103" s="311"/>
      <c r="AQ103" s="311"/>
      <c r="AR103" s="311"/>
      <c r="AS103" s="311"/>
      <c r="AT103" s="311"/>
      <c r="AU103" s="311"/>
      <c r="AV103" s="311"/>
      <c r="AW103" s="311"/>
      <c r="AX103" s="311"/>
      <c r="AY103" s="311"/>
      <c r="AZ103" s="311"/>
      <c r="BA103" s="311"/>
      <c r="BB103" s="311"/>
      <c r="BC103" s="311"/>
      <c r="BD103" s="311"/>
      <c r="BE103" s="311"/>
      <c r="BF103" s="311"/>
      <c r="BG103" s="311"/>
    </row>
    <row r="104" spans="8:59" ht="18.75" customHeight="1" x14ac:dyDescent="0.4">
      <c r="H104" s="304" t="s">
        <v>495</v>
      </c>
      <c r="I104" s="304"/>
      <c r="J104" s="304"/>
      <c r="K104" s="304"/>
      <c r="L104" s="304"/>
      <c r="M104" s="304"/>
      <c r="N104" s="304"/>
      <c r="O104" s="304"/>
      <c r="P104" s="304"/>
      <c r="Q104" s="304"/>
      <c r="R104" s="304" t="s">
        <v>496</v>
      </c>
      <c r="S104" s="304"/>
      <c r="T104" s="304"/>
      <c r="U104" s="304"/>
      <c r="V104" s="304"/>
      <c r="W104" s="304"/>
      <c r="X104" s="304"/>
      <c r="Y104" s="304"/>
      <c r="Z104" s="304"/>
      <c r="AA104" s="304"/>
      <c r="AB104" s="304" t="s">
        <v>473</v>
      </c>
      <c r="AC104" s="304"/>
      <c r="AD104" s="327" t="s">
        <v>497</v>
      </c>
      <c r="AE104" s="327"/>
      <c r="AF104" s="327"/>
      <c r="AG104" s="327"/>
      <c r="AH104" s="327"/>
      <c r="AI104" s="304" t="s">
        <v>442</v>
      </c>
      <c r="AJ104" s="304"/>
      <c r="AK104" s="310" t="s">
        <v>590</v>
      </c>
      <c r="AL104" s="311"/>
      <c r="AM104" s="311"/>
      <c r="AN104" s="311"/>
      <c r="AO104" s="311"/>
      <c r="AP104" s="311"/>
      <c r="AQ104" s="311"/>
      <c r="AR104" s="311"/>
      <c r="AS104" s="311"/>
      <c r="AT104" s="311"/>
      <c r="AU104" s="311"/>
      <c r="AV104" s="311"/>
      <c r="AW104" s="311"/>
      <c r="AX104" s="311"/>
      <c r="AY104" s="311"/>
      <c r="AZ104" s="311"/>
      <c r="BA104" s="311"/>
      <c r="BB104" s="311"/>
      <c r="BC104" s="311"/>
      <c r="BD104" s="311"/>
      <c r="BE104" s="311"/>
      <c r="BF104" s="311"/>
      <c r="BG104" s="311"/>
    </row>
    <row r="105" spans="8:59" x14ac:dyDescent="0.4">
      <c r="H105" s="304"/>
      <c r="I105" s="304"/>
      <c r="J105" s="304"/>
      <c r="K105" s="304"/>
      <c r="L105" s="304"/>
      <c r="M105" s="304"/>
      <c r="N105" s="304"/>
      <c r="O105" s="304"/>
      <c r="P105" s="304"/>
      <c r="Q105" s="304"/>
      <c r="R105" s="304"/>
      <c r="S105" s="304"/>
      <c r="T105" s="304"/>
      <c r="U105" s="304"/>
      <c r="V105" s="304"/>
      <c r="W105" s="304"/>
      <c r="X105" s="304"/>
      <c r="Y105" s="304"/>
      <c r="Z105" s="304"/>
      <c r="AA105" s="304"/>
      <c r="AB105" s="304"/>
      <c r="AC105" s="304"/>
      <c r="AD105" s="327"/>
      <c r="AE105" s="327"/>
      <c r="AF105" s="327"/>
      <c r="AG105" s="327"/>
      <c r="AH105" s="327"/>
      <c r="AI105" s="304"/>
      <c r="AJ105" s="304"/>
      <c r="AK105" s="311"/>
      <c r="AL105" s="311"/>
      <c r="AM105" s="311"/>
      <c r="AN105" s="311"/>
      <c r="AO105" s="311"/>
      <c r="AP105" s="311"/>
      <c r="AQ105" s="311"/>
      <c r="AR105" s="311"/>
      <c r="AS105" s="311"/>
      <c r="AT105" s="311"/>
      <c r="AU105" s="311"/>
      <c r="AV105" s="311"/>
      <c r="AW105" s="311"/>
      <c r="AX105" s="311"/>
      <c r="AY105" s="311"/>
      <c r="AZ105" s="311"/>
      <c r="BA105" s="311"/>
      <c r="BB105" s="311"/>
      <c r="BC105" s="311"/>
      <c r="BD105" s="311"/>
      <c r="BE105" s="311"/>
      <c r="BF105" s="311"/>
      <c r="BG105" s="311"/>
    </row>
    <row r="106" spans="8:59" x14ac:dyDescent="0.4">
      <c r="H106" s="304"/>
      <c r="I106" s="304"/>
      <c r="J106" s="304"/>
      <c r="K106" s="304"/>
      <c r="L106" s="304"/>
      <c r="M106" s="304"/>
      <c r="N106" s="304"/>
      <c r="O106" s="304"/>
      <c r="P106" s="304"/>
      <c r="Q106" s="304"/>
      <c r="R106" s="304"/>
      <c r="S106" s="304"/>
      <c r="T106" s="304"/>
      <c r="U106" s="304"/>
      <c r="V106" s="304"/>
      <c r="W106" s="304"/>
      <c r="X106" s="304"/>
      <c r="Y106" s="304"/>
      <c r="Z106" s="304"/>
      <c r="AA106" s="304"/>
      <c r="AB106" s="328" t="s">
        <v>462</v>
      </c>
      <c r="AC106" s="328"/>
      <c r="AD106" s="293" t="s">
        <v>259</v>
      </c>
      <c r="AE106" s="295"/>
      <c r="AF106" s="295"/>
      <c r="AG106" s="295"/>
      <c r="AH106" s="294"/>
      <c r="AI106" s="296" t="s">
        <v>259</v>
      </c>
      <c r="AJ106" s="297"/>
      <c r="AK106" s="329" t="s">
        <v>258</v>
      </c>
      <c r="AL106" s="329"/>
      <c r="AM106" s="329"/>
      <c r="AN106" s="329"/>
      <c r="AO106" s="329"/>
      <c r="AP106" s="329"/>
      <c r="AQ106" s="329"/>
      <c r="AR106" s="329"/>
      <c r="AS106" s="329"/>
      <c r="AT106" s="329"/>
      <c r="AU106" s="329"/>
      <c r="AV106" s="329"/>
      <c r="AW106" s="329"/>
      <c r="AX106" s="329"/>
      <c r="AY106" s="329"/>
      <c r="AZ106" s="329"/>
      <c r="BA106" s="329"/>
      <c r="BB106" s="329"/>
      <c r="BC106" s="329"/>
      <c r="BD106" s="329"/>
      <c r="BE106" s="329"/>
      <c r="BF106" s="329"/>
      <c r="BG106" s="329"/>
    </row>
    <row r="107" spans="8:59" ht="18.75" customHeight="1" x14ac:dyDescent="0.4">
      <c r="H107" s="304" t="s">
        <v>498</v>
      </c>
      <c r="I107" s="304"/>
      <c r="J107" s="304"/>
      <c r="K107" s="304"/>
      <c r="L107" s="304"/>
      <c r="M107" s="304"/>
      <c r="N107" s="304"/>
      <c r="O107" s="304"/>
      <c r="P107" s="304"/>
      <c r="Q107" s="304"/>
      <c r="R107" s="304" t="s">
        <v>499</v>
      </c>
      <c r="S107" s="304"/>
      <c r="T107" s="304"/>
      <c r="U107" s="304"/>
      <c r="V107" s="304"/>
      <c r="W107" s="304"/>
      <c r="X107" s="304"/>
      <c r="Y107" s="304"/>
      <c r="Z107" s="304"/>
      <c r="AA107" s="304"/>
      <c r="AB107" s="304" t="s">
        <v>439</v>
      </c>
      <c r="AC107" s="304"/>
      <c r="AD107" s="327" t="s">
        <v>500</v>
      </c>
      <c r="AE107" s="327"/>
      <c r="AF107" s="327"/>
      <c r="AG107" s="327"/>
      <c r="AH107" s="327"/>
      <c r="AI107" s="304" t="s">
        <v>442</v>
      </c>
      <c r="AJ107" s="304"/>
      <c r="AK107" s="310" t="s">
        <v>591</v>
      </c>
      <c r="AL107" s="311"/>
      <c r="AM107" s="311"/>
      <c r="AN107" s="311"/>
      <c r="AO107" s="311"/>
      <c r="AP107" s="311"/>
      <c r="AQ107" s="311"/>
      <c r="AR107" s="311"/>
      <c r="AS107" s="311"/>
      <c r="AT107" s="311"/>
      <c r="AU107" s="311"/>
      <c r="AV107" s="311"/>
      <c r="AW107" s="311"/>
      <c r="AX107" s="311"/>
      <c r="AY107" s="311"/>
      <c r="AZ107" s="311"/>
      <c r="BA107" s="311"/>
      <c r="BB107" s="311"/>
      <c r="BC107" s="311"/>
      <c r="BD107" s="311"/>
      <c r="BE107" s="311"/>
      <c r="BF107" s="311"/>
      <c r="BG107" s="311"/>
    </row>
    <row r="108" spans="8:59" x14ac:dyDescent="0.4">
      <c r="H108" s="304"/>
      <c r="I108" s="304"/>
      <c r="J108" s="304"/>
      <c r="K108" s="304"/>
      <c r="L108" s="304"/>
      <c r="M108" s="304"/>
      <c r="N108" s="304"/>
      <c r="O108" s="304"/>
      <c r="P108" s="304"/>
      <c r="Q108" s="304"/>
      <c r="R108" s="304"/>
      <c r="S108" s="304"/>
      <c r="T108" s="304"/>
      <c r="U108" s="304"/>
      <c r="V108" s="304"/>
      <c r="W108" s="304"/>
      <c r="X108" s="304"/>
      <c r="Y108" s="304"/>
      <c r="Z108" s="304"/>
      <c r="AA108" s="304"/>
      <c r="AB108" s="304"/>
      <c r="AC108" s="304"/>
      <c r="AD108" s="327"/>
      <c r="AE108" s="327"/>
      <c r="AF108" s="327"/>
      <c r="AG108" s="327"/>
      <c r="AH108" s="327"/>
      <c r="AI108" s="304"/>
      <c r="AJ108" s="304"/>
      <c r="AK108" s="311"/>
      <c r="AL108" s="311"/>
      <c r="AM108" s="311"/>
      <c r="AN108" s="311"/>
      <c r="AO108" s="311"/>
      <c r="AP108" s="311"/>
      <c r="AQ108" s="311"/>
      <c r="AR108" s="311"/>
      <c r="AS108" s="311"/>
      <c r="AT108" s="311"/>
      <c r="AU108" s="311"/>
      <c r="AV108" s="311"/>
      <c r="AW108" s="311"/>
      <c r="AX108" s="311"/>
      <c r="AY108" s="311"/>
      <c r="AZ108" s="311"/>
      <c r="BA108" s="311"/>
      <c r="BB108" s="311"/>
      <c r="BC108" s="311"/>
      <c r="BD108" s="311"/>
      <c r="BE108" s="311"/>
      <c r="BF108" s="311"/>
      <c r="BG108" s="311"/>
    </row>
    <row r="109" spans="8:59" ht="18.75" customHeight="1" x14ac:dyDescent="0.4">
      <c r="H109" s="304" t="s">
        <v>501</v>
      </c>
      <c r="I109" s="304"/>
      <c r="J109" s="304"/>
      <c r="K109" s="304"/>
      <c r="L109" s="304"/>
      <c r="M109" s="304"/>
      <c r="N109" s="304"/>
      <c r="O109" s="304"/>
      <c r="P109" s="304"/>
      <c r="Q109" s="304"/>
      <c r="R109" s="304" t="s">
        <v>502</v>
      </c>
      <c r="S109" s="304"/>
      <c r="T109" s="304"/>
      <c r="U109" s="304"/>
      <c r="V109" s="304"/>
      <c r="W109" s="304"/>
      <c r="X109" s="304"/>
      <c r="Y109" s="304"/>
      <c r="Z109" s="304"/>
      <c r="AA109" s="304"/>
      <c r="AB109" s="304" t="s">
        <v>473</v>
      </c>
      <c r="AC109" s="304"/>
      <c r="AD109" s="327" t="s">
        <v>503</v>
      </c>
      <c r="AE109" s="327"/>
      <c r="AF109" s="327"/>
      <c r="AG109" s="327"/>
      <c r="AH109" s="327"/>
      <c r="AI109" s="304" t="s">
        <v>442</v>
      </c>
      <c r="AJ109" s="304"/>
      <c r="AK109" s="310" t="s">
        <v>592</v>
      </c>
      <c r="AL109" s="311"/>
      <c r="AM109" s="311"/>
      <c r="AN109" s="311"/>
      <c r="AO109" s="311"/>
      <c r="AP109" s="311"/>
      <c r="AQ109" s="311"/>
      <c r="AR109" s="311"/>
      <c r="AS109" s="311"/>
      <c r="AT109" s="311"/>
      <c r="AU109" s="311"/>
      <c r="AV109" s="311"/>
      <c r="AW109" s="311"/>
      <c r="AX109" s="311"/>
      <c r="AY109" s="311"/>
      <c r="AZ109" s="311"/>
      <c r="BA109" s="311"/>
      <c r="BB109" s="311"/>
      <c r="BC109" s="311"/>
      <c r="BD109" s="311"/>
      <c r="BE109" s="311"/>
      <c r="BF109" s="311"/>
      <c r="BG109" s="311"/>
    </row>
    <row r="110" spans="8:59" x14ac:dyDescent="0.4">
      <c r="H110" s="304"/>
      <c r="I110" s="304"/>
      <c r="J110" s="304"/>
      <c r="K110" s="304"/>
      <c r="L110" s="304"/>
      <c r="M110" s="304"/>
      <c r="N110" s="304"/>
      <c r="O110" s="304"/>
      <c r="P110" s="304"/>
      <c r="Q110" s="304"/>
      <c r="R110" s="304"/>
      <c r="S110" s="304"/>
      <c r="T110" s="304"/>
      <c r="U110" s="304"/>
      <c r="V110" s="304"/>
      <c r="W110" s="304"/>
      <c r="X110" s="304"/>
      <c r="Y110" s="304"/>
      <c r="Z110" s="304"/>
      <c r="AA110" s="304"/>
      <c r="AB110" s="304"/>
      <c r="AC110" s="304"/>
      <c r="AD110" s="327"/>
      <c r="AE110" s="327"/>
      <c r="AF110" s="327"/>
      <c r="AG110" s="327"/>
      <c r="AH110" s="327"/>
      <c r="AI110" s="304"/>
      <c r="AJ110" s="304"/>
      <c r="AK110" s="311"/>
      <c r="AL110" s="311"/>
      <c r="AM110" s="311"/>
      <c r="AN110" s="311"/>
      <c r="AO110" s="311"/>
      <c r="AP110" s="311"/>
      <c r="AQ110" s="311"/>
      <c r="AR110" s="311"/>
      <c r="AS110" s="311"/>
      <c r="AT110" s="311"/>
      <c r="AU110" s="311"/>
      <c r="AV110" s="311"/>
      <c r="AW110" s="311"/>
      <c r="AX110" s="311"/>
      <c r="AY110" s="311"/>
      <c r="AZ110" s="311"/>
      <c r="BA110" s="311"/>
      <c r="BB110" s="311"/>
      <c r="BC110" s="311"/>
      <c r="BD110" s="311"/>
      <c r="BE110" s="311"/>
      <c r="BF110" s="311"/>
      <c r="BG110" s="311"/>
    </row>
    <row r="111" spans="8:59" x14ac:dyDescent="0.4">
      <c r="H111" s="304"/>
      <c r="I111" s="304"/>
      <c r="J111" s="304"/>
      <c r="K111" s="304"/>
      <c r="L111" s="304"/>
      <c r="M111" s="304"/>
      <c r="N111" s="304"/>
      <c r="O111" s="304"/>
      <c r="P111" s="304"/>
      <c r="Q111" s="304"/>
      <c r="R111" s="304"/>
      <c r="S111" s="304"/>
      <c r="T111" s="304"/>
      <c r="U111" s="304"/>
      <c r="V111" s="304"/>
      <c r="W111" s="304"/>
      <c r="X111" s="304"/>
      <c r="Y111" s="304"/>
      <c r="Z111" s="304"/>
      <c r="AA111" s="304"/>
      <c r="AB111" s="328" t="s">
        <v>462</v>
      </c>
      <c r="AC111" s="328"/>
      <c r="AD111" s="293" t="s">
        <v>259</v>
      </c>
      <c r="AE111" s="295"/>
      <c r="AF111" s="295"/>
      <c r="AG111" s="295"/>
      <c r="AH111" s="294"/>
      <c r="AI111" s="296" t="s">
        <v>259</v>
      </c>
      <c r="AJ111" s="297"/>
      <c r="AK111" s="329" t="s">
        <v>258</v>
      </c>
      <c r="AL111" s="329"/>
      <c r="AM111" s="329"/>
      <c r="AN111" s="329"/>
      <c r="AO111" s="329"/>
      <c r="AP111" s="329"/>
      <c r="AQ111" s="329"/>
      <c r="AR111" s="329"/>
      <c r="AS111" s="329"/>
      <c r="AT111" s="329"/>
      <c r="AU111" s="329"/>
      <c r="AV111" s="329"/>
      <c r="AW111" s="329"/>
      <c r="AX111" s="329"/>
      <c r="AY111" s="329"/>
      <c r="AZ111" s="329"/>
      <c r="BA111" s="329"/>
      <c r="BB111" s="329"/>
      <c r="BC111" s="329"/>
      <c r="BD111" s="329"/>
      <c r="BE111" s="329"/>
      <c r="BF111" s="329"/>
      <c r="BG111" s="329"/>
    </row>
    <row r="112" spans="8:59" ht="18.75" customHeight="1" x14ac:dyDescent="0.4">
      <c r="H112" s="304" t="s">
        <v>504</v>
      </c>
      <c r="I112" s="304"/>
      <c r="J112" s="304"/>
      <c r="K112" s="304"/>
      <c r="L112" s="304"/>
      <c r="M112" s="304"/>
      <c r="N112" s="304"/>
      <c r="O112" s="304"/>
      <c r="P112" s="304"/>
      <c r="Q112" s="304"/>
      <c r="R112" s="304" t="s">
        <v>505</v>
      </c>
      <c r="S112" s="304"/>
      <c r="T112" s="304"/>
      <c r="U112" s="304"/>
      <c r="V112" s="304"/>
      <c r="W112" s="304"/>
      <c r="X112" s="304"/>
      <c r="Y112" s="304"/>
      <c r="Z112" s="304"/>
      <c r="AA112" s="304"/>
      <c r="AB112" s="304" t="s">
        <v>439</v>
      </c>
      <c r="AC112" s="304"/>
      <c r="AD112" s="327" t="s">
        <v>506</v>
      </c>
      <c r="AE112" s="327"/>
      <c r="AF112" s="327"/>
      <c r="AG112" s="327"/>
      <c r="AH112" s="327"/>
      <c r="AI112" s="304" t="s">
        <v>442</v>
      </c>
      <c r="AJ112" s="304"/>
      <c r="AK112" s="310" t="s">
        <v>593</v>
      </c>
      <c r="AL112" s="311"/>
      <c r="AM112" s="311"/>
      <c r="AN112" s="311"/>
      <c r="AO112" s="311"/>
      <c r="AP112" s="311"/>
      <c r="AQ112" s="311"/>
      <c r="AR112" s="311"/>
      <c r="AS112" s="311"/>
      <c r="AT112" s="311"/>
      <c r="AU112" s="311"/>
      <c r="AV112" s="311"/>
      <c r="AW112" s="311"/>
      <c r="AX112" s="311"/>
      <c r="AY112" s="311"/>
      <c r="AZ112" s="311"/>
      <c r="BA112" s="311"/>
      <c r="BB112" s="311"/>
      <c r="BC112" s="311"/>
      <c r="BD112" s="311"/>
      <c r="BE112" s="311"/>
      <c r="BF112" s="311"/>
      <c r="BG112" s="311"/>
    </row>
    <row r="113" spans="8:59" x14ac:dyDescent="0.4">
      <c r="H113" s="304"/>
      <c r="I113" s="304"/>
      <c r="J113" s="304"/>
      <c r="K113" s="304"/>
      <c r="L113" s="304"/>
      <c r="M113" s="304"/>
      <c r="N113" s="304"/>
      <c r="O113" s="304"/>
      <c r="P113" s="304"/>
      <c r="Q113" s="304"/>
      <c r="R113" s="304"/>
      <c r="S113" s="304"/>
      <c r="T113" s="304"/>
      <c r="U113" s="304"/>
      <c r="V113" s="304"/>
      <c r="W113" s="304"/>
      <c r="X113" s="304"/>
      <c r="Y113" s="304"/>
      <c r="Z113" s="304"/>
      <c r="AA113" s="304"/>
      <c r="AB113" s="304"/>
      <c r="AC113" s="304"/>
      <c r="AD113" s="327"/>
      <c r="AE113" s="327"/>
      <c r="AF113" s="327"/>
      <c r="AG113" s="327"/>
      <c r="AH113" s="327"/>
      <c r="AI113" s="304"/>
      <c r="AJ113" s="304"/>
      <c r="AK113" s="311"/>
      <c r="AL113" s="311"/>
      <c r="AM113" s="311"/>
      <c r="AN113" s="311"/>
      <c r="AO113" s="311"/>
      <c r="AP113" s="311"/>
      <c r="AQ113" s="311"/>
      <c r="AR113" s="311"/>
      <c r="AS113" s="311"/>
      <c r="AT113" s="311"/>
      <c r="AU113" s="311"/>
      <c r="AV113" s="311"/>
      <c r="AW113" s="311"/>
      <c r="AX113" s="311"/>
      <c r="AY113" s="311"/>
      <c r="AZ113" s="311"/>
      <c r="BA113" s="311"/>
      <c r="BB113" s="311"/>
      <c r="BC113" s="311"/>
      <c r="BD113" s="311"/>
      <c r="BE113" s="311"/>
      <c r="BF113" s="311"/>
      <c r="BG113" s="311"/>
    </row>
    <row r="114" spans="8:59" ht="18.75" customHeight="1" x14ac:dyDescent="0.4">
      <c r="H114" s="304" t="s">
        <v>507</v>
      </c>
      <c r="I114" s="304"/>
      <c r="J114" s="304"/>
      <c r="K114" s="304"/>
      <c r="L114" s="304"/>
      <c r="M114" s="304"/>
      <c r="N114" s="304"/>
      <c r="O114" s="304"/>
      <c r="P114" s="304"/>
      <c r="Q114" s="304"/>
      <c r="R114" s="304" t="s">
        <v>508</v>
      </c>
      <c r="S114" s="304"/>
      <c r="T114" s="304"/>
      <c r="U114" s="304"/>
      <c r="V114" s="304"/>
      <c r="W114" s="304"/>
      <c r="X114" s="304"/>
      <c r="Y114" s="304"/>
      <c r="Z114" s="304"/>
      <c r="AA114" s="304"/>
      <c r="AB114" s="304" t="s">
        <v>473</v>
      </c>
      <c r="AC114" s="304"/>
      <c r="AD114" s="327" t="s">
        <v>509</v>
      </c>
      <c r="AE114" s="327"/>
      <c r="AF114" s="327"/>
      <c r="AG114" s="327"/>
      <c r="AH114" s="327"/>
      <c r="AI114" s="304" t="s">
        <v>442</v>
      </c>
      <c r="AJ114" s="304"/>
      <c r="AK114" s="310" t="s">
        <v>594</v>
      </c>
      <c r="AL114" s="311"/>
      <c r="AM114" s="311"/>
      <c r="AN114" s="311"/>
      <c r="AO114" s="311"/>
      <c r="AP114" s="311"/>
      <c r="AQ114" s="311"/>
      <c r="AR114" s="311"/>
      <c r="AS114" s="311"/>
      <c r="AT114" s="311"/>
      <c r="AU114" s="311"/>
      <c r="AV114" s="311"/>
      <c r="AW114" s="311"/>
      <c r="AX114" s="311"/>
      <c r="AY114" s="311"/>
      <c r="AZ114" s="311"/>
      <c r="BA114" s="311"/>
      <c r="BB114" s="311"/>
      <c r="BC114" s="311"/>
      <c r="BD114" s="311"/>
      <c r="BE114" s="311"/>
      <c r="BF114" s="311"/>
      <c r="BG114" s="311"/>
    </row>
    <row r="115" spans="8:59" x14ac:dyDescent="0.4">
      <c r="H115" s="304"/>
      <c r="I115" s="304"/>
      <c r="J115" s="304"/>
      <c r="K115" s="304"/>
      <c r="L115" s="304"/>
      <c r="M115" s="304"/>
      <c r="N115" s="304"/>
      <c r="O115" s="304"/>
      <c r="P115" s="304"/>
      <c r="Q115" s="304"/>
      <c r="R115" s="304"/>
      <c r="S115" s="304"/>
      <c r="T115" s="304"/>
      <c r="U115" s="304"/>
      <c r="V115" s="304"/>
      <c r="W115" s="304"/>
      <c r="X115" s="304"/>
      <c r="Y115" s="304"/>
      <c r="Z115" s="304"/>
      <c r="AA115" s="304"/>
      <c r="AB115" s="304"/>
      <c r="AC115" s="304"/>
      <c r="AD115" s="327"/>
      <c r="AE115" s="327"/>
      <c r="AF115" s="327"/>
      <c r="AG115" s="327"/>
      <c r="AH115" s="327"/>
      <c r="AI115" s="304"/>
      <c r="AJ115" s="304"/>
      <c r="AK115" s="311"/>
      <c r="AL115" s="311"/>
      <c r="AM115" s="311"/>
      <c r="AN115" s="311"/>
      <c r="AO115" s="311"/>
      <c r="AP115" s="311"/>
      <c r="AQ115" s="311"/>
      <c r="AR115" s="311"/>
      <c r="AS115" s="311"/>
      <c r="AT115" s="311"/>
      <c r="AU115" s="311"/>
      <c r="AV115" s="311"/>
      <c r="AW115" s="311"/>
      <c r="AX115" s="311"/>
      <c r="AY115" s="311"/>
      <c r="AZ115" s="311"/>
      <c r="BA115" s="311"/>
      <c r="BB115" s="311"/>
      <c r="BC115" s="311"/>
      <c r="BD115" s="311"/>
      <c r="BE115" s="311"/>
      <c r="BF115" s="311"/>
      <c r="BG115" s="311"/>
    </row>
    <row r="116" spans="8:59" x14ac:dyDescent="0.4">
      <c r="H116" s="304"/>
      <c r="I116" s="304"/>
      <c r="J116" s="304"/>
      <c r="K116" s="304"/>
      <c r="L116" s="304"/>
      <c r="M116" s="304"/>
      <c r="N116" s="304"/>
      <c r="O116" s="304"/>
      <c r="P116" s="304"/>
      <c r="Q116" s="304"/>
      <c r="R116" s="304"/>
      <c r="S116" s="304"/>
      <c r="T116" s="304"/>
      <c r="U116" s="304"/>
      <c r="V116" s="304"/>
      <c r="W116" s="304"/>
      <c r="X116" s="304"/>
      <c r="Y116" s="304"/>
      <c r="Z116" s="304"/>
      <c r="AA116" s="304"/>
      <c r="AB116" s="328" t="s">
        <v>462</v>
      </c>
      <c r="AC116" s="328"/>
      <c r="AD116" s="293" t="s">
        <v>259</v>
      </c>
      <c r="AE116" s="295"/>
      <c r="AF116" s="295"/>
      <c r="AG116" s="295"/>
      <c r="AH116" s="294"/>
      <c r="AI116" s="296" t="s">
        <v>259</v>
      </c>
      <c r="AJ116" s="297"/>
      <c r="AK116" s="329" t="s">
        <v>258</v>
      </c>
      <c r="AL116" s="329"/>
      <c r="AM116" s="329"/>
      <c r="AN116" s="329"/>
      <c r="AO116" s="329"/>
      <c r="AP116" s="329"/>
      <c r="AQ116" s="329"/>
      <c r="AR116" s="329"/>
      <c r="AS116" s="329"/>
      <c r="AT116" s="329"/>
      <c r="AU116" s="329"/>
      <c r="AV116" s="329"/>
      <c r="AW116" s="329"/>
      <c r="AX116" s="329"/>
      <c r="AY116" s="329"/>
      <c r="AZ116" s="329"/>
      <c r="BA116" s="329"/>
      <c r="BB116" s="329"/>
      <c r="BC116" s="329"/>
      <c r="BD116" s="329"/>
      <c r="BE116" s="329"/>
      <c r="BF116" s="329"/>
      <c r="BG116" s="329"/>
    </row>
    <row r="117" spans="8:59" x14ac:dyDescent="0.4">
      <c r="H117" s="330" t="s">
        <v>794</v>
      </c>
      <c r="I117" s="331"/>
      <c r="J117" s="331"/>
      <c r="K117" s="331"/>
      <c r="L117" s="331"/>
      <c r="M117" s="331"/>
      <c r="N117" s="331"/>
      <c r="O117" s="331"/>
      <c r="P117" s="331"/>
      <c r="Q117" s="331"/>
      <c r="R117" s="331"/>
      <c r="S117" s="331"/>
      <c r="T117" s="331"/>
      <c r="U117" s="331"/>
      <c r="V117" s="331"/>
      <c r="W117" s="331"/>
      <c r="X117" s="331"/>
      <c r="Y117" s="331"/>
      <c r="Z117" s="331"/>
      <c r="AA117" s="331"/>
      <c r="AB117" s="331"/>
      <c r="AC117" s="331"/>
      <c r="AD117" s="331"/>
      <c r="AE117" s="331"/>
      <c r="AF117" s="331"/>
      <c r="AG117" s="331"/>
      <c r="AH117" s="331"/>
      <c r="AI117" s="331"/>
      <c r="AJ117" s="331"/>
      <c r="AK117" s="331"/>
      <c r="AL117" s="331"/>
      <c r="AM117" s="331"/>
      <c r="AN117" s="331"/>
      <c r="AO117" s="331"/>
      <c r="AP117" s="331"/>
      <c r="AQ117" s="331"/>
      <c r="AR117" s="331"/>
      <c r="AS117" s="331"/>
      <c r="AT117" s="331"/>
      <c r="AU117" s="331"/>
      <c r="AV117" s="331"/>
      <c r="AW117" s="331"/>
      <c r="AX117" s="331"/>
      <c r="AY117" s="331"/>
      <c r="AZ117" s="331"/>
      <c r="BA117" s="331"/>
      <c r="BB117" s="331"/>
      <c r="BC117" s="331"/>
      <c r="BD117" s="331"/>
      <c r="BE117" s="331"/>
      <c r="BF117" s="331"/>
      <c r="BG117" s="332"/>
    </row>
    <row r="118" spans="8:59" x14ac:dyDescent="0.4">
      <c r="AD118" s="33"/>
      <c r="AE118" s="33"/>
      <c r="AF118" s="33"/>
      <c r="AG118" s="33"/>
      <c r="AH118" s="33"/>
    </row>
    <row r="119" spans="8:59" x14ac:dyDescent="0.4">
      <c r="AD119" s="33"/>
      <c r="AE119" s="33"/>
      <c r="AF119" s="33"/>
      <c r="AG119" s="33"/>
      <c r="AH119" s="33"/>
    </row>
    <row r="120" spans="8:59" x14ac:dyDescent="0.4">
      <c r="H120" s="333" t="s">
        <v>510</v>
      </c>
      <c r="I120" s="334"/>
      <c r="J120" s="334"/>
      <c r="K120" s="334"/>
      <c r="L120" s="334"/>
      <c r="M120" s="334"/>
      <c r="N120" s="334"/>
      <c r="O120" s="334"/>
      <c r="P120" s="334"/>
      <c r="Q120" s="334"/>
      <c r="R120" s="334"/>
      <c r="S120" s="334"/>
      <c r="T120" s="334"/>
      <c r="U120" s="334"/>
      <c r="V120" s="334"/>
      <c r="W120" s="334"/>
      <c r="X120" s="334"/>
      <c r="Y120" s="334"/>
      <c r="Z120" s="334"/>
      <c r="AA120" s="334"/>
      <c r="AB120" s="334"/>
      <c r="AC120" s="334"/>
      <c r="AD120" s="334"/>
      <c r="AE120" s="334"/>
      <c r="AF120" s="334"/>
      <c r="AG120" s="334"/>
      <c r="AH120" s="334"/>
      <c r="AI120" s="334"/>
      <c r="AJ120" s="334"/>
      <c r="AK120" s="334"/>
      <c r="AL120" s="334"/>
      <c r="AM120" s="334"/>
      <c r="AN120" s="334"/>
      <c r="AO120" s="334"/>
      <c r="AP120" s="334"/>
      <c r="AQ120" s="334"/>
      <c r="AR120" s="334"/>
      <c r="AS120" s="334"/>
      <c r="AT120" s="334"/>
      <c r="AU120" s="334"/>
      <c r="AV120" s="334"/>
      <c r="AW120" s="334"/>
      <c r="AX120" s="334"/>
      <c r="AY120" s="334"/>
      <c r="AZ120" s="334"/>
      <c r="BA120" s="334"/>
      <c r="BB120" s="334"/>
      <c r="BC120" s="334"/>
      <c r="BD120" s="334"/>
      <c r="BE120" s="334"/>
      <c r="BF120" s="334"/>
      <c r="BG120" s="335"/>
    </row>
    <row r="121" spans="8:59" x14ac:dyDescent="0.4">
      <c r="H121" s="336" t="s">
        <v>433</v>
      </c>
      <c r="I121" s="336"/>
      <c r="J121" s="336"/>
      <c r="K121" s="336"/>
      <c r="L121" s="336"/>
      <c r="M121" s="336"/>
      <c r="N121" s="336"/>
      <c r="O121" s="336"/>
      <c r="P121" s="336"/>
      <c r="Q121" s="336"/>
      <c r="R121" s="336" t="s">
        <v>1</v>
      </c>
      <c r="S121" s="336"/>
      <c r="T121" s="336"/>
      <c r="U121" s="336"/>
      <c r="V121" s="336"/>
      <c r="W121" s="336"/>
      <c r="X121" s="336"/>
      <c r="Y121" s="336"/>
      <c r="Z121" s="336"/>
      <c r="AA121" s="336"/>
      <c r="AB121" s="337" t="s">
        <v>434</v>
      </c>
      <c r="AC121" s="338"/>
      <c r="AD121" s="337" t="s">
        <v>435</v>
      </c>
      <c r="AE121" s="339"/>
      <c r="AF121" s="339"/>
      <c r="AG121" s="339"/>
      <c r="AH121" s="338"/>
      <c r="AI121" s="340" t="s">
        <v>436</v>
      </c>
      <c r="AJ121" s="340"/>
      <c r="AK121" s="336" t="s">
        <v>437</v>
      </c>
      <c r="AL121" s="336"/>
      <c r="AM121" s="336"/>
      <c r="AN121" s="336"/>
      <c r="AO121" s="336"/>
      <c r="AP121" s="336"/>
      <c r="AQ121" s="336"/>
      <c r="AR121" s="336"/>
      <c r="AS121" s="336"/>
      <c r="AT121" s="336"/>
      <c r="AU121" s="336"/>
      <c r="AV121" s="336"/>
      <c r="AW121" s="336"/>
      <c r="AX121" s="336"/>
      <c r="AY121" s="336"/>
      <c r="AZ121" s="336"/>
      <c r="BA121" s="336"/>
      <c r="BB121" s="336"/>
      <c r="BC121" s="336"/>
      <c r="BD121" s="336"/>
      <c r="BE121" s="336"/>
      <c r="BF121" s="336"/>
      <c r="BG121" s="336"/>
    </row>
    <row r="122" spans="8:59" x14ac:dyDescent="0.4">
      <c r="H122" s="345" t="s">
        <v>511</v>
      </c>
      <c r="I122" s="345"/>
      <c r="J122" s="345"/>
      <c r="K122" s="345"/>
      <c r="L122" s="345"/>
      <c r="M122" s="345"/>
      <c r="N122" s="345"/>
      <c r="O122" s="345"/>
      <c r="P122" s="345"/>
      <c r="Q122" s="345"/>
      <c r="R122" s="345" t="s">
        <v>512</v>
      </c>
      <c r="S122" s="345"/>
      <c r="T122" s="345"/>
      <c r="U122" s="345"/>
      <c r="V122" s="345"/>
      <c r="W122" s="345"/>
      <c r="X122" s="345"/>
      <c r="Y122" s="345"/>
      <c r="Z122" s="345"/>
      <c r="AA122" s="345"/>
      <c r="AB122" s="346" t="s">
        <v>443</v>
      </c>
      <c r="AC122" s="347"/>
      <c r="AD122" s="347" t="s">
        <v>444</v>
      </c>
      <c r="AE122" s="347"/>
      <c r="AF122" s="347"/>
      <c r="AG122" s="347"/>
      <c r="AH122" s="347"/>
      <c r="AI122" s="348" t="s">
        <v>442</v>
      </c>
      <c r="AJ122" s="348"/>
      <c r="AK122" s="349" t="s">
        <v>513</v>
      </c>
      <c r="AL122" s="349"/>
      <c r="AM122" s="349"/>
      <c r="AN122" s="349"/>
      <c r="AO122" s="349"/>
      <c r="AP122" s="349"/>
      <c r="AQ122" s="349"/>
      <c r="AR122" s="349"/>
      <c r="AS122" s="349"/>
      <c r="AT122" s="349"/>
      <c r="AU122" s="349"/>
      <c r="AV122" s="349"/>
      <c r="AW122" s="349"/>
      <c r="AX122" s="349"/>
      <c r="AY122" s="349"/>
      <c r="AZ122" s="349"/>
      <c r="BA122" s="349"/>
      <c r="BB122" s="349"/>
      <c r="BC122" s="349"/>
      <c r="BD122" s="349"/>
      <c r="BE122" s="349"/>
      <c r="BF122" s="349"/>
      <c r="BG122" s="349"/>
    </row>
    <row r="123" spans="8:59" x14ac:dyDescent="0.4">
      <c r="H123" s="345"/>
      <c r="I123" s="345"/>
      <c r="J123" s="345"/>
      <c r="K123" s="345"/>
      <c r="L123" s="345"/>
      <c r="M123" s="345"/>
      <c r="N123" s="345"/>
      <c r="O123" s="345"/>
      <c r="P123" s="345"/>
      <c r="Q123" s="345"/>
      <c r="R123" s="345"/>
      <c r="S123" s="345"/>
      <c r="T123" s="345"/>
      <c r="U123" s="345"/>
      <c r="V123" s="345"/>
      <c r="W123" s="345"/>
      <c r="X123" s="345"/>
      <c r="Y123" s="345"/>
      <c r="Z123" s="345"/>
      <c r="AA123" s="345"/>
      <c r="AB123" s="346"/>
      <c r="AC123" s="347"/>
      <c r="AD123" s="347"/>
      <c r="AE123" s="347"/>
      <c r="AF123" s="347"/>
      <c r="AG123" s="347"/>
      <c r="AH123" s="347"/>
      <c r="AI123" s="348"/>
      <c r="AJ123" s="348"/>
      <c r="AK123" s="349"/>
      <c r="AL123" s="349"/>
      <c r="AM123" s="349"/>
      <c r="AN123" s="349"/>
      <c r="AO123" s="349"/>
      <c r="AP123" s="349"/>
      <c r="AQ123" s="349"/>
      <c r="AR123" s="349"/>
      <c r="AS123" s="349"/>
      <c r="AT123" s="349"/>
      <c r="AU123" s="349"/>
      <c r="AV123" s="349"/>
      <c r="AW123" s="349"/>
      <c r="AX123" s="349"/>
      <c r="AY123" s="349"/>
      <c r="AZ123" s="349"/>
      <c r="BA123" s="349"/>
      <c r="BB123" s="349"/>
      <c r="BC123" s="349"/>
      <c r="BD123" s="349"/>
      <c r="BE123" s="349"/>
      <c r="BF123" s="349"/>
      <c r="BG123" s="349"/>
    </row>
    <row r="124" spans="8:59" x14ac:dyDescent="0.4">
      <c r="H124" s="345"/>
      <c r="I124" s="345"/>
      <c r="J124" s="345"/>
      <c r="K124" s="345"/>
      <c r="L124" s="345"/>
      <c r="M124" s="345"/>
      <c r="N124" s="345"/>
      <c r="O124" s="345"/>
      <c r="P124" s="345"/>
      <c r="Q124" s="345"/>
      <c r="R124" s="345"/>
      <c r="S124" s="345"/>
      <c r="T124" s="345"/>
      <c r="U124" s="345"/>
      <c r="V124" s="345"/>
      <c r="W124" s="345"/>
      <c r="X124" s="345"/>
      <c r="Y124" s="345"/>
      <c r="Z124" s="345"/>
      <c r="AA124" s="345"/>
      <c r="AB124" s="268" t="s">
        <v>445</v>
      </c>
      <c r="AC124" s="267"/>
      <c r="AD124" s="266" t="s">
        <v>447</v>
      </c>
      <c r="AE124" s="268"/>
      <c r="AF124" s="268"/>
      <c r="AG124" s="268"/>
      <c r="AH124" s="267"/>
      <c r="AI124" s="152" t="s">
        <v>442</v>
      </c>
      <c r="AJ124" s="152"/>
      <c r="AK124" s="341" t="s">
        <v>514</v>
      </c>
      <c r="AL124" s="341"/>
      <c r="AM124" s="341"/>
      <c r="AN124" s="341"/>
      <c r="AO124" s="341"/>
      <c r="AP124" s="341"/>
      <c r="AQ124" s="341"/>
      <c r="AR124" s="341"/>
      <c r="AS124" s="341"/>
      <c r="AT124" s="341"/>
      <c r="AU124" s="341"/>
      <c r="AV124" s="341"/>
      <c r="AW124" s="341"/>
      <c r="AX124" s="341"/>
      <c r="AY124" s="341"/>
      <c r="AZ124" s="341"/>
      <c r="BA124" s="341"/>
      <c r="BB124" s="341"/>
      <c r="BC124" s="341"/>
      <c r="BD124" s="341"/>
      <c r="BE124" s="341"/>
      <c r="BF124" s="341"/>
      <c r="BG124" s="341"/>
    </row>
    <row r="125" spans="8:59" x14ac:dyDescent="0.4">
      <c r="H125" s="345"/>
      <c r="I125" s="345"/>
      <c r="J125" s="345"/>
      <c r="K125" s="345"/>
      <c r="L125" s="345"/>
      <c r="M125" s="345"/>
      <c r="N125" s="345"/>
      <c r="O125" s="345"/>
      <c r="P125" s="345"/>
      <c r="Q125" s="345"/>
      <c r="R125" s="345"/>
      <c r="S125" s="345"/>
      <c r="T125" s="345"/>
      <c r="U125" s="345"/>
      <c r="V125" s="345"/>
      <c r="W125" s="345"/>
      <c r="X125" s="345"/>
      <c r="Y125" s="345"/>
      <c r="Z125" s="345"/>
      <c r="AA125" s="345"/>
      <c r="AB125" s="268" t="s">
        <v>446</v>
      </c>
      <c r="AC125" s="267"/>
      <c r="AD125" s="301" t="s">
        <v>449</v>
      </c>
      <c r="AE125" s="303"/>
      <c r="AF125" s="303"/>
      <c r="AG125" s="303"/>
      <c r="AH125" s="302"/>
      <c r="AI125" s="152" t="s">
        <v>442</v>
      </c>
      <c r="AJ125" s="152"/>
      <c r="AK125" s="341" t="s">
        <v>515</v>
      </c>
      <c r="AL125" s="341"/>
      <c r="AM125" s="341"/>
      <c r="AN125" s="341"/>
      <c r="AO125" s="341"/>
      <c r="AP125" s="341"/>
      <c r="AQ125" s="341"/>
      <c r="AR125" s="341"/>
      <c r="AS125" s="341"/>
      <c r="AT125" s="341"/>
      <c r="AU125" s="341"/>
      <c r="AV125" s="341"/>
      <c r="AW125" s="341"/>
      <c r="AX125" s="341"/>
      <c r="AY125" s="341"/>
      <c r="AZ125" s="341"/>
      <c r="BA125" s="341"/>
      <c r="BB125" s="341"/>
      <c r="BC125" s="341"/>
      <c r="BD125" s="341"/>
      <c r="BE125" s="341"/>
      <c r="BF125" s="341"/>
      <c r="BG125" s="341"/>
    </row>
    <row r="126" spans="8:59" x14ac:dyDescent="0.4">
      <c r="H126" s="345"/>
      <c r="I126" s="345"/>
      <c r="J126" s="345"/>
      <c r="K126" s="345"/>
      <c r="L126" s="345"/>
      <c r="M126" s="345"/>
      <c r="N126" s="345"/>
      <c r="O126" s="345"/>
      <c r="P126" s="345"/>
      <c r="Q126" s="345"/>
      <c r="R126" s="345"/>
      <c r="S126" s="345"/>
      <c r="T126" s="345"/>
      <c r="U126" s="345"/>
      <c r="V126" s="345"/>
      <c r="W126" s="345"/>
      <c r="X126" s="345"/>
      <c r="Y126" s="345"/>
      <c r="Z126" s="345"/>
      <c r="AA126" s="345"/>
      <c r="AB126" s="301" t="s">
        <v>448</v>
      </c>
      <c r="AC126" s="302"/>
      <c r="AD126" s="301" t="s">
        <v>451</v>
      </c>
      <c r="AE126" s="303"/>
      <c r="AF126" s="303"/>
      <c r="AG126" s="303"/>
      <c r="AH126" s="302"/>
      <c r="AI126" s="304" t="s">
        <v>442</v>
      </c>
      <c r="AJ126" s="304"/>
      <c r="AK126" s="342" t="s">
        <v>516</v>
      </c>
      <c r="AL126" s="343"/>
      <c r="AM126" s="343"/>
      <c r="AN126" s="343"/>
      <c r="AO126" s="343"/>
      <c r="AP126" s="343"/>
      <c r="AQ126" s="343"/>
      <c r="AR126" s="343"/>
      <c r="AS126" s="343"/>
      <c r="AT126" s="343"/>
      <c r="AU126" s="343"/>
      <c r="AV126" s="343"/>
      <c r="AW126" s="343"/>
      <c r="AX126" s="343"/>
      <c r="AY126" s="343"/>
      <c r="AZ126" s="343"/>
      <c r="BA126" s="343"/>
      <c r="BB126" s="343"/>
      <c r="BC126" s="343"/>
      <c r="BD126" s="343"/>
      <c r="BE126" s="343"/>
      <c r="BF126" s="343"/>
      <c r="BG126" s="344"/>
    </row>
    <row r="127" spans="8:59" x14ac:dyDescent="0.4">
      <c r="H127" s="345"/>
      <c r="I127" s="345"/>
      <c r="J127" s="345"/>
      <c r="K127" s="345"/>
      <c r="L127" s="345"/>
      <c r="M127" s="345"/>
      <c r="N127" s="345"/>
      <c r="O127" s="345"/>
      <c r="P127" s="345"/>
      <c r="Q127" s="345"/>
      <c r="R127" s="345"/>
      <c r="S127" s="345"/>
      <c r="T127" s="345"/>
      <c r="U127" s="345"/>
      <c r="V127" s="345"/>
      <c r="W127" s="345"/>
      <c r="X127" s="345"/>
      <c r="Y127" s="345"/>
      <c r="Z127" s="345"/>
      <c r="AA127" s="345"/>
      <c r="AB127" s="301" t="s">
        <v>450</v>
      </c>
      <c r="AC127" s="302"/>
      <c r="AD127" s="301" t="s">
        <v>453</v>
      </c>
      <c r="AE127" s="303"/>
      <c r="AF127" s="303"/>
      <c r="AG127" s="303"/>
      <c r="AH127" s="302"/>
      <c r="AI127" s="304" t="s">
        <v>442</v>
      </c>
      <c r="AJ127" s="304"/>
      <c r="AK127" s="341" t="s">
        <v>517</v>
      </c>
      <c r="AL127" s="341"/>
      <c r="AM127" s="341"/>
      <c r="AN127" s="341"/>
      <c r="AO127" s="341"/>
      <c r="AP127" s="341"/>
      <c r="AQ127" s="341"/>
      <c r="AR127" s="341"/>
      <c r="AS127" s="341"/>
      <c r="AT127" s="341"/>
      <c r="AU127" s="341"/>
      <c r="AV127" s="341"/>
      <c r="AW127" s="341"/>
      <c r="AX127" s="341"/>
      <c r="AY127" s="341"/>
      <c r="AZ127" s="341"/>
      <c r="BA127" s="341"/>
      <c r="BB127" s="341"/>
      <c r="BC127" s="341"/>
      <c r="BD127" s="341"/>
      <c r="BE127" s="341"/>
      <c r="BF127" s="341"/>
      <c r="BG127" s="341"/>
    </row>
    <row r="128" spans="8:59" x14ac:dyDescent="0.4">
      <c r="H128" s="345"/>
      <c r="I128" s="345"/>
      <c r="J128" s="345"/>
      <c r="K128" s="345"/>
      <c r="L128" s="345"/>
      <c r="M128" s="345"/>
      <c r="N128" s="345"/>
      <c r="O128" s="345"/>
      <c r="P128" s="345"/>
      <c r="Q128" s="345"/>
      <c r="R128" s="345"/>
      <c r="S128" s="345"/>
      <c r="T128" s="345"/>
      <c r="U128" s="345"/>
      <c r="V128" s="345"/>
      <c r="W128" s="345"/>
      <c r="X128" s="345"/>
      <c r="Y128" s="345"/>
      <c r="Z128" s="345"/>
      <c r="AA128" s="345"/>
      <c r="AB128" s="301" t="s">
        <v>452</v>
      </c>
      <c r="AC128" s="302"/>
      <c r="AD128" s="301" t="s">
        <v>455</v>
      </c>
      <c r="AE128" s="303"/>
      <c r="AF128" s="303"/>
      <c r="AG128" s="303"/>
      <c r="AH128" s="302"/>
      <c r="AI128" s="304" t="s">
        <v>442</v>
      </c>
      <c r="AJ128" s="304"/>
      <c r="AK128" s="341" t="s">
        <v>518</v>
      </c>
      <c r="AL128" s="341"/>
      <c r="AM128" s="341"/>
      <c r="AN128" s="341"/>
      <c r="AO128" s="341"/>
      <c r="AP128" s="341"/>
      <c r="AQ128" s="341"/>
      <c r="AR128" s="341"/>
      <c r="AS128" s="341"/>
      <c r="AT128" s="341"/>
      <c r="AU128" s="341"/>
      <c r="AV128" s="341"/>
      <c r="AW128" s="341"/>
      <c r="AX128" s="341"/>
      <c r="AY128" s="341"/>
      <c r="AZ128" s="341"/>
      <c r="BA128" s="341"/>
      <c r="BB128" s="341"/>
      <c r="BC128" s="341"/>
      <c r="BD128" s="341"/>
      <c r="BE128" s="341"/>
      <c r="BF128" s="341"/>
      <c r="BG128" s="341"/>
    </row>
    <row r="129" spans="8:59" x14ac:dyDescent="0.4">
      <c r="H129" s="345"/>
      <c r="I129" s="345"/>
      <c r="J129" s="345"/>
      <c r="K129" s="345"/>
      <c r="L129" s="345"/>
      <c r="M129" s="345"/>
      <c r="N129" s="345"/>
      <c r="O129" s="345"/>
      <c r="P129" s="345"/>
      <c r="Q129" s="345"/>
      <c r="R129" s="345"/>
      <c r="S129" s="345"/>
      <c r="T129" s="345"/>
      <c r="U129" s="345"/>
      <c r="V129" s="345"/>
      <c r="W129" s="345"/>
      <c r="X129" s="345"/>
      <c r="Y129" s="345"/>
      <c r="Z129" s="345"/>
      <c r="AA129" s="345"/>
      <c r="AB129" s="301" t="s">
        <v>454</v>
      </c>
      <c r="AC129" s="302"/>
      <c r="AD129" s="301" t="s">
        <v>484</v>
      </c>
      <c r="AE129" s="303"/>
      <c r="AF129" s="303"/>
      <c r="AG129" s="303"/>
      <c r="AH129" s="302"/>
      <c r="AI129" s="304" t="s">
        <v>442</v>
      </c>
      <c r="AJ129" s="304"/>
      <c r="AK129" s="341" t="s">
        <v>519</v>
      </c>
      <c r="AL129" s="341"/>
      <c r="AM129" s="341"/>
      <c r="AN129" s="341"/>
      <c r="AO129" s="341"/>
      <c r="AP129" s="341"/>
      <c r="AQ129" s="341"/>
      <c r="AR129" s="341"/>
      <c r="AS129" s="341"/>
      <c r="AT129" s="341"/>
      <c r="AU129" s="341"/>
      <c r="AV129" s="341"/>
      <c r="AW129" s="341"/>
      <c r="AX129" s="341"/>
      <c r="AY129" s="341"/>
      <c r="AZ129" s="341"/>
      <c r="BA129" s="341"/>
      <c r="BB129" s="341"/>
      <c r="BC129" s="341"/>
      <c r="BD129" s="341"/>
      <c r="BE129" s="341"/>
      <c r="BF129" s="341"/>
      <c r="BG129" s="341"/>
    </row>
    <row r="130" spans="8:59" x14ac:dyDescent="0.4">
      <c r="H130" s="345"/>
      <c r="I130" s="345"/>
      <c r="J130" s="345"/>
      <c r="K130" s="345"/>
      <c r="L130" s="345"/>
      <c r="M130" s="345"/>
      <c r="N130" s="345"/>
      <c r="O130" s="345"/>
      <c r="P130" s="345"/>
      <c r="Q130" s="345"/>
      <c r="R130" s="345"/>
      <c r="S130" s="345"/>
      <c r="T130" s="345"/>
      <c r="U130" s="345"/>
      <c r="V130" s="345"/>
      <c r="W130" s="345"/>
      <c r="X130" s="345"/>
      <c r="Y130" s="345"/>
      <c r="Z130" s="345"/>
      <c r="AA130" s="345"/>
      <c r="AB130" s="350" t="s">
        <v>461</v>
      </c>
      <c r="AC130" s="351"/>
      <c r="AD130" s="352" t="s">
        <v>259</v>
      </c>
      <c r="AE130" s="353"/>
      <c r="AF130" s="353"/>
      <c r="AG130" s="353"/>
      <c r="AH130" s="354"/>
      <c r="AI130" s="355" t="s">
        <v>259</v>
      </c>
      <c r="AJ130" s="356"/>
      <c r="AK130" s="357" t="s">
        <v>258</v>
      </c>
      <c r="AL130" s="358"/>
      <c r="AM130" s="358"/>
      <c r="AN130" s="358"/>
      <c r="AO130" s="358"/>
      <c r="AP130" s="358"/>
      <c r="AQ130" s="358"/>
      <c r="AR130" s="358"/>
      <c r="AS130" s="358"/>
      <c r="AT130" s="358"/>
      <c r="AU130" s="358"/>
      <c r="AV130" s="358"/>
      <c r="AW130" s="358"/>
      <c r="AX130" s="358"/>
      <c r="AY130" s="358"/>
      <c r="AZ130" s="358"/>
      <c r="BA130" s="358"/>
      <c r="BB130" s="358"/>
      <c r="BC130" s="358"/>
      <c r="BD130" s="358"/>
      <c r="BE130" s="358"/>
      <c r="BF130" s="358"/>
      <c r="BG130" s="359"/>
    </row>
    <row r="131" spans="8:59" x14ac:dyDescent="0.4">
      <c r="H131" s="363" t="s">
        <v>520</v>
      </c>
      <c r="I131" s="363"/>
      <c r="J131" s="363"/>
      <c r="K131" s="363"/>
      <c r="L131" s="363"/>
      <c r="M131" s="363"/>
      <c r="N131" s="363"/>
      <c r="O131" s="363"/>
      <c r="P131" s="363"/>
      <c r="Q131" s="363"/>
      <c r="R131" s="364" t="s">
        <v>521</v>
      </c>
      <c r="S131" s="364"/>
      <c r="T131" s="364"/>
      <c r="U131" s="364"/>
      <c r="V131" s="364"/>
      <c r="W131" s="364"/>
      <c r="X131" s="364"/>
      <c r="Y131" s="364"/>
      <c r="Z131" s="364"/>
      <c r="AA131" s="364"/>
      <c r="AB131" s="254" t="s">
        <v>443</v>
      </c>
      <c r="AC131" s="255"/>
      <c r="AD131" s="309" t="s">
        <v>456</v>
      </c>
      <c r="AE131" s="309"/>
      <c r="AF131" s="309"/>
      <c r="AG131" s="309"/>
      <c r="AH131" s="309"/>
      <c r="AI131" s="152" t="s">
        <v>441</v>
      </c>
      <c r="AJ131" s="152"/>
      <c r="AK131" s="362" t="s">
        <v>522</v>
      </c>
      <c r="AL131" s="362"/>
      <c r="AM131" s="362"/>
      <c r="AN131" s="362"/>
      <c r="AO131" s="362"/>
      <c r="AP131" s="362"/>
      <c r="AQ131" s="362"/>
      <c r="AR131" s="362"/>
      <c r="AS131" s="362"/>
      <c r="AT131" s="362"/>
      <c r="AU131" s="362"/>
      <c r="AV131" s="362"/>
      <c r="AW131" s="362"/>
      <c r="AX131" s="362"/>
      <c r="AY131" s="362"/>
      <c r="AZ131" s="362"/>
      <c r="BA131" s="362"/>
      <c r="BB131" s="362"/>
      <c r="BC131" s="362"/>
      <c r="BD131" s="362"/>
      <c r="BE131" s="362"/>
      <c r="BF131" s="362"/>
      <c r="BG131" s="362"/>
    </row>
    <row r="132" spans="8:59" x14ac:dyDescent="0.4">
      <c r="H132" s="152"/>
      <c r="I132" s="152"/>
      <c r="J132" s="152"/>
      <c r="K132" s="152"/>
      <c r="L132" s="152"/>
      <c r="M132" s="152"/>
      <c r="N132" s="152"/>
      <c r="O132" s="152"/>
      <c r="P132" s="152"/>
      <c r="Q132" s="152"/>
      <c r="R132" s="365"/>
      <c r="S132" s="365"/>
      <c r="T132" s="365"/>
      <c r="U132" s="365"/>
      <c r="V132" s="365"/>
      <c r="W132" s="365"/>
      <c r="X132" s="365"/>
      <c r="Y132" s="365"/>
      <c r="Z132" s="365"/>
      <c r="AA132" s="365"/>
      <c r="AB132" s="360"/>
      <c r="AC132" s="361"/>
      <c r="AD132" s="309"/>
      <c r="AE132" s="309"/>
      <c r="AF132" s="309"/>
      <c r="AG132" s="309"/>
      <c r="AH132" s="309"/>
      <c r="AI132" s="152"/>
      <c r="AJ132" s="152"/>
      <c r="AK132" s="362"/>
      <c r="AL132" s="362"/>
      <c r="AM132" s="362"/>
      <c r="AN132" s="362"/>
      <c r="AO132" s="362"/>
      <c r="AP132" s="362"/>
      <c r="AQ132" s="362"/>
      <c r="AR132" s="362"/>
      <c r="AS132" s="362"/>
      <c r="AT132" s="362"/>
      <c r="AU132" s="362"/>
      <c r="AV132" s="362"/>
      <c r="AW132" s="362"/>
      <c r="AX132" s="362"/>
      <c r="AY132" s="362"/>
      <c r="AZ132" s="362"/>
      <c r="BA132" s="362"/>
      <c r="BB132" s="362"/>
      <c r="BC132" s="362"/>
      <c r="BD132" s="362"/>
      <c r="BE132" s="362"/>
      <c r="BF132" s="362"/>
      <c r="BG132" s="362"/>
    </row>
    <row r="133" spans="8:59" x14ac:dyDescent="0.4">
      <c r="H133" s="152"/>
      <c r="I133" s="152"/>
      <c r="J133" s="152"/>
      <c r="K133" s="152"/>
      <c r="L133" s="152"/>
      <c r="M133" s="152"/>
      <c r="N133" s="152"/>
      <c r="O133" s="152"/>
      <c r="P133" s="152"/>
      <c r="Q133" s="152"/>
      <c r="R133" s="365"/>
      <c r="S133" s="365"/>
      <c r="T133" s="365"/>
      <c r="U133" s="365"/>
      <c r="V133" s="365"/>
      <c r="W133" s="365"/>
      <c r="X133" s="365"/>
      <c r="Y133" s="365"/>
      <c r="Z133" s="365"/>
      <c r="AA133" s="365"/>
      <c r="AB133" s="254" t="s">
        <v>445</v>
      </c>
      <c r="AC133" s="255"/>
      <c r="AD133" s="309" t="s">
        <v>457</v>
      </c>
      <c r="AE133" s="309"/>
      <c r="AF133" s="309"/>
      <c r="AG133" s="309"/>
      <c r="AH133" s="309"/>
      <c r="AI133" s="152" t="s">
        <v>458</v>
      </c>
      <c r="AJ133" s="152"/>
      <c r="AK133" s="362" t="s">
        <v>523</v>
      </c>
      <c r="AL133" s="362"/>
      <c r="AM133" s="362"/>
      <c r="AN133" s="362"/>
      <c r="AO133" s="362"/>
      <c r="AP133" s="362"/>
      <c r="AQ133" s="362"/>
      <c r="AR133" s="362"/>
      <c r="AS133" s="362"/>
      <c r="AT133" s="362"/>
      <c r="AU133" s="362"/>
      <c r="AV133" s="362"/>
      <c r="AW133" s="362"/>
      <c r="AX133" s="362"/>
      <c r="AY133" s="362"/>
      <c r="AZ133" s="362"/>
      <c r="BA133" s="362"/>
      <c r="BB133" s="362"/>
      <c r="BC133" s="362"/>
      <c r="BD133" s="362"/>
      <c r="BE133" s="362"/>
      <c r="BF133" s="362"/>
      <c r="BG133" s="362"/>
    </row>
    <row r="134" spans="8:59" ht="18.75" customHeight="1" x14ac:dyDescent="0.4">
      <c r="H134" s="152"/>
      <c r="I134" s="152"/>
      <c r="J134" s="152"/>
      <c r="K134" s="152"/>
      <c r="L134" s="152"/>
      <c r="M134" s="152"/>
      <c r="N134" s="152"/>
      <c r="O134" s="152"/>
      <c r="P134" s="152"/>
      <c r="Q134" s="152"/>
      <c r="R134" s="365"/>
      <c r="S134" s="365"/>
      <c r="T134" s="365"/>
      <c r="U134" s="365"/>
      <c r="V134" s="365"/>
      <c r="W134" s="365"/>
      <c r="X134" s="365"/>
      <c r="Y134" s="365"/>
      <c r="Z134" s="365"/>
      <c r="AA134" s="365"/>
      <c r="AB134" s="360"/>
      <c r="AC134" s="361"/>
      <c r="AD134" s="309"/>
      <c r="AE134" s="309"/>
      <c r="AF134" s="309"/>
      <c r="AG134" s="309"/>
      <c r="AH134" s="309"/>
      <c r="AI134" s="152"/>
      <c r="AJ134" s="152"/>
      <c r="AK134" s="362"/>
      <c r="AL134" s="362"/>
      <c r="AM134" s="362"/>
      <c r="AN134" s="362"/>
      <c r="AO134" s="362"/>
      <c r="AP134" s="362"/>
      <c r="AQ134" s="362"/>
      <c r="AR134" s="362"/>
      <c r="AS134" s="362"/>
      <c r="AT134" s="362"/>
      <c r="AU134" s="362"/>
      <c r="AV134" s="362"/>
      <c r="AW134" s="362"/>
      <c r="AX134" s="362"/>
      <c r="AY134" s="362"/>
      <c r="AZ134" s="362"/>
      <c r="BA134" s="362"/>
      <c r="BB134" s="362"/>
      <c r="BC134" s="362"/>
      <c r="BD134" s="362"/>
      <c r="BE134" s="362"/>
      <c r="BF134" s="362"/>
      <c r="BG134" s="362"/>
    </row>
    <row r="135" spans="8:59" x14ac:dyDescent="0.4">
      <c r="H135" s="152"/>
      <c r="I135" s="152"/>
      <c r="J135" s="152"/>
      <c r="K135" s="152"/>
      <c r="L135" s="152"/>
      <c r="M135" s="152"/>
      <c r="N135" s="152"/>
      <c r="O135" s="152"/>
      <c r="P135" s="152"/>
      <c r="Q135" s="152"/>
      <c r="R135" s="365"/>
      <c r="S135" s="365"/>
      <c r="T135" s="365"/>
      <c r="U135" s="365"/>
      <c r="V135" s="365"/>
      <c r="W135" s="365"/>
      <c r="X135" s="365"/>
      <c r="Y135" s="365"/>
      <c r="Z135" s="365"/>
      <c r="AA135" s="365"/>
      <c r="AB135" s="254" t="s">
        <v>446</v>
      </c>
      <c r="AC135" s="255"/>
      <c r="AD135" s="309" t="s">
        <v>459</v>
      </c>
      <c r="AE135" s="309"/>
      <c r="AF135" s="309"/>
      <c r="AG135" s="309"/>
      <c r="AH135" s="309"/>
      <c r="AI135" s="152" t="s">
        <v>458</v>
      </c>
      <c r="AJ135" s="152"/>
      <c r="AK135" s="362" t="s">
        <v>524</v>
      </c>
      <c r="AL135" s="362"/>
      <c r="AM135" s="362"/>
      <c r="AN135" s="362"/>
      <c r="AO135" s="362"/>
      <c r="AP135" s="362"/>
      <c r="AQ135" s="362"/>
      <c r="AR135" s="362"/>
      <c r="AS135" s="362"/>
      <c r="AT135" s="362"/>
      <c r="AU135" s="362"/>
      <c r="AV135" s="362"/>
      <c r="AW135" s="362"/>
      <c r="AX135" s="362"/>
      <c r="AY135" s="362"/>
      <c r="AZ135" s="362"/>
      <c r="BA135" s="362"/>
      <c r="BB135" s="362"/>
      <c r="BC135" s="362"/>
      <c r="BD135" s="362"/>
      <c r="BE135" s="362"/>
      <c r="BF135" s="362"/>
      <c r="BG135" s="362"/>
    </row>
    <row r="136" spans="8:59" x14ac:dyDescent="0.4">
      <c r="H136" s="152"/>
      <c r="I136" s="152"/>
      <c r="J136" s="152"/>
      <c r="K136" s="152"/>
      <c r="L136" s="152"/>
      <c r="M136" s="152"/>
      <c r="N136" s="152"/>
      <c r="O136" s="152"/>
      <c r="P136" s="152"/>
      <c r="Q136" s="152"/>
      <c r="R136" s="365"/>
      <c r="S136" s="365"/>
      <c r="T136" s="365"/>
      <c r="U136" s="365"/>
      <c r="V136" s="365"/>
      <c r="W136" s="365"/>
      <c r="X136" s="365"/>
      <c r="Y136" s="365"/>
      <c r="Z136" s="365"/>
      <c r="AA136" s="365"/>
      <c r="AB136" s="256"/>
      <c r="AC136" s="257"/>
      <c r="AD136" s="309"/>
      <c r="AE136" s="309"/>
      <c r="AF136" s="309"/>
      <c r="AG136" s="309"/>
      <c r="AH136" s="309"/>
      <c r="AI136" s="152"/>
      <c r="AJ136" s="152"/>
      <c r="AK136" s="362"/>
      <c r="AL136" s="362"/>
      <c r="AM136" s="362"/>
      <c r="AN136" s="362"/>
      <c r="AO136" s="362"/>
      <c r="AP136" s="362"/>
      <c r="AQ136" s="362"/>
      <c r="AR136" s="362"/>
      <c r="AS136" s="362"/>
      <c r="AT136" s="362"/>
      <c r="AU136" s="362"/>
      <c r="AV136" s="362"/>
      <c r="AW136" s="362"/>
      <c r="AX136" s="362"/>
      <c r="AY136" s="362"/>
      <c r="AZ136" s="362"/>
      <c r="BA136" s="362"/>
      <c r="BB136" s="362"/>
      <c r="BC136" s="362"/>
      <c r="BD136" s="362"/>
      <c r="BE136" s="362"/>
      <c r="BF136" s="362"/>
      <c r="BG136" s="362"/>
    </row>
    <row r="137" spans="8:59" x14ac:dyDescent="0.4">
      <c r="H137" s="152"/>
      <c r="I137" s="152"/>
      <c r="J137" s="152"/>
      <c r="K137" s="152"/>
      <c r="L137" s="152"/>
      <c r="M137" s="152"/>
      <c r="N137" s="152"/>
      <c r="O137" s="152"/>
      <c r="P137" s="152"/>
      <c r="Q137" s="152"/>
      <c r="R137" s="365"/>
      <c r="S137" s="365"/>
      <c r="T137" s="365"/>
      <c r="U137" s="365"/>
      <c r="V137" s="365"/>
      <c r="W137" s="365"/>
      <c r="X137" s="365"/>
      <c r="Y137" s="365"/>
      <c r="Z137" s="365"/>
      <c r="AA137" s="365"/>
      <c r="AB137" s="360"/>
      <c r="AC137" s="361"/>
      <c r="AD137" s="309"/>
      <c r="AE137" s="309"/>
      <c r="AF137" s="309"/>
      <c r="AG137" s="309"/>
      <c r="AH137" s="309"/>
      <c r="AI137" s="152"/>
      <c r="AJ137" s="152"/>
      <c r="AK137" s="362"/>
      <c r="AL137" s="362"/>
      <c r="AM137" s="362"/>
      <c r="AN137" s="362"/>
      <c r="AO137" s="362"/>
      <c r="AP137" s="362"/>
      <c r="AQ137" s="362"/>
      <c r="AR137" s="362"/>
      <c r="AS137" s="362"/>
      <c r="AT137" s="362"/>
      <c r="AU137" s="362"/>
      <c r="AV137" s="362"/>
      <c r="AW137" s="362"/>
      <c r="AX137" s="362"/>
      <c r="AY137" s="362"/>
      <c r="AZ137" s="362"/>
      <c r="BA137" s="362"/>
      <c r="BB137" s="362"/>
      <c r="BC137" s="362"/>
      <c r="BD137" s="362"/>
      <c r="BE137" s="362"/>
      <c r="BF137" s="362"/>
      <c r="BG137" s="362"/>
    </row>
    <row r="138" spans="8:59" x14ac:dyDescent="0.4">
      <c r="H138" s="152"/>
      <c r="I138" s="152"/>
      <c r="J138" s="152"/>
      <c r="K138" s="152"/>
      <c r="L138" s="152"/>
      <c r="M138" s="152"/>
      <c r="N138" s="152"/>
      <c r="O138" s="152"/>
      <c r="P138" s="152"/>
      <c r="Q138" s="152"/>
      <c r="R138" s="365"/>
      <c r="S138" s="365"/>
      <c r="T138" s="365"/>
      <c r="U138" s="365"/>
      <c r="V138" s="365"/>
      <c r="W138" s="365"/>
      <c r="X138" s="365"/>
      <c r="Y138" s="365"/>
      <c r="Z138" s="365"/>
      <c r="AA138" s="365"/>
      <c r="AB138" s="254" t="s">
        <v>448</v>
      </c>
      <c r="AC138" s="255"/>
      <c r="AD138" s="309" t="s">
        <v>460</v>
      </c>
      <c r="AE138" s="309"/>
      <c r="AF138" s="309"/>
      <c r="AG138" s="309"/>
      <c r="AH138" s="309"/>
      <c r="AI138" s="152" t="s">
        <v>458</v>
      </c>
      <c r="AJ138" s="152"/>
      <c r="AK138" s="362" t="s">
        <v>525</v>
      </c>
      <c r="AL138" s="362"/>
      <c r="AM138" s="362"/>
      <c r="AN138" s="362"/>
      <c r="AO138" s="362"/>
      <c r="AP138" s="362"/>
      <c r="AQ138" s="362"/>
      <c r="AR138" s="362"/>
      <c r="AS138" s="362"/>
      <c r="AT138" s="362"/>
      <c r="AU138" s="362"/>
      <c r="AV138" s="362"/>
      <c r="AW138" s="362"/>
      <c r="AX138" s="362"/>
      <c r="AY138" s="362"/>
      <c r="AZ138" s="362"/>
      <c r="BA138" s="362"/>
      <c r="BB138" s="362"/>
      <c r="BC138" s="362"/>
      <c r="BD138" s="362"/>
      <c r="BE138" s="362"/>
      <c r="BF138" s="362"/>
      <c r="BG138" s="362"/>
    </row>
    <row r="139" spans="8:59" x14ac:dyDescent="0.4">
      <c r="H139" s="152"/>
      <c r="I139" s="152"/>
      <c r="J139" s="152"/>
      <c r="K139" s="152"/>
      <c r="L139" s="152"/>
      <c r="M139" s="152"/>
      <c r="N139" s="152"/>
      <c r="O139" s="152"/>
      <c r="P139" s="152"/>
      <c r="Q139" s="152"/>
      <c r="R139" s="365"/>
      <c r="S139" s="365"/>
      <c r="T139" s="365"/>
      <c r="U139" s="365"/>
      <c r="V139" s="365"/>
      <c r="W139" s="365"/>
      <c r="X139" s="365"/>
      <c r="Y139" s="365"/>
      <c r="Z139" s="365"/>
      <c r="AA139" s="365"/>
      <c r="AB139" s="360"/>
      <c r="AC139" s="361"/>
      <c r="AD139" s="309"/>
      <c r="AE139" s="309"/>
      <c r="AF139" s="309"/>
      <c r="AG139" s="309"/>
      <c r="AH139" s="309"/>
      <c r="AI139" s="152"/>
      <c r="AJ139" s="152"/>
      <c r="AK139" s="362"/>
      <c r="AL139" s="362"/>
      <c r="AM139" s="362"/>
      <c r="AN139" s="362"/>
      <c r="AO139" s="362"/>
      <c r="AP139" s="362"/>
      <c r="AQ139" s="362"/>
      <c r="AR139" s="362"/>
      <c r="AS139" s="362"/>
      <c r="AT139" s="362"/>
      <c r="AU139" s="362"/>
      <c r="AV139" s="362"/>
      <c r="AW139" s="362"/>
      <c r="AX139" s="362"/>
      <c r="AY139" s="362"/>
      <c r="AZ139" s="362"/>
      <c r="BA139" s="362"/>
      <c r="BB139" s="362"/>
      <c r="BC139" s="362"/>
      <c r="BD139" s="362"/>
      <c r="BE139" s="362"/>
      <c r="BF139" s="362"/>
      <c r="BG139" s="362"/>
    </row>
    <row r="140" spans="8:59" x14ac:dyDescent="0.4">
      <c r="H140" s="152"/>
      <c r="I140" s="152"/>
      <c r="J140" s="152"/>
      <c r="K140" s="152"/>
      <c r="L140" s="152"/>
      <c r="M140" s="152"/>
      <c r="N140" s="152"/>
      <c r="O140" s="152"/>
      <c r="P140" s="152"/>
      <c r="Q140" s="152"/>
      <c r="R140" s="365"/>
      <c r="S140" s="365"/>
      <c r="T140" s="365"/>
      <c r="U140" s="365"/>
      <c r="V140" s="365"/>
      <c r="W140" s="365"/>
      <c r="X140" s="365"/>
      <c r="Y140" s="365"/>
      <c r="Z140" s="365"/>
      <c r="AA140" s="365"/>
      <c r="AB140" s="366" t="s">
        <v>526</v>
      </c>
      <c r="AC140" s="351"/>
      <c r="AD140" s="366" t="s">
        <v>259</v>
      </c>
      <c r="AE140" s="350"/>
      <c r="AF140" s="350"/>
      <c r="AG140" s="350"/>
      <c r="AH140" s="351"/>
      <c r="AI140" s="355" t="s">
        <v>259</v>
      </c>
      <c r="AJ140" s="356"/>
      <c r="AK140" s="357" t="s">
        <v>258</v>
      </c>
      <c r="AL140" s="358"/>
      <c r="AM140" s="358"/>
      <c r="AN140" s="358"/>
      <c r="AO140" s="358"/>
      <c r="AP140" s="358"/>
      <c r="AQ140" s="358"/>
      <c r="AR140" s="358"/>
      <c r="AS140" s="358"/>
      <c r="AT140" s="358"/>
      <c r="AU140" s="358"/>
      <c r="AV140" s="358"/>
      <c r="AW140" s="358"/>
      <c r="AX140" s="358"/>
      <c r="AY140" s="358"/>
      <c r="AZ140" s="358"/>
      <c r="BA140" s="358"/>
      <c r="BB140" s="358"/>
      <c r="BC140" s="358"/>
      <c r="BD140" s="358"/>
      <c r="BE140" s="358"/>
      <c r="BF140" s="358"/>
      <c r="BG140" s="359"/>
    </row>
    <row r="141" spans="8:59" x14ac:dyDescent="0.4">
      <c r="H141" s="345" t="s">
        <v>527</v>
      </c>
      <c r="I141" s="345"/>
      <c r="J141" s="345"/>
      <c r="K141" s="345"/>
      <c r="L141" s="345"/>
      <c r="M141" s="345"/>
      <c r="N141" s="345"/>
      <c r="O141" s="345"/>
      <c r="P141" s="345"/>
      <c r="Q141" s="345"/>
      <c r="R141" s="348" t="s">
        <v>528</v>
      </c>
      <c r="S141" s="348"/>
      <c r="T141" s="348"/>
      <c r="U141" s="348"/>
      <c r="V141" s="348"/>
      <c r="W141" s="348"/>
      <c r="X141" s="348"/>
      <c r="Y141" s="348"/>
      <c r="Z141" s="348"/>
      <c r="AA141" s="348"/>
      <c r="AB141" s="347" t="s">
        <v>463</v>
      </c>
      <c r="AC141" s="347"/>
      <c r="AD141" s="367" t="s">
        <v>529</v>
      </c>
      <c r="AE141" s="367"/>
      <c r="AF141" s="367"/>
      <c r="AG141" s="367"/>
      <c r="AH141" s="367"/>
      <c r="AI141" s="348" t="s">
        <v>442</v>
      </c>
      <c r="AJ141" s="348"/>
      <c r="AK141" s="349" t="s">
        <v>595</v>
      </c>
      <c r="AL141" s="368"/>
      <c r="AM141" s="368"/>
      <c r="AN141" s="368"/>
      <c r="AO141" s="368"/>
      <c r="AP141" s="368"/>
      <c r="AQ141" s="368"/>
      <c r="AR141" s="368"/>
      <c r="AS141" s="368"/>
      <c r="AT141" s="368"/>
      <c r="AU141" s="368"/>
      <c r="AV141" s="368"/>
      <c r="AW141" s="368"/>
      <c r="AX141" s="368"/>
      <c r="AY141" s="368"/>
      <c r="AZ141" s="368"/>
      <c r="BA141" s="368"/>
      <c r="BB141" s="368"/>
      <c r="BC141" s="368"/>
      <c r="BD141" s="368"/>
      <c r="BE141" s="368"/>
      <c r="BF141" s="368"/>
      <c r="BG141" s="368"/>
    </row>
    <row r="142" spans="8:59" x14ac:dyDescent="0.4">
      <c r="H142" s="345"/>
      <c r="I142" s="345"/>
      <c r="J142" s="345"/>
      <c r="K142" s="345"/>
      <c r="L142" s="345"/>
      <c r="M142" s="345"/>
      <c r="N142" s="345"/>
      <c r="O142" s="345"/>
      <c r="P142" s="345"/>
      <c r="Q142" s="345"/>
      <c r="R142" s="348"/>
      <c r="S142" s="348"/>
      <c r="T142" s="348"/>
      <c r="U142" s="348"/>
      <c r="V142" s="348"/>
      <c r="W142" s="348"/>
      <c r="X142" s="348"/>
      <c r="Y142" s="348"/>
      <c r="Z142" s="348"/>
      <c r="AA142" s="348"/>
      <c r="AB142" s="347"/>
      <c r="AC142" s="347"/>
      <c r="AD142" s="367"/>
      <c r="AE142" s="367"/>
      <c r="AF142" s="367"/>
      <c r="AG142" s="367"/>
      <c r="AH142" s="367"/>
      <c r="AI142" s="348"/>
      <c r="AJ142" s="348"/>
      <c r="AK142" s="368"/>
      <c r="AL142" s="368"/>
      <c r="AM142" s="368"/>
      <c r="AN142" s="368"/>
      <c r="AO142" s="368"/>
      <c r="AP142" s="368"/>
      <c r="AQ142" s="368"/>
      <c r="AR142" s="368"/>
      <c r="AS142" s="368"/>
      <c r="AT142" s="368"/>
      <c r="AU142" s="368"/>
      <c r="AV142" s="368"/>
      <c r="AW142" s="368"/>
      <c r="AX142" s="368"/>
      <c r="AY142" s="368"/>
      <c r="AZ142" s="368"/>
      <c r="BA142" s="368"/>
      <c r="BB142" s="368"/>
      <c r="BC142" s="368"/>
      <c r="BD142" s="368"/>
      <c r="BE142" s="368"/>
      <c r="BF142" s="368"/>
      <c r="BG142" s="368"/>
    </row>
    <row r="143" spans="8:59" x14ac:dyDescent="0.4">
      <c r="H143" s="345" t="s">
        <v>530</v>
      </c>
      <c r="I143" s="345"/>
      <c r="J143" s="345"/>
      <c r="K143" s="345"/>
      <c r="L143" s="345"/>
      <c r="M143" s="345"/>
      <c r="N143" s="345"/>
      <c r="O143" s="345"/>
      <c r="P143" s="345"/>
      <c r="Q143" s="345"/>
      <c r="R143" s="348" t="s">
        <v>531</v>
      </c>
      <c r="S143" s="348"/>
      <c r="T143" s="348"/>
      <c r="U143" s="348"/>
      <c r="V143" s="348"/>
      <c r="W143" s="348"/>
      <c r="X143" s="348"/>
      <c r="Y143" s="348"/>
      <c r="Z143" s="348"/>
      <c r="AA143" s="348"/>
      <c r="AB143" s="347" t="s">
        <v>463</v>
      </c>
      <c r="AC143" s="347"/>
      <c r="AD143" s="369" t="s">
        <v>532</v>
      </c>
      <c r="AE143" s="367"/>
      <c r="AF143" s="367"/>
      <c r="AG143" s="367"/>
      <c r="AH143" s="367"/>
      <c r="AI143" s="348" t="s">
        <v>442</v>
      </c>
      <c r="AJ143" s="348"/>
      <c r="AK143" s="349" t="s">
        <v>596</v>
      </c>
      <c r="AL143" s="368"/>
      <c r="AM143" s="368"/>
      <c r="AN143" s="368"/>
      <c r="AO143" s="368"/>
      <c r="AP143" s="368"/>
      <c r="AQ143" s="368"/>
      <c r="AR143" s="368"/>
      <c r="AS143" s="368"/>
      <c r="AT143" s="368"/>
      <c r="AU143" s="368"/>
      <c r="AV143" s="368"/>
      <c r="AW143" s="368"/>
      <c r="AX143" s="368"/>
      <c r="AY143" s="368"/>
      <c r="AZ143" s="368"/>
      <c r="BA143" s="368"/>
      <c r="BB143" s="368"/>
      <c r="BC143" s="368"/>
      <c r="BD143" s="368"/>
      <c r="BE143" s="368"/>
      <c r="BF143" s="368"/>
      <c r="BG143" s="368"/>
    </row>
    <row r="144" spans="8:59" x14ac:dyDescent="0.4">
      <c r="H144" s="345"/>
      <c r="I144" s="345"/>
      <c r="J144" s="345"/>
      <c r="K144" s="345"/>
      <c r="L144" s="345"/>
      <c r="M144" s="345"/>
      <c r="N144" s="345"/>
      <c r="O144" s="345"/>
      <c r="P144" s="345"/>
      <c r="Q144" s="345"/>
      <c r="R144" s="348"/>
      <c r="S144" s="348"/>
      <c r="T144" s="348"/>
      <c r="U144" s="348"/>
      <c r="V144" s="348"/>
      <c r="W144" s="348"/>
      <c r="X144" s="348"/>
      <c r="Y144" s="348"/>
      <c r="Z144" s="348"/>
      <c r="AA144" s="348"/>
      <c r="AB144" s="347"/>
      <c r="AC144" s="347"/>
      <c r="AD144" s="367"/>
      <c r="AE144" s="367"/>
      <c r="AF144" s="367"/>
      <c r="AG144" s="367"/>
      <c r="AH144" s="367"/>
      <c r="AI144" s="348"/>
      <c r="AJ144" s="348"/>
      <c r="AK144" s="368"/>
      <c r="AL144" s="368"/>
      <c r="AM144" s="368"/>
      <c r="AN144" s="368"/>
      <c r="AO144" s="368"/>
      <c r="AP144" s="368"/>
      <c r="AQ144" s="368"/>
      <c r="AR144" s="368"/>
      <c r="AS144" s="368"/>
      <c r="AT144" s="368"/>
      <c r="AU144" s="368"/>
      <c r="AV144" s="368"/>
      <c r="AW144" s="368"/>
      <c r="AX144" s="368"/>
      <c r="AY144" s="368"/>
      <c r="AZ144" s="368"/>
      <c r="BA144" s="368"/>
      <c r="BB144" s="368"/>
      <c r="BC144" s="368"/>
      <c r="BD144" s="368"/>
      <c r="BE144" s="368"/>
      <c r="BF144" s="368"/>
      <c r="BG144" s="368"/>
    </row>
    <row r="145" spans="8:59" x14ac:dyDescent="0.4">
      <c r="H145" s="330" t="s">
        <v>533</v>
      </c>
      <c r="I145" s="331"/>
      <c r="J145" s="331"/>
      <c r="K145" s="331"/>
      <c r="L145" s="331"/>
      <c r="M145" s="331"/>
      <c r="N145" s="331"/>
      <c r="O145" s="331"/>
      <c r="P145" s="331"/>
      <c r="Q145" s="331"/>
      <c r="R145" s="331"/>
      <c r="S145" s="331"/>
      <c r="T145" s="331"/>
      <c r="U145" s="331"/>
      <c r="V145" s="331"/>
      <c r="W145" s="331"/>
      <c r="X145" s="331"/>
      <c r="Y145" s="331"/>
      <c r="Z145" s="331"/>
      <c r="AA145" s="331"/>
      <c r="AB145" s="331"/>
      <c r="AC145" s="331"/>
      <c r="AD145" s="331"/>
      <c r="AE145" s="331"/>
      <c r="AF145" s="331"/>
      <c r="AG145" s="331"/>
      <c r="AH145" s="331"/>
      <c r="AI145" s="331"/>
      <c r="AJ145" s="331"/>
      <c r="AK145" s="331"/>
      <c r="AL145" s="331"/>
      <c r="AM145" s="331"/>
      <c r="AN145" s="331"/>
      <c r="AO145" s="331"/>
      <c r="AP145" s="331"/>
      <c r="AQ145" s="331"/>
      <c r="AR145" s="331"/>
      <c r="AS145" s="331"/>
      <c r="AT145" s="331"/>
      <c r="AU145" s="331"/>
      <c r="AV145" s="331"/>
      <c r="AW145" s="331"/>
      <c r="AX145" s="331"/>
      <c r="AY145" s="331"/>
      <c r="AZ145" s="331"/>
      <c r="BA145" s="331"/>
      <c r="BB145" s="331"/>
      <c r="BC145" s="331"/>
      <c r="BD145" s="331"/>
      <c r="BE145" s="331"/>
      <c r="BF145" s="331"/>
      <c r="BG145" s="332"/>
    </row>
    <row r="148" spans="8:59" x14ac:dyDescent="0.4">
      <c r="H148" s="333" t="s">
        <v>534</v>
      </c>
      <c r="I148" s="334"/>
      <c r="J148" s="334"/>
      <c r="K148" s="334"/>
      <c r="L148" s="334"/>
      <c r="M148" s="334"/>
      <c r="N148" s="334"/>
      <c r="O148" s="334"/>
      <c r="P148" s="334"/>
      <c r="Q148" s="334"/>
      <c r="R148" s="334"/>
      <c r="S148" s="334"/>
      <c r="T148" s="334"/>
      <c r="U148" s="334"/>
      <c r="V148" s="334"/>
      <c r="W148" s="334"/>
      <c r="X148" s="334"/>
      <c r="Y148" s="334"/>
      <c r="Z148" s="334"/>
      <c r="AA148" s="334"/>
      <c r="AB148" s="334"/>
      <c r="AC148" s="334"/>
      <c r="AD148" s="334"/>
      <c r="AE148" s="334"/>
      <c r="AF148" s="334"/>
      <c r="AG148" s="334"/>
      <c r="AH148" s="334"/>
      <c r="AI148" s="334"/>
      <c r="AJ148" s="334"/>
      <c r="AK148" s="334"/>
      <c r="AL148" s="334"/>
      <c r="AM148" s="334"/>
      <c r="AN148" s="334"/>
      <c r="AO148" s="334"/>
      <c r="AP148" s="334"/>
      <c r="AQ148" s="334"/>
      <c r="AR148" s="334"/>
      <c r="AS148" s="334"/>
      <c r="AT148" s="334"/>
      <c r="AU148" s="334"/>
      <c r="AV148" s="334"/>
      <c r="AW148" s="334"/>
      <c r="AX148" s="334"/>
      <c r="AY148" s="334"/>
      <c r="AZ148" s="334"/>
      <c r="BA148" s="334"/>
      <c r="BB148" s="334"/>
      <c r="BC148" s="334"/>
      <c r="BD148" s="334"/>
      <c r="BE148" s="334"/>
      <c r="BF148" s="334"/>
      <c r="BG148" s="335"/>
    </row>
    <row r="149" spans="8:59" x14ac:dyDescent="0.4">
      <c r="H149" s="336" t="s">
        <v>433</v>
      </c>
      <c r="I149" s="336"/>
      <c r="J149" s="336"/>
      <c r="K149" s="336"/>
      <c r="L149" s="336"/>
      <c r="M149" s="336"/>
      <c r="N149" s="336"/>
      <c r="O149" s="336"/>
      <c r="P149" s="336"/>
      <c r="Q149" s="336"/>
      <c r="R149" s="336" t="s">
        <v>1</v>
      </c>
      <c r="S149" s="336"/>
      <c r="T149" s="336"/>
      <c r="U149" s="336"/>
      <c r="V149" s="336"/>
      <c r="W149" s="336"/>
      <c r="X149" s="336"/>
      <c r="Y149" s="336"/>
      <c r="Z149" s="336"/>
      <c r="AA149" s="336"/>
      <c r="AB149" s="337" t="s">
        <v>434</v>
      </c>
      <c r="AC149" s="338"/>
      <c r="AD149" s="337" t="s">
        <v>435</v>
      </c>
      <c r="AE149" s="339"/>
      <c r="AF149" s="339"/>
      <c r="AG149" s="339"/>
      <c r="AH149" s="338"/>
      <c r="AI149" s="340" t="s">
        <v>436</v>
      </c>
      <c r="AJ149" s="340"/>
      <c r="AK149" s="336" t="s">
        <v>437</v>
      </c>
      <c r="AL149" s="336"/>
      <c r="AM149" s="336"/>
      <c r="AN149" s="336"/>
      <c r="AO149" s="336"/>
      <c r="AP149" s="336"/>
      <c r="AQ149" s="336"/>
      <c r="AR149" s="336"/>
      <c r="AS149" s="336"/>
      <c r="AT149" s="336"/>
      <c r="AU149" s="336"/>
      <c r="AV149" s="336"/>
      <c r="AW149" s="336"/>
      <c r="AX149" s="336"/>
      <c r="AY149" s="336"/>
      <c r="AZ149" s="336"/>
      <c r="BA149" s="336"/>
      <c r="BB149" s="336"/>
      <c r="BC149" s="336"/>
      <c r="BD149" s="336"/>
      <c r="BE149" s="336"/>
      <c r="BF149" s="336"/>
      <c r="BG149" s="336"/>
    </row>
    <row r="150" spans="8:59" x14ac:dyDescent="0.4">
      <c r="H150" s="345" t="s">
        <v>535</v>
      </c>
      <c r="I150" s="345"/>
      <c r="J150" s="345"/>
      <c r="K150" s="345"/>
      <c r="L150" s="345"/>
      <c r="M150" s="345"/>
      <c r="N150" s="345"/>
      <c r="O150" s="345"/>
      <c r="P150" s="345"/>
      <c r="Q150" s="345"/>
      <c r="R150" s="348" t="s">
        <v>536</v>
      </c>
      <c r="S150" s="348"/>
      <c r="T150" s="348"/>
      <c r="U150" s="348"/>
      <c r="V150" s="348"/>
      <c r="W150" s="348"/>
      <c r="X150" s="348"/>
      <c r="Y150" s="348"/>
      <c r="Z150" s="348"/>
      <c r="AA150" s="348"/>
      <c r="AB150" s="346" t="s">
        <v>537</v>
      </c>
      <c r="AC150" s="347"/>
      <c r="AD150" s="367" t="s">
        <v>538</v>
      </c>
      <c r="AE150" s="367"/>
      <c r="AF150" s="367"/>
      <c r="AG150" s="367"/>
      <c r="AH150" s="367"/>
      <c r="AI150" s="348" t="s">
        <v>442</v>
      </c>
      <c r="AJ150" s="348"/>
      <c r="AK150" s="349" t="s">
        <v>539</v>
      </c>
      <c r="AL150" s="368"/>
      <c r="AM150" s="368"/>
      <c r="AN150" s="368"/>
      <c r="AO150" s="368"/>
      <c r="AP150" s="368"/>
      <c r="AQ150" s="368"/>
      <c r="AR150" s="368"/>
      <c r="AS150" s="368"/>
      <c r="AT150" s="368"/>
      <c r="AU150" s="368"/>
      <c r="AV150" s="368"/>
      <c r="AW150" s="368"/>
      <c r="AX150" s="368"/>
      <c r="AY150" s="368"/>
      <c r="AZ150" s="368"/>
      <c r="BA150" s="368"/>
      <c r="BB150" s="368"/>
      <c r="BC150" s="368"/>
      <c r="BD150" s="368"/>
      <c r="BE150" s="368"/>
      <c r="BF150" s="368"/>
      <c r="BG150" s="368"/>
    </row>
    <row r="151" spans="8:59" x14ac:dyDescent="0.4">
      <c r="H151" s="345"/>
      <c r="I151" s="345"/>
      <c r="J151" s="345"/>
      <c r="K151" s="345"/>
      <c r="L151" s="345"/>
      <c r="M151" s="345"/>
      <c r="N151" s="345"/>
      <c r="O151" s="345"/>
      <c r="P151" s="345"/>
      <c r="Q151" s="345"/>
      <c r="R151" s="348"/>
      <c r="S151" s="348"/>
      <c r="T151" s="348"/>
      <c r="U151" s="348"/>
      <c r="V151" s="348"/>
      <c r="W151" s="348"/>
      <c r="X151" s="348"/>
      <c r="Y151" s="348"/>
      <c r="Z151" s="348"/>
      <c r="AA151" s="348"/>
      <c r="AB151" s="346"/>
      <c r="AC151" s="347"/>
      <c r="AD151" s="367"/>
      <c r="AE151" s="367"/>
      <c r="AF151" s="367"/>
      <c r="AG151" s="367"/>
      <c r="AH151" s="367"/>
      <c r="AI151" s="348"/>
      <c r="AJ151" s="348"/>
      <c r="AK151" s="368"/>
      <c r="AL151" s="368"/>
      <c r="AM151" s="368"/>
      <c r="AN151" s="368"/>
      <c r="AO151" s="368"/>
      <c r="AP151" s="368"/>
      <c r="AQ151" s="368"/>
      <c r="AR151" s="368"/>
      <c r="AS151" s="368"/>
      <c r="AT151" s="368"/>
      <c r="AU151" s="368"/>
      <c r="AV151" s="368"/>
      <c r="AW151" s="368"/>
      <c r="AX151" s="368"/>
      <c r="AY151" s="368"/>
      <c r="AZ151" s="368"/>
      <c r="BA151" s="368"/>
      <c r="BB151" s="368"/>
      <c r="BC151" s="368"/>
      <c r="BD151" s="368"/>
      <c r="BE151" s="368"/>
      <c r="BF151" s="368"/>
      <c r="BG151" s="368"/>
    </row>
    <row r="152" spans="8:59" x14ac:dyDescent="0.4">
      <c r="H152" s="345"/>
      <c r="I152" s="345"/>
      <c r="J152" s="345"/>
      <c r="K152" s="345"/>
      <c r="L152" s="345"/>
      <c r="M152" s="345"/>
      <c r="N152" s="345"/>
      <c r="O152" s="345"/>
      <c r="P152" s="345"/>
      <c r="Q152" s="345"/>
      <c r="R152" s="348"/>
      <c r="S152" s="348"/>
      <c r="T152" s="348"/>
      <c r="U152" s="348"/>
      <c r="V152" s="348"/>
      <c r="W152" s="348"/>
      <c r="X152" s="348"/>
      <c r="Y152" s="348"/>
      <c r="Z152" s="348"/>
      <c r="AA152" s="348"/>
      <c r="AB152" s="350" t="s">
        <v>540</v>
      </c>
      <c r="AC152" s="351"/>
      <c r="AD152" s="366" t="s">
        <v>259</v>
      </c>
      <c r="AE152" s="350"/>
      <c r="AF152" s="350"/>
      <c r="AG152" s="350"/>
      <c r="AH152" s="351"/>
      <c r="AI152" s="355" t="s">
        <v>259</v>
      </c>
      <c r="AJ152" s="356"/>
      <c r="AK152" s="357" t="s">
        <v>258</v>
      </c>
      <c r="AL152" s="358"/>
      <c r="AM152" s="358"/>
      <c r="AN152" s="358"/>
      <c r="AO152" s="358"/>
      <c r="AP152" s="358"/>
      <c r="AQ152" s="358"/>
      <c r="AR152" s="358"/>
      <c r="AS152" s="358"/>
      <c r="AT152" s="358"/>
      <c r="AU152" s="358"/>
      <c r="AV152" s="358"/>
      <c r="AW152" s="358"/>
      <c r="AX152" s="358"/>
      <c r="AY152" s="358"/>
      <c r="AZ152" s="358"/>
      <c r="BA152" s="358"/>
      <c r="BB152" s="358"/>
      <c r="BC152" s="358"/>
      <c r="BD152" s="358"/>
      <c r="BE152" s="358"/>
      <c r="BF152" s="358"/>
      <c r="BG152" s="359"/>
    </row>
    <row r="153" spans="8:59" ht="18.75" customHeight="1" x14ac:dyDescent="0.4">
      <c r="H153" s="345" t="s">
        <v>541</v>
      </c>
      <c r="I153" s="345"/>
      <c r="J153" s="345"/>
      <c r="K153" s="345"/>
      <c r="L153" s="345"/>
      <c r="M153" s="345"/>
      <c r="N153" s="345"/>
      <c r="O153" s="345"/>
      <c r="P153" s="345"/>
      <c r="Q153" s="345"/>
      <c r="R153" s="348" t="s">
        <v>542</v>
      </c>
      <c r="S153" s="348"/>
      <c r="T153" s="348"/>
      <c r="U153" s="348"/>
      <c r="V153" s="348"/>
      <c r="W153" s="348"/>
      <c r="X153" s="348"/>
      <c r="Y153" s="348"/>
      <c r="Z153" s="348"/>
      <c r="AA153" s="348"/>
      <c r="AB153" s="346" t="s">
        <v>463</v>
      </c>
      <c r="AC153" s="347"/>
      <c r="AD153" s="367" t="s">
        <v>543</v>
      </c>
      <c r="AE153" s="367"/>
      <c r="AF153" s="367"/>
      <c r="AG153" s="367"/>
      <c r="AH153" s="367"/>
      <c r="AI153" s="348" t="s">
        <v>442</v>
      </c>
      <c r="AJ153" s="348"/>
      <c r="AK153" s="349" t="s">
        <v>1159</v>
      </c>
      <c r="AL153" s="368"/>
      <c r="AM153" s="368"/>
      <c r="AN153" s="368"/>
      <c r="AO153" s="368"/>
      <c r="AP153" s="368"/>
      <c r="AQ153" s="368"/>
      <c r="AR153" s="368"/>
      <c r="AS153" s="368"/>
      <c r="AT153" s="368"/>
      <c r="AU153" s="368"/>
      <c r="AV153" s="368"/>
      <c r="AW153" s="368"/>
      <c r="AX153" s="368"/>
      <c r="AY153" s="368"/>
      <c r="AZ153" s="368"/>
      <c r="BA153" s="368"/>
      <c r="BB153" s="368"/>
      <c r="BC153" s="368"/>
      <c r="BD153" s="368"/>
      <c r="BE153" s="368"/>
      <c r="BF153" s="368"/>
      <c r="BG153" s="368"/>
    </row>
    <row r="154" spans="8:59" x14ac:dyDescent="0.4">
      <c r="H154" s="345"/>
      <c r="I154" s="345"/>
      <c r="J154" s="345"/>
      <c r="K154" s="345"/>
      <c r="L154" s="345"/>
      <c r="M154" s="345"/>
      <c r="N154" s="345"/>
      <c r="O154" s="345"/>
      <c r="P154" s="345"/>
      <c r="Q154" s="345"/>
      <c r="R154" s="348"/>
      <c r="S154" s="348"/>
      <c r="T154" s="348"/>
      <c r="U154" s="348"/>
      <c r="V154" s="348"/>
      <c r="W154" s="348"/>
      <c r="X154" s="348"/>
      <c r="Y154" s="348"/>
      <c r="Z154" s="348"/>
      <c r="AA154" s="348"/>
      <c r="AB154" s="346"/>
      <c r="AC154" s="347"/>
      <c r="AD154" s="367"/>
      <c r="AE154" s="367"/>
      <c r="AF154" s="367"/>
      <c r="AG154" s="367"/>
      <c r="AH154" s="367"/>
      <c r="AI154" s="348"/>
      <c r="AJ154" s="348"/>
      <c r="AK154" s="349"/>
      <c r="AL154" s="368"/>
      <c r="AM154" s="368"/>
      <c r="AN154" s="368"/>
      <c r="AO154" s="368"/>
      <c r="AP154" s="368"/>
      <c r="AQ154" s="368"/>
      <c r="AR154" s="368"/>
      <c r="AS154" s="368"/>
      <c r="AT154" s="368"/>
      <c r="AU154" s="368"/>
      <c r="AV154" s="368"/>
      <c r="AW154" s="368"/>
      <c r="AX154" s="368"/>
      <c r="AY154" s="368"/>
      <c r="AZ154" s="368"/>
      <c r="BA154" s="368"/>
      <c r="BB154" s="368"/>
      <c r="BC154" s="368"/>
      <c r="BD154" s="368"/>
      <c r="BE154" s="368"/>
      <c r="BF154" s="368"/>
      <c r="BG154" s="368"/>
    </row>
    <row r="155" spans="8:59" x14ac:dyDescent="0.4">
      <c r="H155" s="345"/>
      <c r="I155" s="345"/>
      <c r="J155" s="345"/>
      <c r="K155" s="345"/>
      <c r="L155" s="345"/>
      <c r="M155" s="345"/>
      <c r="N155" s="345"/>
      <c r="O155" s="345"/>
      <c r="P155" s="345"/>
      <c r="Q155" s="345"/>
      <c r="R155" s="348"/>
      <c r="S155" s="348"/>
      <c r="T155" s="348"/>
      <c r="U155" s="348"/>
      <c r="V155" s="348"/>
      <c r="W155" s="348"/>
      <c r="X155" s="348"/>
      <c r="Y155" s="348"/>
      <c r="Z155" s="348"/>
      <c r="AA155" s="348"/>
      <c r="AB155" s="346"/>
      <c r="AC155" s="347"/>
      <c r="AD155" s="367"/>
      <c r="AE155" s="367"/>
      <c r="AF155" s="367"/>
      <c r="AG155" s="367"/>
      <c r="AH155" s="367"/>
      <c r="AI155" s="348"/>
      <c r="AJ155" s="348"/>
      <c r="AK155" s="349"/>
      <c r="AL155" s="368"/>
      <c r="AM155" s="368"/>
      <c r="AN155" s="368"/>
      <c r="AO155" s="368"/>
      <c r="AP155" s="368"/>
      <c r="AQ155" s="368"/>
      <c r="AR155" s="368"/>
      <c r="AS155" s="368"/>
      <c r="AT155" s="368"/>
      <c r="AU155" s="368"/>
      <c r="AV155" s="368"/>
      <c r="AW155" s="368"/>
      <c r="AX155" s="368"/>
      <c r="AY155" s="368"/>
      <c r="AZ155" s="368"/>
      <c r="BA155" s="368"/>
      <c r="BB155" s="368"/>
      <c r="BC155" s="368"/>
      <c r="BD155" s="368"/>
      <c r="BE155" s="368"/>
      <c r="BF155" s="368"/>
      <c r="BG155" s="368"/>
    </row>
    <row r="156" spans="8:59" x14ac:dyDescent="0.4">
      <c r="H156" s="345"/>
      <c r="I156" s="345"/>
      <c r="J156" s="345"/>
      <c r="K156" s="345"/>
      <c r="L156" s="345"/>
      <c r="M156" s="345"/>
      <c r="N156" s="345"/>
      <c r="O156" s="345"/>
      <c r="P156" s="345"/>
      <c r="Q156" s="345"/>
      <c r="R156" s="348"/>
      <c r="S156" s="348"/>
      <c r="T156" s="348"/>
      <c r="U156" s="348"/>
      <c r="V156" s="348"/>
      <c r="W156" s="348"/>
      <c r="X156" s="348"/>
      <c r="Y156" s="348"/>
      <c r="Z156" s="348"/>
      <c r="AA156" s="348"/>
      <c r="AB156" s="346"/>
      <c r="AC156" s="347"/>
      <c r="AD156" s="367"/>
      <c r="AE156" s="367"/>
      <c r="AF156" s="367"/>
      <c r="AG156" s="367"/>
      <c r="AH156" s="367"/>
      <c r="AI156" s="348"/>
      <c r="AJ156" s="348"/>
      <c r="AK156" s="349"/>
      <c r="AL156" s="368"/>
      <c r="AM156" s="368"/>
      <c r="AN156" s="368"/>
      <c r="AO156" s="368"/>
      <c r="AP156" s="368"/>
      <c r="AQ156" s="368"/>
      <c r="AR156" s="368"/>
      <c r="AS156" s="368"/>
      <c r="AT156" s="368"/>
      <c r="AU156" s="368"/>
      <c r="AV156" s="368"/>
      <c r="AW156" s="368"/>
      <c r="AX156" s="368"/>
      <c r="AY156" s="368"/>
      <c r="AZ156" s="368"/>
      <c r="BA156" s="368"/>
      <c r="BB156" s="368"/>
      <c r="BC156" s="368"/>
      <c r="BD156" s="368"/>
      <c r="BE156" s="368"/>
      <c r="BF156" s="368"/>
      <c r="BG156" s="368"/>
    </row>
    <row r="157" spans="8:59" x14ac:dyDescent="0.4">
      <c r="H157" s="345"/>
      <c r="I157" s="345"/>
      <c r="J157" s="345"/>
      <c r="K157" s="345"/>
      <c r="L157" s="345"/>
      <c r="M157" s="345"/>
      <c r="N157" s="345"/>
      <c r="O157" s="345"/>
      <c r="P157" s="345"/>
      <c r="Q157" s="345"/>
      <c r="R157" s="348"/>
      <c r="S157" s="348"/>
      <c r="T157" s="348"/>
      <c r="U157" s="348"/>
      <c r="V157" s="348"/>
      <c r="W157" s="348"/>
      <c r="X157" s="348"/>
      <c r="Y157" s="348"/>
      <c r="Z157" s="348"/>
      <c r="AA157" s="348"/>
      <c r="AB157" s="346"/>
      <c r="AC157" s="347"/>
      <c r="AD157" s="367"/>
      <c r="AE157" s="367"/>
      <c r="AF157" s="367"/>
      <c r="AG157" s="367"/>
      <c r="AH157" s="367"/>
      <c r="AI157" s="348"/>
      <c r="AJ157" s="348"/>
      <c r="AK157" s="349"/>
      <c r="AL157" s="368"/>
      <c r="AM157" s="368"/>
      <c r="AN157" s="368"/>
      <c r="AO157" s="368"/>
      <c r="AP157" s="368"/>
      <c r="AQ157" s="368"/>
      <c r="AR157" s="368"/>
      <c r="AS157" s="368"/>
      <c r="AT157" s="368"/>
      <c r="AU157" s="368"/>
      <c r="AV157" s="368"/>
      <c r="AW157" s="368"/>
      <c r="AX157" s="368"/>
      <c r="AY157" s="368"/>
      <c r="AZ157" s="368"/>
      <c r="BA157" s="368"/>
      <c r="BB157" s="368"/>
      <c r="BC157" s="368"/>
      <c r="BD157" s="368"/>
      <c r="BE157" s="368"/>
      <c r="BF157" s="368"/>
      <c r="BG157" s="368"/>
    </row>
    <row r="158" spans="8:59" x14ac:dyDescent="0.4">
      <c r="H158" s="345"/>
      <c r="I158" s="345"/>
      <c r="J158" s="345"/>
      <c r="K158" s="345"/>
      <c r="L158" s="345"/>
      <c r="M158" s="345"/>
      <c r="N158" s="345"/>
      <c r="O158" s="345"/>
      <c r="P158" s="345"/>
      <c r="Q158" s="345"/>
      <c r="R158" s="348"/>
      <c r="S158" s="348"/>
      <c r="T158" s="348"/>
      <c r="U158" s="348"/>
      <c r="V158" s="348"/>
      <c r="W158" s="348"/>
      <c r="X158" s="348"/>
      <c r="Y158" s="348"/>
      <c r="Z158" s="348"/>
      <c r="AA158" s="348"/>
      <c r="AB158" s="346"/>
      <c r="AC158" s="347"/>
      <c r="AD158" s="367"/>
      <c r="AE158" s="367"/>
      <c r="AF158" s="367"/>
      <c r="AG158" s="367"/>
      <c r="AH158" s="367"/>
      <c r="AI158" s="348"/>
      <c r="AJ158" s="348"/>
      <c r="AK158" s="349"/>
      <c r="AL158" s="368"/>
      <c r="AM158" s="368"/>
      <c r="AN158" s="368"/>
      <c r="AO158" s="368"/>
      <c r="AP158" s="368"/>
      <c r="AQ158" s="368"/>
      <c r="AR158" s="368"/>
      <c r="AS158" s="368"/>
      <c r="AT158" s="368"/>
      <c r="AU158" s="368"/>
      <c r="AV158" s="368"/>
      <c r="AW158" s="368"/>
      <c r="AX158" s="368"/>
      <c r="AY158" s="368"/>
      <c r="AZ158" s="368"/>
      <c r="BA158" s="368"/>
      <c r="BB158" s="368"/>
      <c r="BC158" s="368"/>
      <c r="BD158" s="368"/>
      <c r="BE158" s="368"/>
      <c r="BF158" s="368"/>
      <c r="BG158" s="368"/>
    </row>
    <row r="159" spans="8:59" x14ac:dyDescent="0.4">
      <c r="H159" s="345" t="s">
        <v>544</v>
      </c>
      <c r="I159" s="345"/>
      <c r="J159" s="345"/>
      <c r="K159" s="345"/>
      <c r="L159" s="345"/>
      <c r="M159" s="345"/>
      <c r="N159" s="345"/>
      <c r="O159" s="345"/>
      <c r="P159" s="345"/>
      <c r="Q159" s="345"/>
      <c r="R159" s="348" t="s">
        <v>545</v>
      </c>
      <c r="S159" s="348"/>
      <c r="T159" s="348"/>
      <c r="U159" s="348"/>
      <c r="V159" s="348"/>
      <c r="W159" s="348"/>
      <c r="X159" s="348"/>
      <c r="Y159" s="348"/>
      <c r="Z159" s="348"/>
      <c r="AA159" s="348"/>
      <c r="AB159" s="346" t="s">
        <v>537</v>
      </c>
      <c r="AC159" s="347"/>
      <c r="AD159" s="367" t="s">
        <v>546</v>
      </c>
      <c r="AE159" s="367"/>
      <c r="AF159" s="367"/>
      <c r="AG159" s="367"/>
      <c r="AH159" s="367"/>
      <c r="AI159" s="348" t="s">
        <v>442</v>
      </c>
      <c r="AJ159" s="348"/>
      <c r="AK159" s="349" t="s">
        <v>539</v>
      </c>
      <c r="AL159" s="368"/>
      <c r="AM159" s="368"/>
      <c r="AN159" s="368"/>
      <c r="AO159" s="368"/>
      <c r="AP159" s="368"/>
      <c r="AQ159" s="368"/>
      <c r="AR159" s="368"/>
      <c r="AS159" s="368"/>
      <c r="AT159" s="368"/>
      <c r="AU159" s="368"/>
      <c r="AV159" s="368"/>
      <c r="AW159" s="368"/>
      <c r="AX159" s="368"/>
      <c r="AY159" s="368"/>
      <c r="AZ159" s="368"/>
      <c r="BA159" s="368"/>
      <c r="BB159" s="368"/>
      <c r="BC159" s="368"/>
      <c r="BD159" s="368"/>
      <c r="BE159" s="368"/>
      <c r="BF159" s="368"/>
      <c r="BG159" s="368"/>
    </row>
    <row r="160" spans="8:59" x14ac:dyDescent="0.4">
      <c r="H160" s="345"/>
      <c r="I160" s="345"/>
      <c r="J160" s="345"/>
      <c r="K160" s="345"/>
      <c r="L160" s="345"/>
      <c r="M160" s="345"/>
      <c r="N160" s="345"/>
      <c r="O160" s="345"/>
      <c r="P160" s="345"/>
      <c r="Q160" s="345"/>
      <c r="R160" s="348"/>
      <c r="S160" s="348"/>
      <c r="T160" s="348"/>
      <c r="U160" s="348"/>
      <c r="V160" s="348"/>
      <c r="W160" s="348"/>
      <c r="X160" s="348"/>
      <c r="Y160" s="348"/>
      <c r="Z160" s="348"/>
      <c r="AA160" s="348"/>
      <c r="AB160" s="346"/>
      <c r="AC160" s="347"/>
      <c r="AD160" s="367"/>
      <c r="AE160" s="367"/>
      <c r="AF160" s="367"/>
      <c r="AG160" s="367"/>
      <c r="AH160" s="367"/>
      <c r="AI160" s="348"/>
      <c r="AJ160" s="348"/>
      <c r="AK160" s="368"/>
      <c r="AL160" s="368"/>
      <c r="AM160" s="368"/>
      <c r="AN160" s="368"/>
      <c r="AO160" s="368"/>
      <c r="AP160" s="368"/>
      <c r="AQ160" s="368"/>
      <c r="AR160" s="368"/>
      <c r="AS160" s="368"/>
      <c r="AT160" s="368"/>
      <c r="AU160" s="368"/>
      <c r="AV160" s="368"/>
      <c r="AW160" s="368"/>
      <c r="AX160" s="368"/>
      <c r="AY160" s="368"/>
      <c r="AZ160" s="368"/>
      <c r="BA160" s="368"/>
      <c r="BB160" s="368"/>
      <c r="BC160" s="368"/>
      <c r="BD160" s="368"/>
      <c r="BE160" s="368"/>
      <c r="BF160" s="368"/>
      <c r="BG160" s="368"/>
    </row>
    <row r="161" spans="8:59" x14ac:dyDescent="0.4">
      <c r="H161" s="345"/>
      <c r="I161" s="345"/>
      <c r="J161" s="345"/>
      <c r="K161" s="345"/>
      <c r="L161" s="345"/>
      <c r="M161" s="345"/>
      <c r="N161" s="345"/>
      <c r="O161" s="345"/>
      <c r="P161" s="345"/>
      <c r="Q161" s="345"/>
      <c r="R161" s="348"/>
      <c r="S161" s="348"/>
      <c r="T161" s="348"/>
      <c r="U161" s="348"/>
      <c r="V161" s="348"/>
      <c r="W161" s="348"/>
      <c r="X161" s="348"/>
      <c r="Y161" s="348"/>
      <c r="Z161" s="348"/>
      <c r="AA161" s="348"/>
      <c r="AB161" s="350" t="s">
        <v>540</v>
      </c>
      <c r="AC161" s="351"/>
      <c r="AD161" s="366" t="s">
        <v>259</v>
      </c>
      <c r="AE161" s="350"/>
      <c r="AF161" s="350"/>
      <c r="AG161" s="350"/>
      <c r="AH161" s="351"/>
      <c r="AI161" s="355" t="s">
        <v>259</v>
      </c>
      <c r="AJ161" s="356"/>
      <c r="AK161" s="357" t="s">
        <v>258</v>
      </c>
      <c r="AL161" s="358"/>
      <c r="AM161" s="358"/>
      <c r="AN161" s="358"/>
      <c r="AO161" s="358"/>
      <c r="AP161" s="358"/>
      <c r="AQ161" s="358"/>
      <c r="AR161" s="358"/>
      <c r="AS161" s="358"/>
      <c r="AT161" s="358"/>
      <c r="AU161" s="358"/>
      <c r="AV161" s="358"/>
      <c r="AW161" s="358"/>
      <c r="AX161" s="358"/>
      <c r="AY161" s="358"/>
      <c r="AZ161" s="358"/>
      <c r="BA161" s="358"/>
      <c r="BB161" s="358"/>
      <c r="BC161" s="358"/>
      <c r="BD161" s="358"/>
      <c r="BE161" s="358"/>
      <c r="BF161" s="358"/>
      <c r="BG161" s="359"/>
    </row>
    <row r="162" spans="8:59" ht="18.75" customHeight="1" x14ac:dyDescent="0.4">
      <c r="H162" s="345" t="s">
        <v>547</v>
      </c>
      <c r="I162" s="345"/>
      <c r="J162" s="345"/>
      <c r="K162" s="345"/>
      <c r="L162" s="345"/>
      <c r="M162" s="345"/>
      <c r="N162" s="345"/>
      <c r="O162" s="345"/>
      <c r="P162" s="345"/>
      <c r="Q162" s="345"/>
      <c r="R162" s="348" t="s">
        <v>548</v>
      </c>
      <c r="S162" s="348"/>
      <c r="T162" s="348"/>
      <c r="U162" s="348"/>
      <c r="V162" s="348"/>
      <c r="W162" s="348"/>
      <c r="X162" s="348"/>
      <c r="Y162" s="348"/>
      <c r="Z162" s="348"/>
      <c r="AA162" s="348"/>
      <c r="AB162" s="346" t="s">
        <v>463</v>
      </c>
      <c r="AC162" s="347"/>
      <c r="AD162" s="367" t="s">
        <v>549</v>
      </c>
      <c r="AE162" s="367"/>
      <c r="AF162" s="367"/>
      <c r="AG162" s="367"/>
      <c r="AH162" s="367"/>
      <c r="AI162" s="348" t="s">
        <v>442</v>
      </c>
      <c r="AJ162" s="348"/>
      <c r="AK162" s="349" t="s">
        <v>1161</v>
      </c>
      <c r="AL162" s="368"/>
      <c r="AM162" s="368"/>
      <c r="AN162" s="368"/>
      <c r="AO162" s="368"/>
      <c r="AP162" s="368"/>
      <c r="AQ162" s="368"/>
      <c r="AR162" s="368"/>
      <c r="AS162" s="368"/>
      <c r="AT162" s="368"/>
      <c r="AU162" s="368"/>
      <c r="AV162" s="368"/>
      <c r="AW162" s="368"/>
      <c r="AX162" s="368"/>
      <c r="AY162" s="368"/>
      <c r="AZ162" s="368"/>
      <c r="BA162" s="368"/>
      <c r="BB162" s="368"/>
      <c r="BC162" s="368"/>
      <c r="BD162" s="368"/>
      <c r="BE162" s="368"/>
      <c r="BF162" s="368"/>
      <c r="BG162" s="368"/>
    </row>
    <row r="163" spans="8:59" x14ac:dyDescent="0.4">
      <c r="H163" s="345"/>
      <c r="I163" s="345"/>
      <c r="J163" s="345"/>
      <c r="K163" s="345"/>
      <c r="L163" s="345"/>
      <c r="M163" s="345"/>
      <c r="N163" s="345"/>
      <c r="O163" s="345"/>
      <c r="P163" s="345"/>
      <c r="Q163" s="345"/>
      <c r="R163" s="348"/>
      <c r="S163" s="348"/>
      <c r="T163" s="348"/>
      <c r="U163" s="348"/>
      <c r="V163" s="348"/>
      <c r="W163" s="348"/>
      <c r="X163" s="348"/>
      <c r="Y163" s="348"/>
      <c r="Z163" s="348"/>
      <c r="AA163" s="348"/>
      <c r="AB163" s="346"/>
      <c r="AC163" s="347"/>
      <c r="AD163" s="367"/>
      <c r="AE163" s="367"/>
      <c r="AF163" s="367"/>
      <c r="AG163" s="367"/>
      <c r="AH163" s="367"/>
      <c r="AI163" s="348"/>
      <c r="AJ163" s="348"/>
      <c r="AK163" s="349"/>
      <c r="AL163" s="368"/>
      <c r="AM163" s="368"/>
      <c r="AN163" s="368"/>
      <c r="AO163" s="368"/>
      <c r="AP163" s="368"/>
      <c r="AQ163" s="368"/>
      <c r="AR163" s="368"/>
      <c r="AS163" s="368"/>
      <c r="AT163" s="368"/>
      <c r="AU163" s="368"/>
      <c r="AV163" s="368"/>
      <c r="AW163" s="368"/>
      <c r="AX163" s="368"/>
      <c r="AY163" s="368"/>
      <c r="AZ163" s="368"/>
      <c r="BA163" s="368"/>
      <c r="BB163" s="368"/>
      <c r="BC163" s="368"/>
      <c r="BD163" s="368"/>
      <c r="BE163" s="368"/>
      <c r="BF163" s="368"/>
      <c r="BG163" s="368"/>
    </row>
    <row r="164" spans="8:59" x14ac:dyDescent="0.4">
      <c r="H164" s="345"/>
      <c r="I164" s="345"/>
      <c r="J164" s="345"/>
      <c r="K164" s="345"/>
      <c r="L164" s="345"/>
      <c r="M164" s="345"/>
      <c r="N164" s="345"/>
      <c r="O164" s="345"/>
      <c r="P164" s="345"/>
      <c r="Q164" s="345"/>
      <c r="R164" s="348"/>
      <c r="S164" s="348"/>
      <c r="T164" s="348"/>
      <c r="U164" s="348"/>
      <c r="V164" s="348"/>
      <c r="W164" s="348"/>
      <c r="X164" s="348"/>
      <c r="Y164" s="348"/>
      <c r="Z164" s="348"/>
      <c r="AA164" s="348"/>
      <c r="AB164" s="346"/>
      <c r="AC164" s="347"/>
      <c r="AD164" s="367"/>
      <c r="AE164" s="367"/>
      <c r="AF164" s="367"/>
      <c r="AG164" s="367"/>
      <c r="AH164" s="367"/>
      <c r="AI164" s="348"/>
      <c r="AJ164" s="348"/>
      <c r="AK164" s="349"/>
      <c r="AL164" s="368"/>
      <c r="AM164" s="368"/>
      <c r="AN164" s="368"/>
      <c r="AO164" s="368"/>
      <c r="AP164" s="368"/>
      <c r="AQ164" s="368"/>
      <c r="AR164" s="368"/>
      <c r="AS164" s="368"/>
      <c r="AT164" s="368"/>
      <c r="AU164" s="368"/>
      <c r="AV164" s="368"/>
      <c r="AW164" s="368"/>
      <c r="AX164" s="368"/>
      <c r="AY164" s="368"/>
      <c r="AZ164" s="368"/>
      <c r="BA164" s="368"/>
      <c r="BB164" s="368"/>
      <c r="BC164" s="368"/>
      <c r="BD164" s="368"/>
      <c r="BE164" s="368"/>
      <c r="BF164" s="368"/>
      <c r="BG164" s="368"/>
    </row>
    <row r="165" spans="8:59" x14ac:dyDescent="0.4">
      <c r="H165" s="345"/>
      <c r="I165" s="345"/>
      <c r="J165" s="345"/>
      <c r="K165" s="345"/>
      <c r="L165" s="345"/>
      <c r="M165" s="345"/>
      <c r="N165" s="345"/>
      <c r="O165" s="345"/>
      <c r="P165" s="345"/>
      <c r="Q165" s="345"/>
      <c r="R165" s="348"/>
      <c r="S165" s="348"/>
      <c r="T165" s="348"/>
      <c r="U165" s="348"/>
      <c r="V165" s="348"/>
      <c r="W165" s="348"/>
      <c r="X165" s="348"/>
      <c r="Y165" s="348"/>
      <c r="Z165" s="348"/>
      <c r="AA165" s="348"/>
      <c r="AB165" s="346"/>
      <c r="AC165" s="347"/>
      <c r="AD165" s="367"/>
      <c r="AE165" s="367"/>
      <c r="AF165" s="367"/>
      <c r="AG165" s="367"/>
      <c r="AH165" s="367"/>
      <c r="AI165" s="348"/>
      <c r="AJ165" s="348"/>
      <c r="AK165" s="349"/>
      <c r="AL165" s="368"/>
      <c r="AM165" s="368"/>
      <c r="AN165" s="368"/>
      <c r="AO165" s="368"/>
      <c r="AP165" s="368"/>
      <c r="AQ165" s="368"/>
      <c r="AR165" s="368"/>
      <c r="AS165" s="368"/>
      <c r="AT165" s="368"/>
      <c r="AU165" s="368"/>
      <c r="AV165" s="368"/>
      <c r="AW165" s="368"/>
      <c r="AX165" s="368"/>
      <c r="AY165" s="368"/>
      <c r="AZ165" s="368"/>
      <c r="BA165" s="368"/>
      <c r="BB165" s="368"/>
      <c r="BC165" s="368"/>
      <c r="BD165" s="368"/>
      <c r="BE165" s="368"/>
      <c r="BF165" s="368"/>
      <c r="BG165" s="368"/>
    </row>
    <row r="166" spans="8:59" x14ac:dyDescent="0.4">
      <c r="H166" s="345"/>
      <c r="I166" s="345"/>
      <c r="J166" s="345"/>
      <c r="K166" s="345"/>
      <c r="L166" s="345"/>
      <c r="M166" s="345"/>
      <c r="N166" s="345"/>
      <c r="O166" s="345"/>
      <c r="P166" s="345"/>
      <c r="Q166" s="345"/>
      <c r="R166" s="348"/>
      <c r="S166" s="348"/>
      <c r="T166" s="348"/>
      <c r="U166" s="348"/>
      <c r="V166" s="348"/>
      <c r="W166" s="348"/>
      <c r="X166" s="348"/>
      <c r="Y166" s="348"/>
      <c r="Z166" s="348"/>
      <c r="AA166" s="348"/>
      <c r="AB166" s="346"/>
      <c r="AC166" s="347"/>
      <c r="AD166" s="367"/>
      <c r="AE166" s="367"/>
      <c r="AF166" s="367"/>
      <c r="AG166" s="367"/>
      <c r="AH166" s="367"/>
      <c r="AI166" s="348"/>
      <c r="AJ166" s="348"/>
      <c r="AK166" s="349"/>
      <c r="AL166" s="368"/>
      <c r="AM166" s="368"/>
      <c r="AN166" s="368"/>
      <c r="AO166" s="368"/>
      <c r="AP166" s="368"/>
      <c r="AQ166" s="368"/>
      <c r="AR166" s="368"/>
      <c r="AS166" s="368"/>
      <c r="AT166" s="368"/>
      <c r="AU166" s="368"/>
      <c r="AV166" s="368"/>
      <c r="AW166" s="368"/>
      <c r="AX166" s="368"/>
      <c r="AY166" s="368"/>
      <c r="AZ166" s="368"/>
      <c r="BA166" s="368"/>
      <c r="BB166" s="368"/>
      <c r="BC166" s="368"/>
      <c r="BD166" s="368"/>
      <c r="BE166" s="368"/>
      <c r="BF166" s="368"/>
      <c r="BG166" s="368"/>
    </row>
    <row r="167" spans="8:59" x14ac:dyDescent="0.4">
      <c r="H167" s="345"/>
      <c r="I167" s="345"/>
      <c r="J167" s="345"/>
      <c r="K167" s="345"/>
      <c r="L167" s="345"/>
      <c r="M167" s="345"/>
      <c r="N167" s="345"/>
      <c r="O167" s="345"/>
      <c r="P167" s="345"/>
      <c r="Q167" s="345"/>
      <c r="R167" s="348"/>
      <c r="S167" s="348"/>
      <c r="T167" s="348"/>
      <c r="U167" s="348"/>
      <c r="V167" s="348"/>
      <c r="W167" s="348"/>
      <c r="X167" s="348"/>
      <c r="Y167" s="348"/>
      <c r="Z167" s="348"/>
      <c r="AA167" s="348"/>
      <c r="AB167" s="346"/>
      <c r="AC167" s="347"/>
      <c r="AD167" s="367"/>
      <c r="AE167" s="367"/>
      <c r="AF167" s="367"/>
      <c r="AG167" s="367"/>
      <c r="AH167" s="367"/>
      <c r="AI167" s="348"/>
      <c r="AJ167" s="348"/>
      <c r="AK167" s="349"/>
      <c r="AL167" s="368"/>
      <c r="AM167" s="368"/>
      <c r="AN167" s="368"/>
      <c r="AO167" s="368"/>
      <c r="AP167" s="368"/>
      <c r="AQ167" s="368"/>
      <c r="AR167" s="368"/>
      <c r="AS167" s="368"/>
      <c r="AT167" s="368"/>
      <c r="AU167" s="368"/>
      <c r="AV167" s="368"/>
      <c r="AW167" s="368"/>
      <c r="AX167" s="368"/>
      <c r="AY167" s="368"/>
      <c r="AZ167" s="368"/>
      <c r="BA167" s="368"/>
      <c r="BB167" s="368"/>
      <c r="BC167" s="368"/>
      <c r="BD167" s="368"/>
      <c r="BE167" s="368"/>
      <c r="BF167" s="368"/>
      <c r="BG167" s="368"/>
    </row>
    <row r="168" spans="8:59" x14ac:dyDescent="0.4">
      <c r="H168" s="345" t="s">
        <v>0</v>
      </c>
      <c r="I168" s="345"/>
      <c r="J168" s="345"/>
      <c r="K168" s="345"/>
      <c r="L168" s="345"/>
      <c r="M168" s="345"/>
      <c r="N168" s="345"/>
      <c r="O168" s="345"/>
      <c r="P168" s="345"/>
      <c r="Q168" s="345"/>
      <c r="R168" s="348" t="s">
        <v>0</v>
      </c>
      <c r="S168" s="348"/>
      <c r="T168" s="348"/>
      <c r="U168" s="348"/>
      <c r="V168" s="348"/>
      <c r="W168" s="348"/>
      <c r="X168" s="348"/>
      <c r="Y168" s="348"/>
      <c r="Z168" s="348"/>
      <c r="AA168" s="348"/>
      <c r="AB168" s="346" t="s">
        <v>0</v>
      </c>
      <c r="AC168" s="347"/>
      <c r="AD168" s="367" t="s">
        <v>0</v>
      </c>
      <c r="AE168" s="367"/>
      <c r="AF168" s="367"/>
      <c r="AG168" s="367"/>
      <c r="AH168" s="367"/>
      <c r="AI168" s="348" t="s">
        <v>0</v>
      </c>
      <c r="AJ168" s="348"/>
      <c r="AK168" s="345" t="s">
        <v>0</v>
      </c>
      <c r="AL168" s="348"/>
      <c r="AM168" s="348"/>
      <c r="AN168" s="348"/>
      <c r="AO168" s="348"/>
      <c r="AP168" s="348"/>
      <c r="AQ168" s="348"/>
      <c r="AR168" s="348"/>
      <c r="AS168" s="348"/>
      <c r="AT168" s="348"/>
      <c r="AU168" s="348"/>
      <c r="AV168" s="348"/>
      <c r="AW168" s="348"/>
      <c r="AX168" s="348"/>
      <c r="AY168" s="348"/>
      <c r="AZ168" s="348"/>
      <c r="BA168" s="348"/>
      <c r="BB168" s="348"/>
      <c r="BC168" s="348"/>
      <c r="BD168" s="348"/>
      <c r="BE168" s="348"/>
      <c r="BF168" s="348"/>
      <c r="BG168" s="348"/>
    </row>
    <row r="169" spans="8:59" x14ac:dyDescent="0.4">
      <c r="H169" s="345" t="s">
        <v>550</v>
      </c>
      <c r="I169" s="345"/>
      <c r="J169" s="345"/>
      <c r="K169" s="345"/>
      <c r="L169" s="345"/>
      <c r="M169" s="345"/>
      <c r="N169" s="345"/>
      <c r="O169" s="345"/>
      <c r="P169" s="345"/>
      <c r="Q169" s="345"/>
      <c r="R169" s="348" t="s">
        <v>551</v>
      </c>
      <c r="S169" s="348"/>
      <c r="T169" s="348"/>
      <c r="U169" s="348"/>
      <c r="V169" s="348"/>
      <c r="W169" s="348"/>
      <c r="X169" s="348"/>
      <c r="Y169" s="348"/>
      <c r="Z169" s="348"/>
      <c r="AA169" s="348"/>
      <c r="AB169" s="346" t="s">
        <v>537</v>
      </c>
      <c r="AC169" s="347"/>
      <c r="AD169" s="367" t="s">
        <v>552</v>
      </c>
      <c r="AE169" s="367"/>
      <c r="AF169" s="367"/>
      <c r="AG169" s="367"/>
      <c r="AH169" s="367"/>
      <c r="AI169" s="348" t="s">
        <v>442</v>
      </c>
      <c r="AJ169" s="348"/>
      <c r="AK169" s="349" t="s">
        <v>597</v>
      </c>
      <c r="AL169" s="368"/>
      <c r="AM169" s="368"/>
      <c r="AN169" s="368"/>
      <c r="AO169" s="368"/>
      <c r="AP169" s="368"/>
      <c r="AQ169" s="368"/>
      <c r="AR169" s="368"/>
      <c r="AS169" s="368"/>
      <c r="AT169" s="368"/>
      <c r="AU169" s="368"/>
      <c r="AV169" s="368"/>
      <c r="AW169" s="368"/>
      <c r="AX169" s="368"/>
      <c r="AY169" s="368"/>
      <c r="AZ169" s="368"/>
      <c r="BA169" s="368"/>
      <c r="BB169" s="368"/>
      <c r="BC169" s="368"/>
      <c r="BD169" s="368"/>
      <c r="BE169" s="368"/>
      <c r="BF169" s="368"/>
      <c r="BG169" s="368"/>
    </row>
    <row r="170" spans="8:59" x14ac:dyDescent="0.4">
      <c r="H170" s="345"/>
      <c r="I170" s="345"/>
      <c r="J170" s="345"/>
      <c r="K170" s="345"/>
      <c r="L170" s="345"/>
      <c r="M170" s="345"/>
      <c r="N170" s="345"/>
      <c r="O170" s="345"/>
      <c r="P170" s="345"/>
      <c r="Q170" s="345"/>
      <c r="R170" s="348"/>
      <c r="S170" s="348"/>
      <c r="T170" s="348"/>
      <c r="U170" s="348"/>
      <c r="V170" s="348"/>
      <c r="W170" s="348"/>
      <c r="X170" s="348"/>
      <c r="Y170" s="348"/>
      <c r="Z170" s="348"/>
      <c r="AA170" s="348"/>
      <c r="AB170" s="346"/>
      <c r="AC170" s="347"/>
      <c r="AD170" s="367"/>
      <c r="AE170" s="367"/>
      <c r="AF170" s="367"/>
      <c r="AG170" s="367"/>
      <c r="AH170" s="367"/>
      <c r="AI170" s="348"/>
      <c r="AJ170" s="348"/>
      <c r="AK170" s="349"/>
      <c r="AL170" s="368"/>
      <c r="AM170" s="368"/>
      <c r="AN170" s="368"/>
      <c r="AO170" s="368"/>
      <c r="AP170" s="368"/>
      <c r="AQ170" s="368"/>
      <c r="AR170" s="368"/>
      <c r="AS170" s="368"/>
      <c r="AT170" s="368"/>
      <c r="AU170" s="368"/>
      <c r="AV170" s="368"/>
      <c r="AW170" s="368"/>
      <c r="AX170" s="368"/>
      <c r="AY170" s="368"/>
      <c r="AZ170" s="368"/>
      <c r="BA170" s="368"/>
      <c r="BB170" s="368"/>
      <c r="BC170" s="368"/>
      <c r="BD170" s="368"/>
      <c r="BE170" s="368"/>
      <c r="BF170" s="368"/>
      <c r="BG170" s="368"/>
    </row>
    <row r="171" spans="8:59" x14ac:dyDescent="0.4">
      <c r="H171" s="345"/>
      <c r="I171" s="345"/>
      <c r="J171" s="345"/>
      <c r="K171" s="345"/>
      <c r="L171" s="345"/>
      <c r="M171" s="345"/>
      <c r="N171" s="345"/>
      <c r="O171" s="345"/>
      <c r="P171" s="345"/>
      <c r="Q171" s="345"/>
      <c r="R171" s="348"/>
      <c r="S171" s="348"/>
      <c r="T171" s="348"/>
      <c r="U171" s="348"/>
      <c r="V171" s="348"/>
      <c r="W171" s="348"/>
      <c r="X171" s="348"/>
      <c r="Y171" s="348"/>
      <c r="Z171" s="348"/>
      <c r="AA171" s="348"/>
      <c r="AB171" s="350" t="s">
        <v>540</v>
      </c>
      <c r="AC171" s="351"/>
      <c r="AD171" s="366" t="s">
        <v>259</v>
      </c>
      <c r="AE171" s="350"/>
      <c r="AF171" s="350"/>
      <c r="AG171" s="350"/>
      <c r="AH171" s="351"/>
      <c r="AI171" s="355" t="s">
        <v>259</v>
      </c>
      <c r="AJ171" s="356"/>
      <c r="AK171" s="357" t="s">
        <v>258</v>
      </c>
      <c r="AL171" s="358"/>
      <c r="AM171" s="358"/>
      <c r="AN171" s="358"/>
      <c r="AO171" s="358"/>
      <c r="AP171" s="358"/>
      <c r="AQ171" s="358"/>
      <c r="AR171" s="358"/>
      <c r="AS171" s="358"/>
      <c r="AT171" s="358"/>
      <c r="AU171" s="358"/>
      <c r="AV171" s="358"/>
      <c r="AW171" s="358"/>
      <c r="AX171" s="358"/>
      <c r="AY171" s="358"/>
      <c r="AZ171" s="358"/>
      <c r="BA171" s="358"/>
      <c r="BB171" s="358"/>
      <c r="BC171" s="358"/>
      <c r="BD171" s="358"/>
      <c r="BE171" s="358"/>
      <c r="BF171" s="358"/>
      <c r="BG171" s="359"/>
    </row>
    <row r="172" spans="8:59" ht="18.75" customHeight="1" x14ac:dyDescent="0.4">
      <c r="H172" s="345" t="s">
        <v>553</v>
      </c>
      <c r="I172" s="345"/>
      <c r="J172" s="345"/>
      <c r="K172" s="345"/>
      <c r="L172" s="345"/>
      <c r="M172" s="345"/>
      <c r="N172" s="345"/>
      <c r="O172" s="345"/>
      <c r="P172" s="345"/>
      <c r="Q172" s="345"/>
      <c r="R172" s="348" t="s">
        <v>554</v>
      </c>
      <c r="S172" s="348"/>
      <c r="T172" s="348"/>
      <c r="U172" s="348"/>
      <c r="V172" s="348"/>
      <c r="W172" s="348"/>
      <c r="X172" s="348"/>
      <c r="Y172" s="348"/>
      <c r="Z172" s="348"/>
      <c r="AA172" s="348"/>
      <c r="AB172" s="346" t="s">
        <v>463</v>
      </c>
      <c r="AC172" s="347"/>
      <c r="AD172" s="370" t="s">
        <v>555</v>
      </c>
      <c r="AE172" s="370"/>
      <c r="AF172" s="370"/>
      <c r="AG172" s="370"/>
      <c r="AH172" s="370"/>
      <c r="AI172" s="348" t="s">
        <v>442</v>
      </c>
      <c r="AJ172" s="348"/>
      <c r="AK172" s="349" t="s">
        <v>1160</v>
      </c>
      <c r="AL172" s="368"/>
      <c r="AM172" s="368"/>
      <c r="AN172" s="368"/>
      <c r="AO172" s="368"/>
      <c r="AP172" s="368"/>
      <c r="AQ172" s="368"/>
      <c r="AR172" s="368"/>
      <c r="AS172" s="368"/>
      <c r="AT172" s="368"/>
      <c r="AU172" s="368"/>
      <c r="AV172" s="368"/>
      <c r="AW172" s="368"/>
      <c r="AX172" s="368"/>
      <c r="AY172" s="368"/>
      <c r="AZ172" s="368"/>
      <c r="BA172" s="368"/>
      <c r="BB172" s="368"/>
      <c r="BC172" s="368"/>
      <c r="BD172" s="368"/>
      <c r="BE172" s="368"/>
      <c r="BF172" s="368"/>
      <c r="BG172" s="368"/>
    </row>
    <row r="173" spans="8:59" x14ac:dyDescent="0.4">
      <c r="H173" s="345"/>
      <c r="I173" s="345"/>
      <c r="J173" s="345"/>
      <c r="K173" s="345"/>
      <c r="L173" s="345"/>
      <c r="M173" s="345"/>
      <c r="N173" s="345"/>
      <c r="O173" s="345"/>
      <c r="P173" s="345"/>
      <c r="Q173" s="345"/>
      <c r="R173" s="348"/>
      <c r="S173" s="348"/>
      <c r="T173" s="348"/>
      <c r="U173" s="348"/>
      <c r="V173" s="348"/>
      <c r="W173" s="348"/>
      <c r="X173" s="348"/>
      <c r="Y173" s="348"/>
      <c r="Z173" s="348"/>
      <c r="AA173" s="348"/>
      <c r="AB173" s="346"/>
      <c r="AC173" s="347"/>
      <c r="AD173" s="371"/>
      <c r="AE173" s="371"/>
      <c r="AF173" s="371"/>
      <c r="AG173" s="371"/>
      <c r="AH173" s="371"/>
      <c r="AI173" s="372"/>
      <c r="AJ173" s="372"/>
      <c r="AK173" s="349"/>
      <c r="AL173" s="368"/>
      <c r="AM173" s="368"/>
      <c r="AN173" s="368"/>
      <c r="AO173" s="368"/>
      <c r="AP173" s="368"/>
      <c r="AQ173" s="368"/>
      <c r="AR173" s="368"/>
      <c r="AS173" s="368"/>
      <c r="AT173" s="368"/>
      <c r="AU173" s="368"/>
      <c r="AV173" s="368"/>
      <c r="AW173" s="368"/>
      <c r="AX173" s="368"/>
      <c r="AY173" s="368"/>
      <c r="AZ173" s="368"/>
      <c r="BA173" s="368"/>
      <c r="BB173" s="368"/>
      <c r="BC173" s="368"/>
      <c r="BD173" s="368"/>
      <c r="BE173" s="368"/>
      <c r="BF173" s="368"/>
      <c r="BG173" s="368"/>
    </row>
    <row r="174" spans="8:59" x14ac:dyDescent="0.4">
      <c r="H174" s="345"/>
      <c r="I174" s="345"/>
      <c r="J174" s="345"/>
      <c r="K174" s="345"/>
      <c r="L174" s="345"/>
      <c r="M174" s="345"/>
      <c r="N174" s="345"/>
      <c r="O174" s="345"/>
      <c r="P174" s="345"/>
      <c r="Q174" s="345"/>
      <c r="R174" s="348"/>
      <c r="S174" s="348"/>
      <c r="T174" s="348"/>
      <c r="U174" s="348"/>
      <c r="V174" s="348"/>
      <c r="W174" s="348"/>
      <c r="X174" s="348"/>
      <c r="Y174" s="348"/>
      <c r="Z174" s="348"/>
      <c r="AA174" s="348"/>
      <c r="AB174" s="346"/>
      <c r="AC174" s="347"/>
      <c r="AD174" s="371"/>
      <c r="AE174" s="371"/>
      <c r="AF174" s="371"/>
      <c r="AG174" s="371"/>
      <c r="AH174" s="371"/>
      <c r="AI174" s="372"/>
      <c r="AJ174" s="372"/>
      <c r="AK174" s="349"/>
      <c r="AL174" s="368"/>
      <c r="AM174" s="368"/>
      <c r="AN174" s="368"/>
      <c r="AO174" s="368"/>
      <c r="AP174" s="368"/>
      <c r="AQ174" s="368"/>
      <c r="AR174" s="368"/>
      <c r="AS174" s="368"/>
      <c r="AT174" s="368"/>
      <c r="AU174" s="368"/>
      <c r="AV174" s="368"/>
      <c r="AW174" s="368"/>
      <c r="AX174" s="368"/>
      <c r="AY174" s="368"/>
      <c r="AZ174" s="368"/>
      <c r="BA174" s="368"/>
      <c r="BB174" s="368"/>
      <c r="BC174" s="368"/>
      <c r="BD174" s="368"/>
      <c r="BE174" s="368"/>
      <c r="BF174" s="368"/>
      <c r="BG174" s="368"/>
    </row>
    <row r="175" spans="8:59" x14ac:dyDescent="0.4">
      <c r="H175" s="345"/>
      <c r="I175" s="345"/>
      <c r="J175" s="345"/>
      <c r="K175" s="345"/>
      <c r="L175" s="345"/>
      <c r="M175" s="345"/>
      <c r="N175" s="345"/>
      <c r="O175" s="345"/>
      <c r="P175" s="345"/>
      <c r="Q175" s="345"/>
      <c r="R175" s="348"/>
      <c r="S175" s="348"/>
      <c r="T175" s="348"/>
      <c r="U175" s="348"/>
      <c r="V175" s="348"/>
      <c r="W175" s="348"/>
      <c r="X175" s="348"/>
      <c r="Y175" s="348"/>
      <c r="Z175" s="348"/>
      <c r="AA175" s="348"/>
      <c r="AB175" s="346"/>
      <c r="AC175" s="347"/>
      <c r="AD175" s="371"/>
      <c r="AE175" s="371"/>
      <c r="AF175" s="371"/>
      <c r="AG175" s="371"/>
      <c r="AH175" s="371"/>
      <c r="AI175" s="372"/>
      <c r="AJ175" s="372"/>
      <c r="AK175" s="349"/>
      <c r="AL175" s="368"/>
      <c r="AM175" s="368"/>
      <c r="AN175" s="368"/>
      <c r="AO175" s="368"/>
      <c r="AP175" s="368"/>
      <c r="AQ175" s="368"/>
      <c r="AR175" s="368"/>
      <c r="AS175" s="368"/>
      <c r="AT175" s="368"/>
      <c r="AU175" s="368"/>
      <c r="AV175" s="368"/>
      <c r="AW175" s="368"/>
      <c r="AX175" s="368"/>
      <c r="AY175" s="368"/>
      <c r="AZ175" s="368"/>
      <c r="BA175" s="368"/>
      <c r="BB175" s="368"/>
      <c r="BC175" s="368"/>
      <c r="BD175" s="368"/>
      <c r="BE175" s="368"/>
      <c r="BF175" s="368"/>
      <c r="BG175" s="368"/>
    </row>
    <row r="176" spans="8:59" x14ac:dyDescent="0.4">
      <c r="H176" s="345"/>
      <c r="I176" s="345"/>
      <c r="J176" s="345"/>
      <c r="K176" s="345"/>
      <c r="L176" s="345"/>
      <c r="M176" s="345"/>
      <c r="N176" s="345"/>
      <c r="O176" s="345"/>
      <c r="P176" s="345"/>
      <c r="Q176" s="345"/>
      <c r="R176" s="348"/>
      <c r="S176" s="348"/>
      <c r="T176" s="348"/>
      <c r="U176" s="348"/>
      <c r="V176" s="348"/>
      <c r="W176" s="348"/>
      <c r="X176" s="348"/>
      <c r="Y176" s="348"/>
      <c r="Z176" s="348"/>
      <c r="AA176" s="348"/>
      <c r="AB176" s="346"/>
      <c r="AC176" s="347"/>
      <c r="AD176" s="371"/>
      <c r="AE176" s="371"/>
      <c r="AF176" s="371"/>
      <c r="AG176" s="371"/>
      <c r="AH176" s="371"/>
      <c r="AI176" s="372"/>
      <c r="AJ176" s="372"/>
      <c r="AK176" s="349"/>
      <c r="AL176" s="368"/>
      <c r="AM176" s="368"/>
      <c r="AN176" s="368"/>
      <c r="AO176" s="368"/>
      <c r="AP176" s="368"/>
      <c r="AQ176" s="368"/>
      <c r="AR176" s="368"/>
      <c r="AS176" s="368"/>
      <c r="AT176" s="368"/>
      <c r="AU176" s="368"/>
      <c r="AV176" s="368"/>
      <c r="AW176" s="368"/>
      <c r="AX176" s="368"/>
      <c r="AY176" s="368"/>
      <c r="AZ176" s="368"/>
      <c r="BA176" s="368"/>
      <c r="BB176" s="368"/>
      <c r="BC176" s="368"/>
      <c r="BD176" s="368"/>
      <c r="BE176" s="368"/>
      <c r="BF176" s="368"/>
      <c r="BG176" s="368"/>
    </row>
    <row r="177" spans="8:59" x14ac:dyDescent="0.4">
      <c r="H177" s="345"/>
      <c r="I177" s="345"/>
      <c r="J177" s="345"/>
      <c r="K177" s="345"/>
      <c r="L177" s="345"/>
      <c r="M177" s="345"/>
      <c r="N177" s="345"/>
      <c r="O177" s="345"/>
      <c r="P177" s="345"/>
      <c r="Q177" s="345"/>
      <c r="R177" s="348"/>
      <c r="S177" s="348"/>
      <c r="T177" s="348"/>
      <c r="U177" s="348"/>
      <c r="V177" s="348"/>
      <c r="W177" s="348"/>
      <c r="X177" s="348"/>
      <c r="Y177" s="348"/>
      <c r="Z177" s="348"/>
      <c r="AA177" s="348"/>
      <c r="AB177" s="346"/>
      <c r="AC177" s="347"/>
      <c r="AD177" s="371"/>
      <c r="AE177" s="371"/>
      <c r="AF177" s="371"/>
      <c r="AG177" s="371"/>
      <c r="AH177" s="371"/>
      <c r="AI177" s="372"/>
      <c r="AJ177" s="372"/>
      <c r="AK177" s="349"/>
      <c r="AL177" s="368"/>
      <c r="AM177" s="368"/>
      <c r="AN177" s="368"/>
      <c r="AO177" s="368"/>
      <c r="AP177" s="368"/>
      <c r="AQ177" s="368"/>
      <c r="AR177" s="368"/>
      <c r="AS177" s="368"/>
      <c r="AT177" s="368"/>
      <c r="AU177" s="368"/>
      <c r="AV177" s="368"/>
      <c r="AW177" s="368"/>
      <c r="AX177" s="368"/>
      <c r="AY177" s="368"/>
      <c r="AZ177" s="368"/>
      <c r="BA177" s="368"/>
      <c r="BB177" s="368"/>
      <c r="BC177" s="368"/>
      <c r="BD177" s="368"/>
      <c r="BE177" s="368"/>
      <c r="BF177" s="368"/>
      <c r="BG177" s="368"/>
    </row>
    <row r="178" spans="8:59" ht="18.75" customHeight="1" x14ac:dyDescent="0.4">
      <c r="H178" s="345" t="s">
        <v>556</v>
      </c>
      <c r="I178" s="345"/>
      <c r="J178" s="345"/>
      <c r="K178" s="345"/>
      <c r="L178" s="345"/>
      <c r="M178" s="345"/>
      <c r="N178" s="345"/>
      <c r="O178" s="345"/>
      <c r="P178" s="345"/>
      <c r="Q178" s="345"/>
      <c r="R178" s="348" t="s">
        <v>557</v>
      </c>
      <c r="S178" s="348"/>
      <c r="T178" s="348"/>
      <c r="U178" s="348"/>
      <c r="V178" s="348"/>
      <c r="W178" s="348"/>
      <c r="X178" s="348"/>
      <c r="Y178" s="348"/>
      <c r="Z178" s="348"/>
      <c r="AA178" s="348"/>
      <c r="AB178" s="373" t="s">
        <v>537</v>
      </c>
      <c r="AC178" s="374"/>
      <c r="AD178" s="376" t="s">
        <v>558</v>
      </c>
      <c r="AE178" s="377"/>
      <c r="AF178" s="377"/>
      <c r="AG178" s="377"/>
      <c r="AH178" s="378"/>
      <c r="AI178" s="248" t="s">
        <v>442</v>
      </c>
      <c r="AJ178" s="250"/>
      <c r="AK178" s="260" t="s">
        <v>559</v>
      </c>
      <c r="AL178" s="261"/>
      <c r="AM178" s="261"/>
      <c r="AN178" s="261"/>
      <c r="AO178" s="261"/>
      <c r="AP178" s="261"/>
      <c r="AQ178" s="261"/>
      <c r="AR178" s="261"/>
      <c r="AS178" s="261"/>
      <c r="AT178" s="261"/>
      <c r="AU178" s="261"/>
      <c r="AV178" s="261"/>
      <c r="AW178" s="261"/>
      <c r="AX178" s="261"/>
      <c r="AY178" s="261"/>
      <c r="AZ178" s="261"/>
      <c r="BA178" s="261"/>
      <c r="BB178" s="261"/>
      <c r="BC178" s="261"/>
      <c r="BD178" s="261"/>
      <c r="BE178" s="261"/>
      <c r="BF178" s="261"/>
      <c r="BG178" s="262"/>
    </row>
    <row r="179" spans="8:59" x14ac:dyDescent="0.4">
      <c r="H179" s="345"/>
      <c r="I179" s="345"/>
      <c r="J179" s="345"/>
      <c r="K179" s="345"/>
      <c r="L179" s="345"/>
      <c r="M179" s="345"/>
      <c r="N179" s="345"/>
      <c r="O179" s="345"/>
      <c r="P179" s="345"/>
      <c r="Q179" s="345"/>
      <c r="R179" s="348"/>
      <c r="S179" s="348"/>
      <c r="T179" s="348"/>
      <c r="U179" s="348"/>
      <c r="V179" s="348"/>
      <c r="W179" s="348"/>
      <c r="X179" s="348"/>
      <c r="Y179" s="348"/>
      <c r="Z179" s="348"/>
      <c r="AA179" s="348"/>
      <c r="AB179" s="375"/>
      <c r="AC179" s="259"/>
      <c r="AD179" s="379"/>
      <c r="AE179" s="380"/>
      <c r="AF179" s="380"/>
      <c r="AG179" s="380"/>
      <c r="AH179" s="381"/>
      <c r="AI179" s="251"/>
      <c r="AJ179" s="253"/>
      <c r="AK179" s="263"/>
      <c r="AL179" s="264"/>
      <c r="AM179" s="264"/>
      <c r="AN179" s="264"/>
      <c r="AO179" s="264"/>
      <c r="AP179" s="264"/>
      <c r="AQ179" s="264"/>
      <c r="AR179" s="264"/>
      <c r="AS179" s="264"/>
      <c r="AT179" s="264"/>
      <c r="AU179" s="264"/>
      <c r="AV179" s="264"/>
      <c r="AW179" s="264"/>
      <c r="AX179" s="264"/>
      <c r="AY179" s="264"/>
      <c r="AZ179" s="264"/>
      <c r="BA179" s="264"/>
      <c r="BB179" s="264"/>
      <c r="BC179" s="264"/>
      <c r="BD179" s="264"/>
      <c r="BE179" s="264"/>
      <c r="BF179" s="264"/>
      <c r="BG179" s="265"/>
    </row>
    <row r="180" spans="8:59" x14ac:dyDescent="0.4">
      <c r="H180" s="345"/>
      <c r="I180" s="345"/>
      <c r="J180" s="345"/>
      <c r="K180" s="345"/>
      <c r="L180" s="345"/>
      <c r="M180" s="345"/>
      <c r="N180" s="345"/>
      <c r="O180" s="345"/>
      <c r="P180" s="345"/>
      <c r="Q180" s="345"/>
      <c r="R180" s="348"/>
      <c r="S180" s="348"/>
      <c r="T180" s="348"/>
      <c r="U180" s="348"/>
      <c r="V180" s="348"/>
      <c r="W180" s="348"/>
      <c r="X180" s="348"/>
      <c r="Y180" s="348"/>
      <c r="Z180" s="348"/>
      <c r="AA180" s="348"/>
      <c r="AB180" s="350" t="s">
        <v>540</v>
      </c>
      <c r="AC180" s="351"/>
      <c r="AD180" s="366" t="s">
        <v>259</v>
      </c>
      <c r="AE180" s="350"/>
      <c r="AF180" s="350"/>
      <c r="AG180" s="350"/>
      <c r="AH180" s="351"/>
      <c r="AI180" s="355" t="s">
        <v>259</v>
      </c>
      <c r="AJ180" s="356"/>
      <c r="AK180" s="357" t="s">
        <v>258</v>
      </c>
      <c r="AL180" s="358"/>
      <c r="AM180" s="358"/>
      <c r="AN180" s="358"/>
      <c r="AO180" s="358"/>
      <c r="AP180" s="358"/>
      <c r="AQ180" s="358"/>
      <c r="AR180" s="358"/>
      <c r="AS180" s="358"/>
      <c r="AT180" s="358"/>
      <c r="AU180" s="358"/>
      <c r="AV180" s="358"/>
      <c r="AW180" s="358"/>
      <c r="AX180" s="358"/>
      <c r="AY180" s="358"/>
      <c r="AZ180" s="358"/>
      <c r="BA180" s="358"/>
      <c r="BB180" s="358"/>
      <c r="BC180" s="358"/>
      <c r="BD180" s="358"/>
      <c r="BE180" s="358"/>
      <c r="BF180" s="358"/>
      <c r="BG180" s="359"/>
    </row>
    <row r="181" spans="8:59" x14ac:dyDescent="0.4">
      <c r="H181" s="330" t="s">
        <v>560</v>
      </c>
      <c r="I181" s="331"/>
      <c r="J181" s="331"/>
      <c r="K181" s="331"/>
      <c r="L181" s="331"/>
      <c r="M181" s="331"/>
      <c r="N181" s="331"/>
      <c r="O181" s="331"/>
      <c r="P181" s="331"/>
      <c r="Q181" s="331"/>
      <c r="R181" s="331"/>
      <c r="S181" s="331"/>
      <c r="T181" s="331"/>
      <c r="U181" s="331"/>
      <c r="V181" s="331"/>
      <c r="W181" s="331"/>
      <c r="X181" s="331"/>
      <c r="Y181" s="331"/>
      <c r="Z181" s="331"/>
      <c r="AA181" s="331"/>
      <c r="AB181" s="331"/>
      <c r="AC181" s="331"/>
      <c r="AD181" s="331"/>
      <c r="AE181" s="331"/>
      <c r="AF181" s="331"/>
      <c r="AG181" s="331"/>
      <c r="AH181" s="331"/>
      <c r="AI181" s="331"/>
      <c r="AJ181" s="331"/>
      <c r="AK181" s="331"/>
      <c r="AL181" s="331"/>
      <c r="AM181" s="331"/>
      <c r="AN181" s="331"/>
      <c r="AO181" s="331"/>
      <c r="AP181" s="331"/>
      <c r="AQ181" s="331"/>
      <c r="AR181" s="331"/>
      <c r="AS181" s="331"/>
      <c r="AT181" s="331"/>
      <c r="AU181" s="331"/>
      <c r="AV181" s="331"/>
      <c r="AW181" s="331"/>
      <c r="AX181" s="331"/>
      <c r="AY181" s="331"/>
      <c r="AZ181" s="331"/>
      <c r="BA181" s="331"/>
      <c r="BB181" s="331"/>
      <c r="BC181" s="331"/>
      <c r="BD181" s="331"/>
      <c r="BE181" s="331"/>
      <c r="BF181" s="331"/>
      <c r="BG181" s="332"/>
    </row>
  </sheetData>
  <mergeCells count="486">
    <mergeCell ref="H181:BG181"/>
    <mergeCell ref="H178:Q180"/>
    <mergeCell ref="R178:AA180"/>
    <mergeCell ref="AB178:AC179"/>
    <mergeCell ref="AD178:AH179"/>
    <mergeCell ref="AI178:AJ179"/>
    <mergeCell ref="AK178:BG179"/>
    <mergeCell ref="AB180:AC180"/>
    <mergeCell ref="AD180:AH180"/>
    <mergeCell ref="AI180:AJ180"/>
    <mergeCell ref="AK180:BG180"/>
    <mergeCell ref="H172:Q177"/>
    <mergeCell ref="R172:AA177"/>
    <mergeCell ref="AB172:AC177"/>
    <mergeCell ref="AD172:AH177"/>
    <mergeCell ref="AI172:AJ177"/>
    <mergeCell ref="AK172:BG177"/>
    <mergeCell ref="H169:Q171"/>
    <mergeCell ref="R169:AA171"/>
    <mergeCell ref="AB169:AC170"/>
    <mergeCell ref="AD169:AH170"/>
    <mergeCell ref="AI169:AJ170"/>
    <mergeCell ref="AK169:BG170"/>
    <mergeCell ref="AB171:AC171"/>
    <mergeCell ref="AD171:AH171"/>
    <mergeCell ref="AI171:AJ171"/>
    <mergeCell ref="AK171:BG171"/>
    <mergeCell ref="H168:Q168"/>
    <mergeCell ref="R168:AA168"/>
    <mergeCell ref="AB168:AC168"/>
    <mergeCell ref="AD168:AH168"/>
    <mergeCell ref="AI168:AJ168"/>
    <mergeCell ref="AK168:BG168"/>
    <mergeCell ref="H162:Q167"/>
    <mergeCell ref="R162:AA167"/>
    <mergeCell ref="AB162:AC167"/>
    <mergeCell ref="AD162:AH167"/>
    <mergeCell ref="AI162:AJ167"/>
    <mergeCell ref="AK162:BG167"/>
    <mergeCell ref="H159:Q161"/>
    <mergeCell ref="R159:AA161"/>
    <mergeCell ref="AB159:AC160"/>
    <mergeCell ref="AD159:AH160"/>
    <mergeCell ref="AI159:AJ160"/>
    <mergeCell ref="AK159:BG160"/>
    <mergeCell ref="AB161:AC161"/>
    <mergeCell ref="AD161:AH161"/>
    <mergeCell ref="AI161:AJ161"/>
    <mergeCell ref="AK161:BG161"/>
    <mergeCell ref="H153:Q158"/>
    <mergeCell ref="R153:AA158"/>
    <mergeCell ref="AB153:AC158"/>
    <mergeCell ref="AD153:AH158"/>
    <mergeCell ref="AI153:AJ158"/>
    <mergeCell ref="AK153:BG158"/>
    <mergeCell ref="H150:Q152"/>
    <mergeCell ref="R150:AA152"/>
    <mergeCell ref="AB150:AC151"/>
    <mergeCell ref="AD150:AH151"/>
    <mergeCell ref="AI150:AJ151"/>
    <mergeCell ref="AK150:BG151"/>
    <mergeCell ref="AB152:AC152"/>
    <mergeCell ref="AD152:AH152"/>
    <mergeCell ref="AI152:AJ152"/>
    <mergeCell ref="AK152:BG152"/>
    <mergeCell ref="H141:Q142"/>
    <mergeCell ref="R141:AA142"/>
    <mergeCell ref="AB141:AC142"/>
    <mergeCell ref="AD141:AH142"/>
    <mergeCell ref="AI141:AJ142"/>
    <mergeCell ref="AK141:BG142"/>
    <mergeCell ref="H145:BG145"/>
    <mergeCell ref="H148:BG148"/>
    <mergeCell ref="H149:Q149"/>
    <mergeCell ref="R149:AA149"/>
    <mergeCell ref="AB149:AC149"/>
    <mergeCell ref="AD149:AH149"/>
    <mergeCell ref="AI149:AJ149"/>
    <mergeCell ref="AK149:BG149"/>
    <mergeCell ref="H143:Q144"/>
    <mergeCell ref="R143:AA144"/>
    <mergeCell ref="AB143:AC144"/>
    <mergeCell ref="AD143:AH144"/>
    <mergeCell ref="AI143:AJ144"/>
    <mergeCell ref="AK143:BG144"/>
    <mergeCell ref="AB135:AC137"/>
    <mergeCell ref="AD135:AH137"/>
    <mergeCell ref="AI135:AJ137"/>
    <mergeCell ref="AK135:BG137"/>
    <mergeCell ref="AB138:AC139"/>
    <mergeCell ref="AD138:AH139"/>
    <mergeCell ref="AI138:AJ139"/>
    <mergeCell ref="AK138:BG139"/>
    <mergeCell ref="H131:Q140"/>
    <mergeCell ref="R131:AA140"/>
    <mergeCell ref="AB131:AC132"/>
    <mergeCell ref="AD131:AH132"/>
    <mergeCell ref="AI131:AJ132"/>
    <mergeCell ref="AK131:BG132"/>
    <mergeCell ref="AB133:AC134"/>
    <mergeCell ref="AD133:AH134"/>
    <mergeCell ref="AI133:AJ134"/>
    <mergeCell ref="AK133:BG134"/>
    <mergeCell ref="AB140:AC140"/>
    <mergeCell ref="AD140:AH140"/>
    <mergeCell ref="AI140:AJ140"/>
    <mergeCell ref="AK140:BG140"/>
    <mergeCell ref="AI130:AJ130"/>
    <mergeCell ref="AK130:BG130"/>
    <mergeCell ref="AB127:AC127"/>
    <mergeCell ref="AD127:AH127"/>
    <mergeCell ref="AI127:AJ127"/>
    <mergeCell ref="AK127:BG127"/>
    <mergeCell ref="AB128:AC128"/>
    <mergeCell ref="AD128:AH128"/>
    <mergeCell ref="AI128:AJ128"/>
    <mergeCell ref="AK128:BG128"/>
    <mergeCell ref="AB125:AC125"/>
    <mergeCell ref="AD125:AH125"/>
    <mergeCell ref="AI125:AJ125"/>
    <mergeCell ref="AK125:BG125"/>
    <mergeCell ref="AB126:AC126"/>
    <mergeCell ref="AD126:AH126"/>
    <mergeCell ref="AI126:AJ126"/>
    <mergeCell ref="AK126:BG126"/>
    <mergeCell ref="H122:Q130"/>
    <mergeCell ref="R122:AA130"/>
    <mergeCell ref="AB122:AC123"/>
    <mergeCell ref="AD122:AH123"/>
    <mergeCell ref="AI122:AJ123"/>
    <mergeCell ref="AK122:BG123"/>
    <mergeCell ref="AB124:AC124"/>
    <mergeCell ref="AD124:AH124"/>
    <mergeCell ref="AI124:AJ124"/>
    <mergeCell ref="AK124:BG124"/>
    <mergeCell ref="AB129:AC129"/>
    <mergeCell ref="AD129:AH129"/>
    <mergeCell ref="AI129:AJ129"/>
    <mergeCell ref="AK129:BG129"/>
    <mergeCell ref="AB130:AC130"/>
    <mergeCell ref="AD130:AH130"/>
    <mergeCell ref="H117:BG117"/>
    <mergeCell ref="H120:BG120"/>
    <mergeCell ref="H121:Q121"/>
    <mergeCell ref="R121:AA121"/>
    <mergeCell ref="AB121:AC121"/>
    <mergeCell ref="AD121:AH121"/>
    <mergeCell ref="AI121:AJ121"/>
    <mergeCell ref="AK121:BG121"/>
    <mergeCell ref="H114:Q116"/>
    <mergeCell ref="R114:AA116"/>
    <mergeCell ref="AB114:AC115"/>
    <mergeCell ref="AD114:AH115"/>
    <mergeCell ref="AI114:AJ115"/>
    <mergeCell ref="AK114:BG115"/>
    <mergeCell ref="AB116:AC116"/>
    <mergeCell ref="AD116:AH116"/>
    <mergeCell ref="AI116:AJ116"/>
    <mergeCell ref="AK116:BG116"/>
    <mergeCell ref="H112:Q113"/>
    <mergeCell ref="R112:AA113"/>
    <mergeCell ref="AB112:AC113"/>
    <mergeCell ref="AD112:AH113"/>
    <mergeCell ref="AI112:AJ113"/>
    <mergeCell ref="AK112:BG113"/>
    <mergeCell ref="H109:Q111"/>
    <mergeCell ref="R109:AA111"/>
    <mergeCell ref="AB109:AC110"/>
    <mergeCell ref="AD109:AH110"/>
    <mergeCell ref="AI109:AJ110"/>
    <mergeCell ref="AK109:BG110"/>
    <mergeCell ref="AB111:AC111"/>
    <mergeCell ref="AD111:AH111"/>
    <mergeCell ref="AI111:AJ111"/>
    <mergeCell ref="AK111:BG111"/>
    <mergeCell ref="H107:Q108"/>
    <mergeCell ref="R107:AA108"/>
    <mergeCell ref="AB107:AC108"/>
    <mergeCell ref="AD107:AH108"/>
    <mergeCell ref="AI107:AJ108"/>
    <mergeCell ref="AK107:BG108"/>
    <mergeCell ref="H104:Q106"/>
    <mergeCell ref="R104:AA106"/>
    <mergeCell ref="AB104:AC105"/>
    <mergeCell ref="AD104:AH105"/>
    <mergeCell ref="AI104:AJ105"/>
    <mergeCell ref="AK104:BG105"/>
    <mergeCell ref="AB106:AC106"/>
    <mergeCell ref="AD106:AH106"/>
    <mergeCell ref="AI106:AJ106"/>
    <mergeCell ref="AK106:BG106"/>
    <mergeCell ref="H102:Q103"/>
    <mergeCell ref="R102:AA103"/>
    <mergeCell ref="AB102:AC103"/>
    <mergeCell ref="AD102:AH103"/>
    <mergeCell ref="AI102:AJ103"/>
    <mergeCell ref="AK102:BG103"/>
    <mergeCell ref="H99:Q101"/>
    <mergeCell ref="R99:AA101"/>
    <mergeCell ref="AB99:AC100"/>
    <mergeCell ref="AD99:AH100"/>
    <mergeCell ref="AI99:AJ100"/>
    <mergeCell ref="AK99:BG100"/>
    <mergeCell ref="AB101:AC101"/>
    <mergeCell ref="AD101:AH101"/>
    <mergeCell ref="AI101:AJ101"/>
    <mergeCell ref="AK101:BG101"/>
    <mergeCell ref="H97:Q98"/>
    <mergeCell ref="R97:AA98"/>
    <mergeCell ref="AB97:AC98"/>
    <mergeCell ref="AD97:AH98"/>
    <mergeCell ref="AI97:AJ98"/>
    <mergeCell ref="AK97:BG98"/>
    <mergeCell ref="AB95:AC95"/>
    <mergeCell ref="AD95:AH95"/>
    <mergeCell ref="AI95:AJ95"/>
    <mergeCell ref="AK95:BG95"/>
    <mergeCell ref="AB96:AC96"/>
    <mergeCell ref="AD96:AH96"/>
    <mergeCell ref="AI96:AJ96"/>
    <mergeCell ref="AK96:BG96"/>
    <mergeCell ref="H88:Q96"/>
    <mergeCell ref="R88:AA96"/>
    <mergeCell ref="AB88:AC89"/>
    <mergeCell ref="AD88:AH89"/>
    <mergeCell ref="AI88:AJ89"/>
    <mergeCell ref="AK88:BG89"/>
    <mergeCell ref="AB90:AC90"/>
    <mergeCell ref="AD90:AH90"/>
    <mergeCell ref="AI90:AJ90"/>
    <mergeCell ref="AK90:BG90"/>
    <mergeCell ref="AB93:AC93"/>
    <mergeCell ref="AD93:AH93"/>
    <mergeCell ref="AI93:AJ93"/>
    <mergeCell ref="AK93:BG93"/>
    <mergeCell ref="AB94:AC94"/>
    <mergeCell ref="AD94:AH94"/>
    <mergeCell ref="AI94:AJ94"/>
    <mergeCell ref="AK94:BG94"/>
    <mergeCell ref="AB91:AC91"/>
    <mergeCell ref="AD91:AH91"/>
    <mergeCell ref="AI91:AJ91"/>
    <mergeCell ref="AK91:BG91"/>
    <mergeCell ref="AB92:AC92"/>
    <mergeCell ref="AD92:AH92"/>
    <mergeCell ref="AI92:AJ92"/>
    <mergeCell ref="AK92:BG92"/>
    <mergeCell ref="H84:Q87"/>
    <mergeCell ref="R84:AA87"/>
    <mergeCell ref="AB84:AC86"/>
    <mergeCell ref="AD84:AH86"/>
    <mergeCell ref="AI84:AJ86"/>
    <mergeCell ref="AK84:BG86"/>
    <mergeCell ref="AB87:AC87"/>
    <mergeCell ref="AD87:AH87"/>
    <mergeCell ref="AI87:AJ87"/>
    <mergeCell ref="AK87:BG87"/>
    <mergeCell ref="H81:Q83"/>
    <mergeCell ref="R81:AA83"/>
    <mergeCell ref="AB81:AC83"/>
    <mergeCell ref="AD81:AH83"/>
    <mergeCell ref="AI81:AJ83"/>
    <mergeCell ref="AK81:BG83"/>
    <mergeCell ref="H80:Q80"/>
    <mergeCell ref="R80:AA80"/>
    <mergeCell ref="AB80:AC80"/>
    <mergeCell ref="AD80:AH80"/>
    <mergeCell ref="AI80:AJ80"/>
    <mergeCell ref="AK80:BG80"/>
    <mergeCell ref="H78:BG78"/>
    <mergeCell ref="H79:Q79"/>
    <mergeCell ref="R79:AA79"/>
    <mergeCell ref="AB79:AC79"/>
    <mergeCell ref="AD79:AH79"/>
    <mergeCell ref="AI79:AJ79"/>
    <mergeCell ref="AK79:BG79"/>
    <mergeCell ref="H74:N74"/>
    <mergeCell ref="O74:V74"/>
    <mergeCell ref="W74:Y74"/>
    <mergeCell ref="H72:N72"/>
    <mergeCell ref="O72:V72"/>
    <mergeCell ref="W72:Y72"/>
    <mergeCell ref="H73:N73"/>
    <mergeCell ref="O73:V73"/>
    <mergeCell ref="W73:Y73"/>
    <mergeCell ref="H70:N70"/>
    <mergeCell ref="O70:V70"/>
    <mergeCell ref="W70:Y70"/>
    <mergeCell ref="H71:N71"/>
    <mergeCell ref="O71:V71"/>
    <mergeCell ref="W71:Y71"/>
    <mergeCell ref="H68:N68"/>
    <mergeCell ref="O68:V68"/>
    <mergeCell ref="W68:Y68"/>
    <mergeCell ref="H69:N69"/>
    <mergeCell ref="O69:V69"/>
    <mergeCell ref="W69:Y69"/>
    <mergeCell ref="H66:N66"/>
    <mergeCell ref="O66:V66"/>
    <mergeCell ref="W66:Y66"/>
    <mergeCell ref="H67:N67"/>
    <mergeCell ref="O67:V67"/>
    <mergeCell ref="W67:Y67"/>
    <mergeCell ref="H64:N64"/>
    <mergeCell ref="O64:V64"/>
    <mergeCell ref="W64:Y64"/>
    <mergeCell ref="H65:N65"/>
    <mergeCell ref="O65:V65"/>
    <mergeCell ref="W65:Y65"/>
    <mergeCell ref="H62:N62"/>
    <mergeCell ref="O62:V62"/>
    <mergeCell ref="W62:Y62"/>
    <mergeCell ref="H63:N63"/>
    <mergeCell ref="O63:V63"/>
    <mergeCell ref="W63:Y63"/>
    <mergeCell ref="H60:N60"/>
    <mergeCell ref="O60:V60"/>
    <mergeCell ref="W60:Y60"/>
    <mergeCell ref="H61:N61"/>
    <mergeCell ref="O61:V61"/>
    <mergeCell ref="W61:Y61"/>
    <mergeCell ref="H58:N58"/>
    <mergeCell ref="O58:V58"/>
    <mergeCell ref="W58:Y58"/>
    <mergeCell ref="H59:N59"/>
    <mergeCell ref="O59:V59"/>
    <mergeCell ref="W59:Y59"/>
    <mergeCell ref="H56:N56"/>
    <mergeCell ref="O56:V56"/>
    <mergeCell ref="W56:Y56"/>
    <mergeCell ref="H57:N57"/>
    <mergeCell ref="O57:V57"/>
    <mergeCell ref="W57:Y57"/>
    <mergeCell ref="H54:N54"/>
    <mergeCell ref="O54:V54"/>
    <mergeCell ref="W54:Y54"/>
    <mergeCell ref="H55:N55"/>
    <mergeCell ref="O55:V55"/>
    <mergeCell ref="W55:Y55"/>
    <mergeCell ref="H52:N52"/>
    <mergeCell ref="O52:V52"/>
    <mergeCell ref="W52:Y52"/>
    <mergeCell ref="H53:N53"/>
    <mergeCell ref="O53:V53"/>
    <mergeCell ref="W53:Y53"/>
    <mergeCell ref="H50:N50"/>
    <mergeCell ref="O50:V50"/>
    <mergeCell ref="W50:Y50"/>
    <mergeCell ref="H51:N51"/>
    <mergeCell ref="O51:V51"/>
    <mergeCell ref="W51:Y51"/>
    <mergeCell ref="H48:N48"/>
    <mergeCell ref="O48:V48"/>
    <mergeCell ref="W48:Y48"/>
    <mergeCell ref="H49:N49"/>
    <mergeCell ref="O49:V49"/>
    <mergeCell ref="W49:Y49"/>
    <mergeCell ref="H46:N46"/>
    <mergeCell ref="O46:V46"/>
    <mergeCell ref="W46:Y46"/>
    <mergeCell ref="H47:N47"/>
    <mergeCell ref="O47:V47"/>
    <mergeCell ref="W47:Y47"/>
    <mergeCell ref="H44:N44"/>
    <mergeCell ref="O44:V44"/>
    <mergeCell ref="W44:Y44"/>
    <mergeCell ref="H45:N45"/>
    <mergeCell ref="O45:V45"/>
    <mergeCell ref="W45:Y45"/>
    <mergeCell ref="H42:N42"/>
    <mergeCell ref="O42:V42"/>
    <mergeCell ref="W42:Y42"/>
    <mergeCell ref="H43:N43"/>
    <mergeCell ref="O43:V43"/>
    <mergeCell ref="W43:Y43"/>
    <mergeCell ref="H37:N40"/>
    <mergeCell ref="O37:V40"/>
    <mergeCell ref="W37:Y40"/>
    <mergeCell ref="H41:N41"/>
    <mergeCell ref="O41:V41"/>
    <mergeCell ref="W41:Y41"/>
    <mergeCell ref="H35:N35"/>
    <mergeCell ref="O35:V35"/>
    <mergeCell ref="W35:Y35"/>
    <mergeCell ref="H36:N36"/>
    <mergeCell ref="O36:V36"/>
    <mergeCell ref="W36:Y36"/>
    <mergeCell ref="H33:N33"/>
    <mergeCell ref="O33:V33"/>
    <mergeCell ref="W33:Y33"/>
    <mergeCell ref="H34:N34"/>
    <mergeCell ref="O34:V34"/>
    <mergeCell ref="W34:Y34"/>
    <mergeCell ref="H31:N31"/>
    <mergeCell ref="O31:V31"/>
    <mergeCell ref="W31:Y31"/>
    <mergeCell ref="H32:N32"/>
    <mergeCell ref="O32:V32"/>
    <mergeCell ref="W32:Y32"/>
    <mergeCell ref="H29:N29"/>
    <mergeCell ref="O29:V29"/>
    <mergeCell ref="W29:Y29"/>
    <mergeCell ref="H30:N30"/>
    <mergeCell ref="O30:V30"/>
    <mergeCell ref="W30:Y30"/>
    <mergeCell ref="H27:N27"/>
    <mergeCell ref="O27:V27"/>
    <mergeCell ref="W27:Y27"/>
    <mergeCell ref="H28:N28"/>
    <mergeCell ref="O28:V28"/>
    <mergeCell ref="W28:Y28"/>
    <mergeCell ref="H25:N25"/>
    <mergeCell ref="O25:V25"/>
    <mergeCell ref="W25:Y25"/>
    <mergeCell ref="H26:N26"/>
    <mergeCell ref="O26:V26"/>
    <mergeCell ref="W26:Y26"/>
    <mergeCell ref="H23:N23"/>
    <mergeCell ref="O23:V23"/>
    <mergeCell ref="W23:Y23"/>
    <mergeCell ref="H24:N24"/>
    <mergeCell ref="O24:V24"/>
    <mergeCell ref="W24:Y24"/>
    <mergeCell ref="H21:N21"/>
    <mergeCell ref="O21:V21"/>
    <mergeCell ref="W21:Y21"/>
    <mergeCell ref="H22:N22"/>
    <mergeCell ref="O22:V22"/>
    <mergeCell ref="W22:Y22"/>
    <mergeCell ref="H19:N19"/>
    <mergeCell ref="O19:V19"/>
    <mergeCell ref="W19:Y19"/>
    <mergeCell ref="H20:N20"/>
    <mergeCell ref="O20:V20"/>
    <mergeCell ref="W20:Y20"/>
    <mergeCell ref="H17:N17"/>
    <mergeCell ref="O17:V17"/>
    <mergeCell ref="W17:Y17"/>
    <mergeCell ref="H18:N18"/>
    <mergeCell ref="O18:V18"/>
    <mergeCell ref="W18:Y18"/>
    <mergeCell ref="H15:N15"/>
    <mergeCell ref="O15:V15"/>
    <mergeCell ref="W15:Y15"/>
    <mergeCell ref="H16:N16"/>
    <mergeCell ref="O16:V16"/>
    <mergeCell ref="W16:Y16"/>
    <mergeCell ref="H13:N13"/>
    <mergeCell ref="O13:V13"/>
    <mergeCell ref="W13:Y13"/>
    <mergeCell ref="H14:N14"/>
    <mergeCell ref="O14:V14"/>
    <mergeCell ref="W14:Y14"/>
    <mergeCell ref="H11:N11"/>
    <mergeCell ref="O11:V11"/>
    <mergeCell ref="W11:Y11"/>
    <mergeCell ref="H12:N12"/>
    <mergeCell ref="O12:V12"/>
    <mergeCell ref="W12:Y12"/>
    <mergeCell ref="H9:N9"/>
    <mergeCell ref="O9:V9"/>
    <mergeCell ref="W9:Y9"/>
    <mergeCell ref="H10:N10"/>
    <mergeCell ref="O10:V10"/>
    <mergeCell ref="W10:Y10"/>
    <mergeCell ref="H7:N7"/>
    <mergeCell ref="O7:V7"/>
    <mergeCell ref="W7:Y7"/>
    <mergeCell ref="H8:N8"/>
    <mergeCell ref="O8:V8"/>
    <mergeCell ref="W8:Y8"/>
    <mergeCell ref="H3:N3"/>
    <mergeCell ref="O3:V3"/>
    <mergeCell ref="W3:Y3"/>
    <mergeCell ref="H2:N2"/>
    <mergeCell ref="O2:V2"/>
    <mergeCell ref="W2:Y2"/>
    <mergeCell ref="H6:N6"/>
    <mergeCell ref="O6:V6"/>
    <mergeCell ref="W6:Y6"/>
    <mergeCell ref="H5:N5"/>
    <mergeCell ref="O5:V5"/>
    <mergeCell ref="W5:Y5"/>
    <mergeCell ref="H4:N4"/>
    <mergeCell ref="O4:V4"/>
    <mergeCell ref="W4:Y4"/>
  </mergeCells>
  <phoneticPr fontId="1"/>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FCEED-83AB-4979-B6E5-2B69989972E7}">
  <dimension ref="H2:BI141"/>
  <sheetViews>
    <sheetView showGridLines="0" zoomScale="85" zoomScaleNormal="85" workbookViewId="0">
      <selection activeCell="BL143" sqref="BL143"/>
    </sheetView>
  </sheetViews>
  <sheetFormatPr defaultRowHeight="18.75" x14ac:dyDescent="0.4"/>
  <cols>
    <col min="1" max="283" width="3.625" customWidth="1"/>
  </cols>
  <sheetData>
    <row r="2" spans="8:58" x14ac:dyDescent="0.4">
      <c r="H2" s="479" t="s">
        <v>598</v>
      </c>
      <c r="I2" s="479"/>
      <c r="J2" s="479"/>
      <c r="K2" s="479"/>
      <c r="L2" s="479"/>
      <c r="M2" s="479"/>
      <c r="N2" s="479"/>
      <c r="O2" s="479" t="s">
        <v>599</v>
      </c>
      <c r="P2" s="479"/>
      <c r="Q2" s="479"/>
      <c r="R2" s="479"/>
      <c r="S2" s="479"/>
      <c r="T2" s="479"/>
      <c r="U2" s="479"/>
      <c r="V2" s="479"/>
      <c r="W2" s="479"/>
      <c r="X2" s="479"/>
      <c r="Y2" s="479"/>
    </row>
    <row r="3" spans="8:58" x14ac:dyDescent="0.4">
      <c r="H3" s="233" t="s">
        <v>600</v>
      </c>
      <c r="I3" s="234"/>
      <c r="J3" s="234"/>
      <c r="K3" s="234"/>
      <c r="L3" s="234"/>
      <c r="M3" s="234"/>
      <c r="N3" s="234"/>
      <c r="O3" s="235" t="s">
        <v>601</v>
      </c>
      <c r="P3" s="235"/>
      <c r="Q3" s="235"/>
      <c r="R3" s="235"/>
      <c r="S3" s="235"/>
      <c r="T3" s="235"/>
      <c r="U3" s="235"/>
      <c r="V3" s="235"/>
      <c r="W3" s="235" t="s">
        <v>249</v>
      </c>
      <c r="X3" s="235"/>
      <c r="Y3" s="236"/>
    </row>
    <row r="4" spans="8:58" x14ac:dyDescent="0.4">
      <c r="H4" s="233" t="s">
        <v>602</v>
      </c>
      <c r="I4" s="234"/>
      <c r="J4" s="234"/>
      <c r="K4" s="234"/>
      <c r="L4" s="234"/>
      <c r="M4" s="234"/>
      <c r="N4" s="234"/>
      <c r="O4" s="235" t="s">
        <v>603</v>
      </c>
      <c r="P4" s="235"/>
      <c r="Q4" s="235"/>
      <c r="R4" s="235"/>
      <c r="S4" s="235"/>
      <c r="T4" s="235"/>
      <c r="U4" s="235"/>
      <c r="V4" s="235"/>
      <c r="W4" s="235" t="s">
        <v>250</v>
      </c>
      <c r="X4" s="235"/>
      <c r="Y4" s="236"/>
    </row>
    <row r="5" spans="8:58" x14ac:dyDescent="0.4">
      <c r="H5" s="223" t="s">
        <v>604</v>
      </c>
      <c r="I5" s="223"/>
      <c r="J5" s="223"/>
      <c r="K5" s="223"/>
      <c r="L5" s="223"/>
      <c r="M5" s="223"/>
      <c r="N5" s="223"/>
      <c r="O5" s="224" t="s">
        <v>605</v>
      </c>
      <c r="P5" s="224"/>
      <c r="Q5" s="224"/>
      <c r="R5" s="224"/>
      <c r="S5" s="224"/>
      <c r="T5" s="224"/>
      <c r="U5" s="224"/>
      <c r="V5" s="224"/>
      <c r="W5" s="224" t="s">
        <v>251</v>
      </c>
      <c r="X5" s="224"/>
      <c r="Y5" s="224"/>
      <c r="AF5" s="391" t="s">
        <v>618</v>
      </c>
      <c r="AG5" s="392"/>
      <c r="AH5" s="392"/>
      <c r="AI5" s="392"/>
      <c r="AJ5" s="392"/>
      <c r="AK5" s="392"/>
      <c r="AL5" s="392"/>
      <c r="AM5" s="392"/>
      <c r="AN5" s="393"/>
      <c r="AO5" s="391" t="s">
        <v>599</v>
      </c>
      <c r="AP5" s="392"/>
      <c r="AQ5" s="392"/>
      <c r="AR5" s="392"/>
      <c r="AS5" s="392"/>
      <c r="AT5" s="392"/>
      <c r="AU5" s="392"/>
      <c r="AV5" s="392"/>
      <c r="AW5" s="392"/>
      <c r="AX5" s="392"/>
      <c r="AY5" s="392"/>
      <c r="AZ5" s="392"/>
      <c r="BA5" s="392"/>
      <c r="BB5" s="392"/>
      <c r="BC5" s="392"/>
      <c r="BD5" s="392"/>
      <c r="BE5" s="392"/>
      <c r="BF5" s="393"/>
    </row>
    <row r="6" spans="8:58" x14ac:dyDescent="0.4">
      <c r="H6" s="131" t="s">
        <v>606</v>
      </c>
      <c r="I6" s="131"/>
      <c r="J6" s="131"/>
      <c r="K6" s="131"/>
      <c r="L6" s="131"/>
      <c r="M6" s="131"/>
      <c r="N6" s="131"/>
      <c r="O6" s="221" t="s">
        <v>607</v>
      </c>
      <c r="P6" s="221"/>
      <c r="Q6" s="221"/>
      <c r="R6" s="221"/>
      <c r="S6" s="221"/>
      <c r="T6" s="221"/>
      <c r="U6" s="221"/>
      <c r="V6" s="221"/>
      <c r="W6" s="221" t="s">
        <v>252</v>
      </c>
      <c r="X6" s="221"/>
      <c r="Y6" s="221"/>
      <c r="AF6" s="394" t="s">
        <v>619</v>
      </c>
      <c r="AG6" s="394"/>
      <c r="AH6" s="394"/>
      <c r="AI6" s="394"/>
      <c r="AJ6" s="394"/>
      <c r="AK6" s="394"/>
      <c r="AL6" s="394"/>
      <c r="AM6" s="394"/>
      <c r="AN6" s="394"/>
      <c r="AO6" s="395" t="s">
        <v>620</v>
      </c>
      <c r="AP6" s="395"/>
      <c r="AQ6" s="395"/>
      <c r="AR6" s="395"/>
      <c r="AS6" s="395"/>
      <c r="AT6" s="395"/>
      <c r="AU6" s="395"/>
      <c r="AV6" s="395"/>
      <c r="AW6" s="395"/>
      <c r="AX6" s="395" t="s">
        <v>621</v>
      </c>
      <c r="AY6" s="395"/>
      <c r="AZ6" s="395"/>
      <c r="BA6" s="395"/>
      <c r="BB6" s="395"/>
      <c r="BC6" s="395"/>
      <c r="BD6" s="395"/>
      <c r="BE6" s="395"/>
      <c r="BF6" s="395"/>
    </row>
    <row r="7" spans="8:58" x14ac:dyDescent="0.4">
      <c r="H7" s="131" t="s">
        <v>608</v>
      </c>
      <c r="I7" s="131"/>
      <c r="J7" s="131"/>
      <c r="K7" s="131"/>
      <c r="L7" s="131"/>
      <c r="M7" s="131"/>
      <c r="N7" s="131"/>
      <c r="O7" s="221" t="s">
        <v>609</v>
      </c>
      <c r="P7" s="221"/>
      <c r="Q7" s="221"/>
      <c r="R7" s="221"/>
      <c r="S7" s="221"/>
      <c r="T7" s="221"/>
      <c r="U7" s="221"/>
      <c r="V7" s="221"/>
      <c r="W7" s="221" t="s">
        <v>253</v>
      </c>
      <c r="X7" s="221"/>
      <c r="Y7" s="221"/>
      <c r="AF7" s="402" t="s">
        <v>624</v>
      </c>
      <c r="AG7" s="402"/>
      <c r="AH7" s="402"/>
      <c r="AI7" s="402"/>
      <c r="AJ7" s="402"/>
      <c r="AK7" s="402"/>
      <c r="AL7" s="402"/>
      <c r="AM7" s="402"/>
      <c r="AN7" s="402"/>
      <c r="AO7" s="396" t="s">
        <v>625</v>
      </c>
      <c r="AP7" s="396"/>
      <c r="AQ7" s="396"/>
      <c r="AR7" s="396"/>
      <c r="AS7" s="396"/>
      <c r="AT7" s="396"/>
      <c r="AU7" s="396"/>
      <c r="AV7" s="396"/>
      <c r="AW7" s="396"/>
      <c r="AX7" s="396" t="s">
        <v>626</v>
      </c>
      <c r="AY7" s="396"/>
      <c r="AZ7" s="396"/>
      <c r="BA7" s="396"/>
      <c r="BB7" s="396"/>
      <c r="BC7" s="396"/>
      <c r="BD7" s="396"/>
      <c r="BE7" s="396"/>
      <c r="BF7" s="396"/>
    </row>
    <row r="8" spans="8:58" x14ac:dyDescent="0.4">
      <c r="H8" s="131" t="s">
        <v>610</v>
      </c>
      <c r="I8" s="131"/>
      <c r="J8" s="131"/>
      <c r="K8" s="131"/>
      <c r="L8" s="131"/>
      <c r="M8" s="131"/>
      <c r="N8" s="131"/>
      <c r="O8" s="221" t="s">
        <v>611</v>
      </c>
      <c r="P8" s="221"/>
      <c r="Q8" s="221"/>
      <c r="R8" s="221"/>
      <c r="S8" s="221"/>
      <c r="T8" s="221"/>
      <c r="U8" s="221"/>
      <c r="V8" s="221"/>
      <c r="W8" s="221" t="s">
        <v>254</v>
      </c>
      <c r="X8" s="221"/>
      <c r="Y8" s="221"/>
      <c r="AF8" s="403" t="s">
        <v>630</v>
      </c>
      <c r="AG8" s="403"/>
      <c r="AH8" s="403"/>
      <c r="AI8" s="403"/>
      <c r="AJ8" s="403"/>
      <c r="AK8" s="403"/>
      <c r="AL8" s="403"/>
      <c r="AM8" s="403"/>
      <c r="AN8" s="403"/>
      <c r="AO8" s="404" t="s">
        <v>631</v>
      </c>
      <c r="AP8" s="404"/>
      <c r="AQ8" s="404"/>
      <c r="AR8" s="404"/>
      <c r="AS8" s="404"/>
      <c r="AT8" s="404"/>
      <c r="AU8" s="404"/>
      <c r="AV8" s="404"/>
      <c r="AW8" s="404"/>
      <c r="AX8" s="404" t="s">
        <v>632</v>
      </c>
      <c r="AY8" s="404"/>
      <c r="AZ8" s="404"/>
      <c r="BA8" s="404"/>
      <c r="BB8" s="404"/>
      <c r="BC8" s="404"/>
      <c r="BD8" s="404"/>
      <c r="BE8" s="404"/>
      <c r="BF8" s="404"/>
    </row>
    <row r="9" spans="8:58" x14ac:dyDescent="0.4">
      <c r="H9" s="131" t="s">
        <v>612</v>
      </c>
      <c r="I9" s="131"/>
      <c r="J9" s="131"/>
      <c r="K9" s="131"/>
      <c r="L9" s="131"/>
      <c r="M9" s="131"/>
      <c r="N9" s="131"/>
      <c r="O9" s="221" t="s">
        <v>613</v>
      </c>
      <c r="P9" s="221"/>
      <c r="Q9" s="221"/>
      <c r="R9" s="221"/>
      <c r="S9" s="221"/>
      <c r="T9" s="221"/>
      <c r="U9" s="221"/>
      <c r="V9" s="221"/>
      <c r="W9" s="221" t="s">
        <v>255</v>
      </c>
      <c r="X9" s="221"/>
      <c r="Y9" s="221"/>
      <c r="AF9" s="401" t="s">
        <v>636</v>
      </c>
      <c r="AG9" s="401"/>
      <c r="AH9" s="401"/>
      <c r="AI9" s="401"/>
      <c r="AJ9" s="401"/>
      <c r="AK9" s="401"/>
      <c r="AL9" s="401"/>
      <c r="AM9" s="401"/>
      <c r="AN9" s="401"/>
      <c r="AO9" s="397" t="s">
        <v>637</v>
      </c>
      <c r="AP9" s="397"/>
      <c r="AQ9" s="397"/>
      <c r="AR9" s="397"/>
      <c r="AS9" s="397"/>
      <c r="AT9" s="397"/>
      <c r="AU9" s="397"/>
      <c r="AV9" s="397"/>
      <c r="AW9" s="397"/>
      <c r="AX9" s="398" t="s">
        <v>638</v>
      </c>
      <c r="AY9" s="399"/>
      <c r="AZ9" s="399"/>
      <c r="BA9" s="399"/>
      <c r="BB9" s="399"/>
      <c r="BC9" s="399"/>
      <c r="BD9" s="399"/>
      <c r="BE9" s="399"/>
      <c r="BF9" s="400"/>
    </row>
    <row r="10" spans="8:58" x14ac:dyDescent="0.4">
      <c r="H10" s="131" t="s">
        <v>614</v>
      </c>
      <c r="I10" s="131"/>
      <c r="J10" s="131"/>
      <c r="K10" s="131"/>
      <c r="L10" s="131"/>
      <c r="M10" s="131"/>
      <c r="N10" s="131"/>
      <c r="O10" s="221" t="s">
        <v>615</v>
      </c>
      <c r="P10" s="221"/>
      <c r="Q10" s="221"/>
      <c r="R10" s="221"/>
      <c r="S10" s="221"/>
      <c r="T10" s="221"/>
      <c r="U10" s="221"/>
      <c r="V10" s="221"/>
      <c r="W10" s="221" t="s">
        <v>256</v>
      </c>
      <c r="X10" s="221"/>
      <c r="Y10" s="221"/>
      <c r="AF10" s="401" t="s">
        <v>642</v>
      </c>
      <c r="AG10" s="401"/>
      <c r="AH10" s="401"/>
      <c r="AI10" s="401"/>
      <c r="AJ10" s="401"/>
      <c r="AK10" s="401"/>
      <c r="AL10" s="401"/>
      <c r="AM10" s="401"/>
      <c r="AN10" s="401"/>
      <c r="AO10" s="397" t="s">
        <v>643</v>
      </c>
      <c r="AP10" s="397"/>
      <c r="AQ10" s="397"/>
      <c r="AR10" s="397"/>
      <c r="AS10" s="397"/>
      <c r="AT10" s="397"/>
      <c r="AU10" s="397"/>
      <c r="AV10" s="397"/>
      <c r="AW10" s="397"/>
      <c r="AX10" s="398" t="s">
        <v>644</v>
      </c>
      <c r="AY10" s="399"/>
      <c r="AZ10" s="399"/>
      <c r="BA10" s="399"/>
      <c r="BB10" s="399"/>
      <c r="BC10" s="399"/>
      <c r="BD10" s="399"/>
      <c r="BE10" s="399"/>
      <c r="BF10" s="400"/>
    </row>
    <row r="11" spans="8:58" x14ac:dyDescent="0.4">
      <c r="H11" s="131" t="s">
        <v>616</v>
      </c>
      <c r="I11" s="131"/>
      <c r="J11" s="131"/>
      <c r="K11" s="131"/>
      <c r="L11" s="131"/>
      <c r="M11" s="131"/>
      <c r="N11" s="131"/>
      <c r="O11" s="221" t="s">
        <v>617</v>
      </c>
      <c r="P11" s="221"/>
      <c r="Q11" s="221"/>
      <c r="R11" s="221"/>
      <c r="S11" s="221"/>
      <c r="T11" s="221"/>
      <c r="U11" s="221"/>
      <c r="V11" s="221"/>
      <c r="W11" s="221" t="s">
        <v>257</v>
      </c>
      <c r="X11" s="221"/>
      <c r="Y11" s="221"/>
      <c r="AF11" s="401" t="s">
        <v>648</v>
      </c>
      <c r="AG11" s="401"/>
      <c r="AH11" s="401"/>
      <c r="AI11" s="401"/>
      <c r="AJ11" s="401"/>
      <c r="AK11" s="401"/>
      <c r="AL11" s="401"/>
      <c r="AM11" s="401"/>
      <c r="AN11" s="401"/>
      <c r="AO11" s="397" t="s">
        <v>649</v>
      </c>
      <c r="AP11" s="397"/>
      <c r="AQ11" s="397"/>
      <c r="AR11" s="397"/>
      <c r="AS11" s="397"/>
      <c r="AT11" s="397"/>
      <c r="AU11" s="397"/>
      <c r="AV11" s="397"/>
      <c r="AW11" s="397"/>
      <c r="AX11" s="398" t="s">
        <v>650</v>
      </c>
      <c r="AY11" s="399"/>
      <c r="AZ11" s="399"/>
      <c r="BA11" s="399"/>
      <c r="BB11" s="399"/>
      <c r="BC11" s="399"/>
      <c r="BD11" s="399"/>
      <c r="BE11" s="399"/>
      <c r="BF11" s="400"/>
    </row>
    <row r="12" spans="8:58" x14ac:dyDescent="0.4">
      <c r="H12" s="169" t="s">
        <v>258</v>
      </c>
      <c r="I12" s="405"/>
      <c r="J12" s="405"/>
      <c r="K12" s="405"/>
      <c r="L12" s="405"/>
      <c r="M12" s="405"/>
      <c r="N12" s="170"/>
      <c r="O12" s="169" t="s">
        <v>259</v>
      </c>
      <c r="P12" s="405"/>
      <c r="Q12" s="405"/>
      <c r="R12" s="405"/>
      <c r="S12" s="405"/>
      <c r="T12" s="405"/>
      <c r="U12" s="405"/>
      <c r="V12" s="170"/>
      <c r="W12" s="406" t="s">
        <v>780</v>
      </c>
      <c r="X12" s="407"/>
      <c r="Y12" s="408"/>
      <c r="AF12" s="401" t="s">
        <v>654</v>
      </c>
      <c r="AG12" s="401"/>
      <c r="AH12" s="401"/>
      <c r="AI12" s="401"/>
      <c r="AJ12" s="401"/>
      <c r="AK12" s="401"/>
      <c r="AL12" s="401"/>
      <c r="AM12" s="401"/>
      <c r="AN12" s="401"/>
      <c r="AO12" s="397" t="s">
        <v>655</v>
      </c>
      <c r="AP12" s="397"/>
      <c r="AQ12" s="397"/>
      <c r="AR12" s="397"/>
      <c r="AS12" s="397"/>
      <c r="AT12" s="397"/>
      <c r="AU12" s="397"/>
      <c r="AV12" s="397"/>
      <c r="AW12" s="397"/>
      <c r="AX12" s="398" t="s">
        <v>656</v>
      </c>
      <c r="AY12" s="399"/>
      <c r="AZ12" s="399"/>
      <c r="BA12" s="399"/>
      <c r="BB12" s="399"/>
      <c r="BC12" s="399"/>
      <c r="BD12" s="399"/>
      <c r="BE12" s="399"/>
      <c r="BF12" s="400"/>
    </row>
    <row r="13" spans="8:58" x14ac:dyDescent="0.4">
      <c r="H13" s="226"/>
      <c r="I13" s="227"/>
      <c r="J13" s="227"/>
      <c r="K13" s="227"/>
      <c r="L13" s="227"/>
      <c r="M13" s="227"/>
      <c r="N13" s="228"/>
      <c r="O13" s="226"/>
      <c r="P13" s="227"/>
      <c r="Q13" s="227"/>
      <c r="R13" s="227"/>
      <c r="S13" s="227"/>
      <c r="T13" s="227"/>
      <c r="U13" s="227"/>
      <c r="V13" s="228"/>
      <c r="W13" s="409"/>
      <c r="X13" s="410"/>
      <c r="Y13" s="411"/>
      <c r="AF13" s="401" t="s">
        <v>660</v>
      </c>
      <c r="AG13" s="401"/>
      <c r="AH13" s="401"/>
      <c r="AI13" s="401"/>
      <c r="AJ13" s="401"/>
      <c r="AK13" s="401"/>
      <c r="AL13" s="401"/>
      <c r="AM13" s="401"/>
      <c r="AN13" s="401"/>
      <c r="AO13" s="397" t="s">
        <v>661</v>
      </c>
      <c r="AP13" s="397"/>
      <c r="AQ13" s="397"/>
      <c r="AR13" s="397"/>
      <c r="AS13" s="397"/>
      <c r="AT13" s="397"/>
      <c r="AU13" s="397"/>
      <c r="AV13" s="397"/>
      <c r="AW13" s="397"/>
      <c r="AX13" s="398" t="s">
        <v>662</v>
      </c>
      <c r="AY13" s="399"/>
      <c r="AZ13" s="399"/>
      <c r="BA13" s="399"/>
      <c r="BB13" s="399"/>
      <c r="BC13" s="399"/>
      <c r="BD13" s="399"/>
      <c r="BE13" s="399"/>
      <c r="BF13" s="400"/>
    </row>
    <row r="14" spans="8:58" x14ac:dyDescent="0.4">
      <c r="H14" s="226"/>
      <c r="I14" s="227"/>
      <c r="J14" s="227"/>
      <c r="K14" s="227"/>
      <c r="L14" s="227"/>
      <c r="M14" s="227"/>
      <c r="N14" s="228"/>
      <c r="O14" s="226"/>
      <c r="P14" s="227"/>
      <c r="Q14" s="227"/>
      <c r="R14" s="227"/>
      <c r="S14" s="227"/>
      <c r="T14" s="227"/>
      <c r="U14" s="227"/>
      <c r="V14" s="228"/>
      <c r="W14" s="409"/>
      <c r="X14" s="410"/>
      <c r="Y14" s="411"/>
      <c r="AF14" s="401" t="s">
        <v>666</v>
      </c>
      <c r="AG14" s="401"/>
      <c r="AH14" s="401"/>
      <c r="AI14" s="401"/>
      <c r="AJ14" s="401"/>
      <c r="AK14" s="401"/>
      <c r="AL14" s="401"/>
      <c r="AM14" s="401"/>
      <c r="AN14" s="401"/>
      <c r="AO14" s="397" t="s">
        <v>667</v>
      </c>
      <c r="AP14" s="397"/>
      <c r="AQ14" s="397"/>
      <c r="AR14" s="397"/>
      <c r="AS14" s="397"/>
      <c r="AT14" s="397"/>
      <c r="AU14" s="397"/>
      <c r="AV14" s="397"/>
      <c r="AW14" s="397"/>
      <c r="AX14" s="397" t="s">
        <v>668</v>
      </c>
      <c r="AY14" s="397"/>
      <c r="AZ14" s="397"/>
      <c r="BA14" s="397"/>
      <c r="BB14" s="397"/>
      <c r="BC14" s="397"/>
      <c r="BD14" s="397"/>
      <c r="BE14" s="397"/>
      <c r="BF14" s="397"/>
    </row>
    <row r="15" spans="8:58" x14ac:dyDescent="0.4">
      <c r="H15" s="233" t="s">
        <v>622</v>
      </c>
      <c r="I15" s="234"/>
      <c r="J15" s="234"/>
      <c r="K15" s="234"/>
      <c r="L15" s="234"/>
      <c r="M15" s="234"/>
      <c r="N15" s="234"/>
      <c r="O15" s="235" t="s">
        <v>623</v>
      </c>
      <c r="P15" s="235"/>
      <c r="Q15" s="235"/>
      <c r="R15" s="235"/>
      <c r="S15" s="235"/>
      <c r="T15" s="235"/>
      <c r="U15" s="235"/>
      <c r="V15" s="235"/>
      <c r="W15" s="235" t="s">
        <v>260</v>
      </c>
      <c r="X15" s="235"/>
      <c r="Y15" s="236"/>
      <c r="AF15" s="401" t="s">
        <v>669</v>
      </c>
      <c r="AG15" s="401"/>
      <c r="AH15" s="401"/>
      <c r="AI15" s="401"/>
      <c r="AJ15" s="401"/>
      <c r="AK15" s="401"/>
      <c r="AL15" s="401"/>
      <c r="AM15" s="401"/>
      <c r="AN15" s="401"/>
      <c r="AO15" s="397" t="s">
        <v>670</v>
      </c>
      <c r="AP15" s="397"/>
      <c r="AQ15" s="397"/>
      <c r="AR15" s="397"/>
      <c r="AS15" s="397"/>
      <c r="AT15" s="397"/>
      <c r="AU15" s="397"/>
      <c r="AV15" s="397"/>
      <c r="AW15" s="397"/>
      <c r="AX15" s="397" t="s">
        <v>671</v>
      </c>
      <c r="AY15" s="397"/>
      <c r="AZ15" s="397"/>
      <c r="BA15" s="397"/>
      <c r="BB15" s="397"/>
      <c r="BC15" s="397"/>
      <c r="BD15" s="397"/>
      <c r="BE15" s="397"/>
      <c r="BF15" s="397"/>
    </row>
    <row r="16" spans="8:58" x14ac:dyDescent="0.4">
      <c r="H16" s="223" t="s">
        <v>627</v>
      </c>
      <c r="I16" s="223"/>
      <c r="J16" s="223"/>
      <c r="K16" s="223"/>
      <c r="L16" s="223"/>
      <c r="M16" s="223"/>
      <c r="N16" s="223"/>
      <c r="O16" s="224" t="s">
        <v>628</v>
      </c>
      <c r="P16" s="224"/>
      <c r="Q16" s="224"/>
      <c r="R16" s="224"/>
      <c r="S16" s="224"/>
      <c r="T16" s="224"/>
      <c r="U16" s="224"/>
      <c r="V16" s="224"/>
      <c r="W16" s="235" t="s">
        <v>629</v>
      </c>
      <c r="X16" s="235"/>
      <c r="Y16" s="218"/>
      <c r="Z16" s="37"/>
      <c r="AF16" s="401" t="s">
        <v>672</v>
      </c>
      <c r="AG16" s="401"/>
      <c r="AH16" s="401"/>
      <c r="AI16" s="401"/>
      <c r="AJ16" s="401"/>
      <c r="AK16" s="401"/>
      <c r="AL16" s="401"/>
      <c r="AM16" s="401"/>
      <c r="AN16" s="401"/>
      <c r="AO16" s="397" t="s">
        <v>673</v>
      </c>
      <c r="AP16" s="397"/>
      <c r="AQ16" s="397"/>
      <c r="AR16" s="397"/>
      <c r="AS16" s="397"/>
      <c r="AT16" s="397"/>
      <c r="AU16" s="397"/>
      <c r="AV16" s="397"/>
      <c r="AW16" s="397"/>
      <c r="AX16" s="397" t="s">
        <v>674</v>
      </c>
      <c r="AY16" s="397"/>
      <c r="AZ16" s="397"/>
      <c r="BA16" s="397"/>
      <c r="BB16" s="397"/>
      <c r="BC16" s="397"/>
      <c r="BD16" s="397"/>
      <c r="BE16" s="397"/>
      <c r="BF16" s="397"/>
    </row>
    <row r="17" spans="8:58" x14ac:dyDescent="0.4">
      <c r="H17" s="131" t="s">
        <v>633</v>
      </c>
      <c r="I17" s="131"/>
      <c r="J17" s="131"/>
      <c r="K17" s="131"/>
      <c r="L17" s="131"/>
      <c r="M17" s="131"/>
      <c r="N17" s="131"/>
      <c r="O17" s="221" t="s">
        <v>634</v>
      </c>
      <c r="P17" s="221"/>
      <c r="Q17" s="221"/>
      <c r="R17" s="221"/>
      <c r="S17" s="221"/>
      <c r="T17" s="221"/>
      <c r="U17" s="221"/>
      <c r="V17" s="221"/>
      <c r="W17" s="221" t="s">
        <v>635</v>
      </c>
      <c r="X17" s="221"/>
      <c r="Y17" s="221"/>
      <c r="AF17" s="401" t="s">
        <v>675</v>
      </c>
      <c r="AG17" s="401"/>
      <c r="AH17" s="401"/>
      <c r="AI17" s="401"/>
      <c r="AJ17" s="401"/>
      <c r="AK17" s="401"/>
      <c r="AL17" s="401"/>
      <c r="AM17" s="401"/>
      <c r="AN17" s="401"/>
      <c r="AO17" s="397" t="s">
        <v>676</v>
      </c>
      <c r="AP17" s="397"/>
      <c r="AQ17" s="397"/>
      <c r="AR17" s="397"/>
      <c r="AS17" s="397"/>
      <c r="AT17" s="397"/>
      <c r="AU17" s="397"/>
      <c r="AV17" s="397"/>
      <c r="AW17" s="397"/>
      <c r="AX17" s="397" t="s">
        <v>677</v>
      </c>
      <c r="AY17" s="397"/>
      <c r="AZ17" s="397"/>
      <c r="BA17" s="397"/>
      <c r="BB17" s="397"/>
      <c r="BC17" s="397"/>
      <c r="BD17" s="397"/>
      <c r="BE17" s="397"/>
      <c r="BF17" s="397"/>
    </row>
    <row r="18" spans="8:58" x14ac:dyDescent="0.4">
      <c r="H18" s="131" t="s">
        <v>639</v>
      </c>
      <c r="I18" s="131"/>
      <c r="J18" s="131"/>
      <c r="K18" s="131"/>
      <c r="L18" s="131"/>
      <c r="M18" s="131"/>
      <c r="N18" s="131"/>
      <c r="O18" s="221" t="s">
        <v>640</v>
      </c>
      <c r="P18" s="221"/>
      <c r="Q18" s="221"/>
      <c r="R18" s="221"/>
      <c r="S18" s="221"/>
      <c r="T18" s="221"/>
      <c r="U18" s="221"/>
      <c r="V18" s="221"/>
      <c r="W18" s="221" t="s">
        <v>641</v>
      </c>
      <c r="X18" s="221"/>
      <c r="Y18" s="221"/>
      <c r="AF18" s="401" t="s">
        <v>678</v>
      </c>
      <c r="AG18" s="401"/>
      <c r="AH18" s="401"/>
      <c r="AI18" s="401"/>
      <c r="AJ18" s="401"/>
      <c r="AK18" s="401"/>
      <c r="AL18" s="401"/>
      <c r="AM18" s="401"/>
      <c r="AN18" s="401"/>
      <c r="AO18" s="397" t="s">
        <v>679</v>
      </c>
      <c r="AP18" s="397"/>
      <c r="AQ18" s="397"/>
      <c r="AR18" s="397"/>
      <c r="AS18" s="397"/>
      <c r="AT18" s="397"/>
      <c r="AU18" s="397"/>
      <c r="AV18" s="397"/>
      <c r="AW18" s="397"/>
      <c r="AX18" s="397" t="s">
        <v>680</v>
      </c>
      <c r="AY18" s="397"/>
      <c r="AZ18" s="397"/>
      <c r="BA18" s="397"/>
      <c r="BB18" s="397"/>
      <c r="BC18" s="397"/>
      <c r="BD18" s="397"/>
      <c r="BE18" s="397"/>
      <c r="BF18" s="397"/>
    </row>
    <row r="19" spans="8:58" x14ac:dyDescent="0.4">
      <c r="H19" s="131" t="s">
        <v>645</v>
      </c>
      <c r="I19" s="131"/>
      <c r="J19" s="131"/>
      <c r="K19" s="131"/>
      <c r="L19" s="131"/>
      <c r="M19" s="131"/>
      <c r="N19" s="131"/>
      <c r="O19" s="221" t="s">
        <v>646</v>
      </c>
      <c r="P19" s="221"/>
      <c r="Q19" s="221"/>
      <c r="R19" s="221"/>
      <c r="S19" s="221"/>
      <c r="T19" s="221"/>
      <c r="U19" s="221"/>
      <c r="V19" s="221"/>
      <c r="W19" s="477" t="s">
        <v>647</v>
      </c>
      <c r="X19" s="477"/>
      <c r="Y19" s="478"/>
      <c r="Z19" s="37"/>
      <c r="AF19" s="401" t="s">
        <v>681</v>
      </c>
      <c r="AG19" s="401"/>
      <c r="AH19" s="401"/>
      <c r="AI19" s="401"/>
      <c r="AJ19" s="401"/>
      <c r="AK19" s="401"/>
      <c r="AL19" s="401"/>
      <c r="AM19" s="401"/>
      <c r="AN19" s="401"/>
      <c r="AO19" s="397" t="s">
        <v>682</v>
      </c>
      <c r="AP19" s="397"/>
      <c r="AQ19" s="397"/>
      <c r="AR19" s="397"/>
      <c r="AS19" s="397"/>
      <c r="AT19" s="397"/>
      <c r="AU19" s="397"/>
      <c r="AV19" s="397"/>
      <c r="AW19" s="397"/>
      <c r="AX19" s="397" t="s">
        <v>683</v>
      </c>
      <c r="AY19" s="397"/>
      <c r="AZ19" s="397"/>
      <c r="BA19" s="397"/>
      <c r="BB19" s="397"/>
      <c r="BC19" s="397"/>
      <c r="BD19" s="397"/>
      <c r="BE19" s="397"/>
      <c r="BF19" s="397"/>
    </row>
    <row r="20" spans="8:58" x14ac:dyDescent="0.4">
      <c r="H20" s="131" t="s">
        <v>651</v>
      </c>
      <c r="I20" s="131"/>
      <c r="J20" s="131"/>
      <c r="K20" s="131"/>
      <c r="L20" s="131"/>
      <c r="M20" s="131"/>
      <c r="N20" s="131"/>
      <c r="O20" s="221" t="s">
        <v>652</v>
      </c>
      <c r="P20" s="221"/>
      <c r="Q20" s="221"/>
      <c r="R20" s="221"/>
      <c r="S20" s="221"/>
      <c r="T20" s="221"/>
      <c r="U20" s="221"/>
      <c r="V20" s="221"/>
      <c r="W20" s="475" t="s">
        <v>653</v>
      </c>
      <c r="X20" s="475"/>
      <c r="Y20" s="476"/>
      <c r="Z20" s="37"/>
      <c r="AF20" s="401" t="s">
        <v>684</v>
      </c>
      <c r="AG20" s="401"/>
      <c r="AH20" s="401"/>
      <c r="AI20" s="401"/>
      <c r="AJ20" s="401"/>
      <c r="AK20" s="401"/>
      <c r="AL20" s="401"/>
      <c r="AM20" s="401"/>
      <c r="AN20" s="401"/>
      <c r="AO20" s="397" t="s">
        <v>685</v>
      </c>
      <c r="AP20" s="397"/>
      <c r="AQ20" s="397"/>
      <c r="AR20" s="397"/>
      <c r="AS20" s="397"/>
      <c r="AT20" s="397"/>
      <c r="AU20" s="397"/>
      <c r="AV20" s="397"/>
      <c r="AW20" s="397"/>
      <c r="AX20" s="397" t="s">
        <v>686</v>
      </c>
      <c r="AY20" s="397"/>
      <c r="AZ20" s="397"/>
      <c r="BA20" s="397"/>
      <c r="BB20" s="397"/>
      <c r="BC20" s="397"/>
      <c r="BD20" s="397"/>
      <c r="BE20" s="397"/>
      <c r="BF20" s="397"/>
    </row>
    <row r="21" spans="8:58" x14ac:dyDescent="0.4">
      <c r="H21" s="131" t="s">
        <v>657</v>
      </c>
      <c r="I21" s="131"/>
      <c r="J21" s="131"/>
      <c r="K21" s="131"/>
      <c r="L21" s="131"/>
      <c r="M21" s="131"/>
      <c r="N21" s="131"/>
      <c r="O21" s="221" t="s">
        <v>658</v>
      </c>
      <c r="P21" s="221"/>
      <c r="Q21" s="221"/>
      <c r="R21" s="221"/>
      <c r="S21" s="221"/>
      <c r="T21" s="221"/>
      <c r="U21" s="221"/>
      <c r="V21" s="221"/>
      <c r="W21" s="221" t="s">
        <v>659</v>
      </c>
      <c r="X21" s="221"/>
      <c r="Y21" s="221"/>
      <c r="AF21" s="401" t="s">
        <v>687</v>
      </c>
      <c r="AG21" s="401"/>
      <c r="AH21" s="401"/>
      <c r="AI21" s="401"/>
      <c r="AJ21" s="401"/>
      <c r="AK21" s="401"/>
      <c r="AL21" s="401"/>
      <c r="AM21" s="401"/>
      <c r="AN21" s="401"/>
      <c r="AO21" s="397" t="s">
        <v>688</v>
      </c>
      <c r="AP21" s="397"/>
      <c r="AQ21" s="397"/>
      <c r="AR21" s="397"/>
      <c r="AS21" s="397"/>
      <c r="AT21" s="397"/>
      <c r="AU21" s="397"/>
      <c r="AV21" s="397"/>
      <c r="AW21" s="397"/>
      <c r="AX21" s="397" t="s">
        <v>689</v>
      </c>
      <c r="AY21" s="397"/>
      <c r="AZ21" s="397"/>
      <c r="BA21" s="397"/>
      <c r="BB21" s="397"/>
      <c r="BC21" s="397"/>
      <c r="BD21" s="397"/>
      <c r="BE21" s="397"/>
      <c r="BF21" s="397"/>
    </row>
    <row r="22" spans="8:58" x14ac:dyDescent="0.4">
      <c r="H22" s="131" t="s">
        <v>663</v>
      </c>
      <c r="I22" s="131"/>
      <c r="J22" s="131"/>
      <c r="K22" s="131"/>
      <c r="L22" s="131"/>
      <c r="M22" s="131"/>
      <c r="N22" s="131"/>
      <c r="O22" s="221" t="s">
        <v>664</v>
      </c>
      <c r="P22" s="221"/>
      <c r="Q22" s="221"/>
      <c r="R22" s="221"/>
      <c r="S22" s="221"/>
      <c r="T22" s="221"/>
      <c r="U22" s="221"/>
      <c r="V22" s="221"/>
      <c r="W22" s="221" t="s">
        <v>665</v>
      </c>
      <c r="X22" s="221"/>
      <c r="Y22" s="221"/>
      <c r="AF22" s="401" t="s">
        <v>690</v>
      </c>
      <c r="AG22" s="401"/>
      <c r="AH22" s="401"/>
      <c r="AI22" s="401"/>
      <c r="AJ22" s="401"/>
      <c r="AK22" s="401"/>
      <c r="AL22" s="401"/>
      <c r="AM22" s="401"/>
      <c r="AN22" s="401"/>
      <c r="AO22" s="397" t="s">
        <v>691</v>
      </c>
      <c r="AP22" s="397"/>
      <c r="AQ22" s="397"/>
      <c r="AR22" s="397"/>
      <c r="AS22" s="397"/>
      <c r="AT22" s="397"/>
      <c r="AU22" s="397"/>
      <c r="AV22" s="397"/>
      <c r="AW22" s="397"/>
      <c r="AX22" s="397" t="s">
        <v>692</v>
      </c>
      <c r="AY22" s="397"/>
      <c r="AZ22" s="397"/>
      <c r="BA22" s="397"/>
      <c r="BB22" s="397"/>
      <c r="BC22" s="397"/>
      <c r="BD22" s="397"/>
      <c r="BE22" s="397"/>
      <c r="BF22" s="397"/>
    </row>
    <row r="23" spans="8:58" x14ac:dyDescent="0.4">
      <c r="Q23" s="65"/>
      <c r="R23" s="65"/>
    </row>
    <row r="25" spans="8:58" x14ac:dyDescent="0.4">
      <c r="H25" s="237" t="s">
        <v>693</v>
      </c>
      <c r="I25" s="238"/>
      <c r="J25" s="238"/>
      <c r="K25" s="238"/>
      <c r="L25" s="238"/>
      <c r="M25" s="238"/>
      <c r="N25" s="238"/>
      <c r="O25" s="238"/>
      <c r="P25" s="238"/>
      <c r="Q25" s="238"/>
      <c r="R25" s="238"/>
      <c r="S25" s="238"/>
      <c r="T25" s="238"/>
      <c r="U25" s="238"/>
      <c r="V25" s="238"/>
      <c r="W25" s="238"/>
      <c r="X25" s="238"/>
      <c r="Y25" s="238"/>
      <c r="Z25" s="238"/>
      <c r="AA25" s="238"/>
      <c r="AB25" s="238"/>
      <c r="AC25" s="238"/>
      <c r="AD25" s="238"/>
      <c r="AE25" s="238"/>
      <c r="AF25" s="238"/>
      <c r="AG25" s="238"/>
      <c r="AH25" s="238"/>
      <c r="AI25" s="238"/>
      <c r="AJ25" s="238"/>
      <c r="AK25" s="238"/>
      <c r="AL25" s="238"/>
      <c r="AM25" s="238"/>
      <c r="AN25" s="238"/>
      <c r="AO25" s="238"/>
      <c r="AP25" s="238"/>
      <c r="AQ25" s="238"/>
      <c r="AR25" s="238"/>
      <c r="AS25" s="238"/>
      <c r="AT25" s="238"/>
      <c r="AU25" s="238"/>
      <c r="AV25" s="238"/>
      <c r="AW25" s="238"/>
      <c r="AX25" s="238"/>
      <c r="AY25" s="238"/>
      <c r="AZ25" s="238"/>
      <c r="BA25" s="238"/>
      <c r="BB25" s="238"/>
      <c r="BC25" s="238"/>
      <c r="BD25" s="238"/>
      <c r="BE25" s="238"/>
      <c r="BF25" s="239"/>
    </row>
    <row r="26" spans="8:58" x14ac:dyDescent="0.4">
      <c r="H26" s="240" t="s">
        <v>433</v>
      </c>
      <c r="I26" s="240"/>
      <c r="J26" s="240"/>
      <c r="K26" s="240"/>
      <c r="L26" s="240"/>
      <c r="M26" s="240"/>
      <c r="N26" s="240"/>
      <c r="O26" s="240"/>
      <c r="P26" s="240"/>
      <c r="Q26" s="240"/>
      <c r="R26" s="240" t="s">
        <v>1</v>
      </c>
      <c r="S26" s="240"/>
      <c r="T26" s="240"/>
      <c r="U26" s="240"/>
      <c r="V26" s="240"/>
      <c r="W26" s="240"/>
      <c r="X26" s="240"/>
      <c r="Y26" s="240"/>
      <c r="Z26" s="240"/>
      <c r="AA26" s="240"/>
      <c r="AB26" s="241" t="s">
        <v>434</v>
      </c>
      <c r="AC26" s="242"/>
      <c r="AD26" s="243" t="s">
        <v>435</v>
      </c>
      <c r="AE26" s="244"/>
      <c r="AF26" s="244"/>
      <c r="AG26" s="245"/>
      <c r="AH26" s="246" t="s">
        <v>436</v>
      </c>
      <c r="AI26" s="246"/>
      <c r="AJ26" s="247" t="s">
        <v>437</v>
      </c>
      <c r="AK26" s="247"/>
      <c r="AL26" s="247"/>
      <c r="AM26" s="247"/>
      <c r="AN26" s="247"/>
      <c r="AO26" s="247"/>
      <c r="AP26" s="247"/>
      <c r="AQ26" s="247"/>
      <c r="AR26" s="247"/>
      <c r="AS26" s="247"/>
      <c r="AT26" s="247"/>
      <c r="AU26" s="247"/>
      <c r="AV26" s="247"/>
      <c r="AW26" s="247"/>
      <c r="AX26" s="247"/>
      <c r="AY26" s="247"/>
      <c r="AZ26" s="247"/>
      <c r="BA26" s="247"/>
      <c r="BB26" s="247"/>
      <c r="BC26" s="247"/>
      <c r="BD26" s="247"/>
      <c r="BE26" s="247"/>
      <c r="BF26" s="247"/>
    </row>
    <row r="27" spans="8:58" x14ac:dyDescent="0.4">
      <c r="H27" s="136" t="s">
        <v>438</v>
      </c>
      <c r="I27" s="137"/>
      <c r="J27" s="137"/>
      <c r="K27" s="137"/>
      <c r="L27" s="137"/>
      <c r="M27" s="137"/>
      <c r="N27" s="137"/>
      <c r="O27" s="137"/>
      <c r="P27" s="137"/>
      <c r="Q27" s="138"/>
      <c r="R27" s="136" t="s">
        <v>694</v>
      </c>
      <c r="S27" s="137"/>
      <c r="T27" s="137"/>
      <c r="U27" s="137"/>
      <c r="V27" s="137"/>
      <c r="W27" s="137"/>
      <c r="X27" s="137"/>
      <c r="Y27" s="137"/>
      <c r="Z27" s="137"/>
      <c r="AA27" s="138"/>
      <c r="AB27" s="266" t="s">
        <v>439</v>
      </c>
      <c r="AC27" s="267"/>
      <c r="AD27" s="266" t="s">
        <v>440</v>
      </c>
      <c r="AE27" s="268"/>
      <c r="AF27" s="268"/>
      <c r="AG27" s="267"/>
      <c r="AH27" s="136" t="s">
        <v>441</v>
      </c>
      <c r="AI27" s="138"/>
      <c r="AJ27" s="269" t="s">
        <v>695</v>
      </c>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1"/>
    </row>
    <row r="28" spans="8:58" ht="18.75" customHeight="1" x14ac:dyDescent="0.4">
      <c r="H28" s="248" t="s">
        <v>696</v>
      </c>
      <c r="I28" s="249"/>
      <c r="J28" s="249"/>
      <c r="K28" s="249"/>
      <c r="L28" s="249"/>
      <c r="M28" s="249"/>
      <c r="N28" s="249"/>
      <c r="O28" s="249"/>
      <c r="P28" s="249"/>
      <c r="Q28" s="250"/>
      <c r="R28" s="248" t="s">
        <v>697</v>
      </c>
      <c r="S28" s="249"/>
      <c r="T28" s="249"/>
      <c r="U28" s="249"/>
      <c r="V28" s="249"/>
      <c r="W28" s="249"/>
      <c r="X28" s="249"/>
      <c r="Y28" s="249"/>
      <c r="Z28" s="249"/>
      <c r="AA28" s="250"/>
      <c r="AB28" s="254" t="s">
        <v>2</v>
      </c>
      <c r="AC28" s="255"/>
      <c r="AD28" s="254" t="s">
        <v>698</v>
      </c>
      <c r="AE28" s="258"/>
      <c r="AF28" s="258"/>
      <c r="AG28" s="255"/>
      <c r="AH28" s="248" t="s">
        <v>442</v>
      </c>
      <c r="AI28" s="250"/>
      <c r="AJ28" s="260" t="s">
        <v>699</v>
      </c>
      <c r="AK28" s="261"/>
      <c r="AL28" s="261"/>
      <c r="AM28" s="261"/>
      <c r="AN28" s="261"/>
      <c r="AO28" s="261"/>
      <c r="AP28" s="261"/>
      <c r="AQ28" s="261"/>
      <c r="AR28" s="261"/>
      <c r="AS28" s="261"/>
      <c r="AT28" s="261"/>
      <c r="AU28" s="261"/>
      <c r="AV28" s="261"/>
      <c r="AW28" s="261"/>
      <c r="AX28" s="261"/>
      <c r="AY28" s="261"/>
      <c r="AZ28" s="261"/>
      <c r="BA28" s="261"/>
      <c r="BB28" s="261"/>
      <c r="BC28" s="261"/>
      <c r="BD28" s="261"/>
      <c r="BE28" s="261"/>
      <c r="BF28" s="262"/>
    </row>
    <row r="29" spans="8:58" x14ac:dyDescent="0.4">
      <c r="H29" s="251"/>
      <c r="I29" s="252"/>
      <c r="J29" s="252"/>
      <c r="K29" s="252"/>
      <c r="L29" s="252"/>
      <c r="M29" s="252"/>
      <c r="N29" s="252"/>
      <c r="O29" s="252"/>
      <c r="P29" s="252"/>
      <c r="Q29" s="253"/>
      <c r="R29" s="251"/>
      <c r="S29" s="252"/>
      <c r="T29" s="252"/>
      <c r="U29" s="252"/>
      <c r="V29" s="252"/>
      <c r="W29" s="252"/>
      <c r="X29" s="252"/>
      <c r="Y29" s="252"/>
      <c r="Z29" s="252"/>
      <c r="AA29" s="253"/>
      <c r="AB29" s="256"/>
      <c r="AC29" s="257"/>
      <c r="AD29" s="256"/>
      <c r="AE29" s="259"/>
      <c r="AF29" s="259"/>
      <c r="AG29" s="257"/>
      <c r="AH29" s="251"/>
      <c r="AI29" s="253"/>
      <c r="AJ29" s="263"/>
      <c r="AK29" s="264"/>
      <c r="AL29" s="264"/>
      <c r="AM29" s="264"/>
      <c r="AN29" s="264"/>
      <c r="AO29" s="264"/>
      <c r="AP29" s="264"/>
      <c r="AQ29" s="264"/>
      <c r="AR29" s="264"/>
      <c r="AS29" s="264"/>
      <c r="AT29" s="264"/>
      <c r="AU29" s="264"/>
      <c r="AV29" s="264"/>
      <c r="AW29" s="264"/>
      <c r="AX29" s="264"/>
      <c r="AY29" s="264"/>
      <c r="AZ29" s="264"/>
      <c r="BA29" s="264"/>
      <c r="BB29" s="264"/>
      <c r="BC29" s="264"/>
      <c r="BD29" s="264"/>
      <c r="BE29" s="264"/>
      <c r="BF29" s="265"/>
    </row>
    <row r="30" spans="8:58" x14ac:dyDescent="0.4">
      <c r="H30" s="251"/>
      <c r="I30" s="252"/>
      <c r="J30" s="252"/>
      <c r="K30" s="252"/>
      <c r="L30" s="252"/>
      <c r="M30" s="252"/>
      <c r="N30" s="252"/>
      <c r="O30" s="252"/>
      <c r="P30" s="252"/>
      <c r="Q30" s="253"/>
      <c r="R30" s="251"/>
      <c r="S30" s="252"/>
      <c r="T30" s="252"/>
      <c r="U30" s="252"/>
      <c r="V30" s="252"/>
      <c r="W30" s="252"/>
      <c r="X30" s="252"/>
      <c r="Y30" s="252"/>
      <c r="Z30" s="252"/>
      <c r="AA30" s="253"/>
      <c r="AB30" s="256"/>
      <c r="AC30" s="257"/>
      <c r="AD30" s="256"/>
      <c r="AE30" s="259"/>
      <c r="AF30" s="259"/>
      <c r="AG30" s="257"/>
      <c r="AH30" s="251"/>
      <c r="AI30" s="253"/>
      <c r="AJ30" s="263"/>
      <c r="AK30" s="264"/>
      <c r="AL30" s="264"/>
      <c r="AM30" s="264"/>
      <c r="AN30" s="264"/>
      <c r="AO30" s="264"/>
      <c r="AP30" s="264"/>
      <c r="AQ30" s="264"/>
      <c r="AR30" s="264"/>
      <c r="AS30" s="264"/>
      <c r="AT30" s="264"/>
      <c r="AU30" s="264"/>
      <c r="AV30" s="264"/>
      <c r="AW30" s="264"/>
      <c r="AX30" s="264"/>
      <c r="AY30" s="264"/>
      <c r="AZ30" s="264"/>
      <c r="BA30" s="264"/>
      <c r="BB30" s="264"/>
      <c r="BC30" s="264"/>
      <c r="BD30" s="264"/>
      <c r="BE30" s="264"/>
      <c r="BF30" s="265"/>
    </row>
    <row r="31" spans="8:58" ht="18.75" customHeight="1" x14ac:dyDescent="0.4">
      <c r="H31" s="460"/>
      <c r="I31" s="461"/>
      <c r="J31" s="461"/>
      <c r="K31" s="461"/>
      <c r="L31" s="461"/>
      <c r="M31" s="461"/>
      <c r="N31" s="461"/>
      <c r="O31" s="461"/>
      <c r="P31" s="461"/>
      <c r="Q31" s="462"/>
      <c r="R31" s="460"/>
      <c r="S31" s="461"/>
      <c r="T31" s="461"/>
      <c r="U31" s="461"/>
      <c r="V31" s="461"/>
      <c r="W31" s="461"/>
      <c r="X31" s="461"/>
      <c r="Y31" s="461"/>
      <c r="Z31" s="461"/>
      <c r="AA31" s="462"/>
      <c r="AB31" s="382" t="s">
        <v>791</v>
      </c>
      <c r="AC31" s="383"/>
      <c r="AD31" s="382" t="s">
        <v>259</v>
      </c>
      <c r="AE31" s="384"/>
      <c r="AF31" s="384"/>
      <c r="AG31" s="383"/>
      <c r="AH31" s="385" t="s">
        <v>259</v>
      </c>
      <c r="AI31" s="386"/>
      <c r="AJ31" s="387" t="s">
        <v>258</v>
      </c>
      <c r="AK31" s="388"/>
      <c r="AL31" s="388"/>
      <c r="AM31" s="388"/>
      <c r="AN31" s="388"/>
      <c r="AO31" s="388"/>
      <c r="AP31" s="388"/>
      <c r="AQ31" s="388"/>
      <c r="AR31" s="388"/>
      <c r="AS31" s="388"/>
      <c r="AT31" s="388"/>
      <c r="AU31" s="388"/>
      <c r="AV31" s="388"/>
      <c r="AW31" s="388"/>
      <c r="AX31" s="388"/>
      <c r="AY31" s="388"/>
      <c r="AZ31" s="388"/>
      <c r="BA31" s="388"/>
      <c r="BB31" s="388"/>
      <c r="BC31" s="388"/>
      <c r="BD31" s="388"/>
      <c r="BE31" s="388"/>
      <c r="BF31" s="389"/>
    </row>
    <row r="32" spans="8:58" ht="18.75" customHeight="1" x14ac:dyDescent="0.4">
      <c r="H32" s="463" t="s">
        <v>700</v>
      </c>
      <c r="I32" s="464"/>
      <c r="J32" s="464"/>
      <c r="K32" s="464"/>
      <c r="L32" s="464"/>
      <c r="M32" s="464"/>
      <c r="N32" s="464"/>
      <c r="O32" s="464"/>
      <c r="P32" s="464"/>
      <c r="Q32" s="465"/>
      <c r="R32" s="463" t="s">
        <v>701</v>
      </c>
      <c r="S32" s="464"/>
      <c r="T32" s="464"/>
      <c r="U32" s="464"/>
      <c r="V32" s="464"/>
      <c r="W32" s="464"/>
      <c r="X32" s="464"/>
      <c r="Y32" s="464"/>
      <c r="Z32" s="464"/>
      <c r="AA32" s="465"/>
      <c r="AB32" s="254" t="s">
        <v>443</v>
      </c>
      <c r="AC32" s="255"/>
      <c r="AD32" s="254" t="s">
        <v>444</v>
      </c>
      <c r="AE32" s="258"/>
      <c r="AF32" s="258"/>
      <c r="AG32" s="255"/>
      <c r="AH32" s="248" t="s">
        <v>442</v>
      </c>
      <c r="AI32" s="250"/>
      <c r="AJ32" s="260" t="s">
        <v>702</v>
      </c>
      <c r="AK32" s="261"/>
      <c r="AL32" s="261"/>
      <c r="AM32" s="261"/>
      <c r="AN32" s="261"/>
      <c r="AO32" s="261"/>
      <c r="AP32" s="261"/>
      <c r="AQ32" s="261"/>
      <c r="AR32" s="261"/>
      <c r="AS32" s="261"/>
      <c r="AT32" s="261"/>
      <c r="AU32" s="261"/>
      <c r="AV32" s="261"/>
      <c r="AW32" s="261"/>
      <c r="AX32" s="261"/>
      <c r="AY32" s="261"/>
      <c r="AZ32" s="261"/>
      <c r="BA32" s="261"/>
      <c r="BB32" s="261"/>
      <c r="BC32" s="261"/>
      <c r="BD32" s="261"/>
      <c r="BE32" s="261"/>
      <c r="BF32" s="262"/>
    </row>
    <row r="33" spans="8:58" ht="18.75" customHeight="1" x14ac:dyDescent="0.4">
      <c r="H33" s="466"/>
      <c r="I33" s="417"/>
      <c r="J33" s="417"/>
      <c r="K33" s="417"/>
      <c r="L33" s="417"/>
      <c r="M33" s="417"/>
      <c r="N33" s="417"/>
      <c r="O33" s="417"/>
      <c r="P33" s="417"/>
      <c r="Q33" s="467"/>
      <c r="R33" s="466"/>
      <c r="S33" s="417"/>
      <c r="T33" s="417"/>
      <c r="U33" s="417"/>
      <c r="V33" s="417"/>
      <c r="W33" s="417"/>
      <c r="X33" s="417"/>
      <c r="Y33" s="417"/>
      <c r="Z33" s="417"/>
      <c r="AA33" s="467"/>
      <c r="AB33" s="360"/>
      <c r="AC33" s="361"/>
      <c r="AD33" s="360"/>
      <c r="AE33" s="455"/>
      <c r="AF33" s="455"/>
      <c r="AG33" s="361"/>
      <c r="AH33" s="460"/>
      <c r="AI33" s="462"/>
      <c r="AJ33" s="472"/>
      <c r="AK33" s="473"/>
      <c r="AL33" s="473"/>
      <c r="AM33" s="473"/>
      <c r="AN33" s="473"/>
      <c r="AO33" s="473"/>
      <c r="AP33" s="473"/>
      <c r="AQ33" s="473"/>
      <c r="AR33" s="473"/>
      <c r="AS33" s="473"/>
      <c r="AT33" s="473"/>
      <c r="AU33" s="473"/>
      <c r="AV33" s="473"/>
      <c r="AW33" s="473"/>
      <c r="AX33" s="473"/>
      <c r="AY33" s="473"/>
      <c r="AZ33" s="473"/>
      <c r="BA33" s="473"/>
      <c r="BB33" s="473"/>
      <c r="BC33" s="473"/>
      <c r="BD33" s="473"/>
      <c r="BE33" s="473"/>
      <c r="BF33" s="474"/>
    </row>
    <row r="34" spans="8:58" x14ac:dyDescent="0.4">
      <c r="H34" s="466"/>
      <c r="I34" s="417"/>
      <c r="J34" s="417"/>
      <c r="K34" s="417"/>
      <c r="L34" s="417"/>
      <c r="M34" s="417"/>
      <c r="N34" s="417"/>
      <c r="O34" s="417"/>
      <c r="P34" s="417"/>
      <c r="Q34" s="467"/>
      <c r="R34" s="466"/>
      <c r="S34" s="417"/>
      <c r="T34" s="417"/>
      <c r="U34" s="417"/>
      <c r="V34" s="417"/>
      <c r="W34" s="417"/>
      <c r="X34" s="417"/>
      <c r="Y34" s="417"/>
      <c r="Z34" s="417"/>
      <c r="AA34" s="467"/>
      <c r="AB34" s="266" t="s">
        <v>445</v>
      </c>
      <c r="AC34" s="267"/>
      <c r="AD34" s="266" t="s">
        <v>703</v>
      </c>
      <c r="AE34" s="268"/>
      <c r="AF34" s="268"/>
      <c r="AG34" s="267"/>
      <c r="AH34" s="152" t="s">
        <v>442</v>
      </c>
      <c r="AI34" s="152"/>
      <c r="AJ34" s="341" t="s">
        <v>704</v>
      </c>
      <c r="AK34" s="341"/>
      <c r="AL34" s="341"/>
      <c r="AM34" s="341"/>
      <c r="AN34" s="341"/>
      <c r="AO34" s="341"/>
      <c r="AP34" s="341"/>
      <c r="AQ34" s="341"/>
      <c r="AR34" s="341"/>
      <c r="AS34" s="341"/>
      <c r="AT34" s="341"/>
      <c r="AU34" s="341"/>
      <c r="AV34" s="341"/>
      <c r="AW34" s="341"/>
      <c r="AX34" s="341"/>
      <c r="AY34" s="341"/>
      <c r="AZ34" s="341"/>
      <c r="BA34" s="341"/>
      <c r="BB34" s="341"/>
      <c r="BC34" s="341"/>
      <c r="BD34" s="341"/>
      <c r="BE34" s="341"/>
      <c r="BF34" s="341"/>
    </row>
    <row r="35" spans="8:58" ht="18.75" customHeight="1" x14ac:dyDescent="0.4">
      <c r="H35" s="466"/>
      <c r="I35" s="417"/>
      <c r="J35" s="417"/>
      <c r="K35" s="417"/>
      <c r="L35" s="417"/>
      <c r="M35" s="417"/>
      <c r="N35" s="417"/>
      <c r="O35" s="417"/>
      <c r="P35" s="417"/>
      <c r="Q35" s="467"/>
      <c r="R35" s="466"/>
      <c r="S35" s="417"/>
      <c r="T35" s="417"/>
      <c r="U35" s="417"/>
      <c r="V35" s="417"/>
      <c r="W35" s="417"/>
      <c r="X35" s="417"/>
      <c r="Y35" s="417"/>
      <c r="Z35" s="417"/>
      <c r="AA35" s="467"/>
      <c r="AB35" s="266" t="s">
        <v>446</v>
      </c>
      <c r="AC35" s="267"/>
      <c r="AD35" s="266" t="s">
        <v>447</v>
      </c>
      <c r="AE35" s="268"/>
      <c r="AF35" s="268"/>
      <c r="AG35" s="267"/>
      <c r="AH35" s="152" t="s">
        <v>442</v>
      </c>
      <c r="AI35" s="152"/>
      <c r="AJ35" s="341" t="s">
        <v>705</v>
      </c>
      <c r="AK35" s="341"/>
      <c r="AL35" s="341"/>
      <c r="AM35" s="341"/>
      <c r="AN35" s="341"/>
      <c r="AO35" s="341"/>
      <c r="AP35" s="341"/>
      <c r="AQ35" s="341"/>
      <c r="AR35" s="341"/>
      <c r="AS35" s="341"/>
      <c r="AT35" s="341"/>
      <c r="AU35" s="341"/>
      <c r="AV35" s="341"/>
      <c r="AW35" s="341"/>
      <c r="AX35" s="341"/>
      <c r="AY35" s="341"/>
      <c r="AZ35" s="341"/>
      <c r="BA35" s="341"/>
      <c r="BB35" s="341"/>
      <c r="BC35" s="341"/>
      <c r="BD35" s="341"/>
      <c r="BE35" s="341"/>
      <c r="BF35" s="341"/>
    </row>
    <row r="36" spans="8:58" ht="18.75" customHeight="1" x14ac:dyDescent="0.4">
      <c r="H36" s="466"/>
      <c r="I36" s="417"/>
      <c r="J36" s="417"/>
      <c r="K36" s="417"/>
      <c r="L36" s="417"/>
      <c r="M36" s="417"/>
      <c r="N36" s="417"/>
      <c r="O36" s="417"/>
      <c r="P36" s="417"/>
      <c r="Q36" s="467"/>
      <c r="R36" s="466"/>
      <c r="S36" s="417"/>
      <c r="T36" s="417"/>
      <c r="U36" s="417"/>
      <c r="V36" s="417"/>
      <c r="W36" s="417"/>
      <c r="X36" s="417"/>
      <c r="Y36" s="417"/>
      <c r="Z36" s="417"/>
      <c r="AA36" s="467"/>
      <c r="AB36" s="266" t="s">
        <v>448</v>
      </c>
      <c r="AC36" s="267"/>
      <c r="AD36" s="266" t="s">
        <v>449</v>
      </c>
      <c r="AE36" s="268"/>
      <c r="AF36" s="268"/>
      <c r="AG36" s="267"/>
      <c r="AH36" s="152" t="s">
        <v>442</v>
      </c>
      <c r="AI36" s="152"/>
      <c r="AJ36" s="341" t="s">
        <v>706</v>
      </c>
      <c r="AK36" s="341"/>
      <c r="AL36" s="341"/>
      <c r="AM36" s="341"/>
      <c r="AN36" s="341"/>
      <c r="AO36" s="341"/>
      <c r="AP36" s="341"/>
      <c r="AQ36" s="341"/>
      <c r="AR36" s="341"/>
      <c r="AS36" s="341"/>
      <c r="AT36" s="341"/>
      <c r="AU36" s="341"/>
      <c r="AV36" s="341"/>
      <c r="AW36" s="341"/>
      <c r="AX36" s="341"/>
      <c r="AY36" s="341"/>
      <c r="AZ36" s="341"/>
      <c r="BA36" s="341"/>
      <c r="BB36" s="341"/>
      <c r="BC36" s="341"/>
      <c r="BD36" s="341"/>
      <c r="BE36" s="341"/>
      <c r="BF36" s="341"/>
    </row>
    <row r="37" spans="8:58" ht="18.75" customHeight="1" x14ac:dyDescent="0.4">
      <c r="H37" s="466"/>
      <c r="I37" s="417"/>
      <c r="J37" s="417"/>
      <c r="K37" s="417"/>
      <c r="L37" s="417"/>
      <c r="M37" s="417"/>
      <c r="N37" s="417"/>
      <c r="O37" s="417"/>
      <c r="P37" s="417"/>
      <c r="Q37" s="467"/>
      <c r="R37" s="466"/>
      <c r="S37" s="417"/>
      <c r="T37" s="417"/>
      <c r="U37" s="417"/>
      <c r="V37" s="417"/>
      <c r="W37" s="417"/>
      <c r="X37" s="417"/>
      <c r="Y37" s="417"/>
      <c r="Z37" s="417"/>
      <c r="AA37" s="467"/>
      <c r="AB37" s="301" t="s">
        <v>450</v>
      </c>
      <c r="AC37" s="302"/>
      <c r="AD37" s="301" t="s">
        <v>451</v>
      </c>
      <c r="AE37" s="303"/>
      <c r="AF37" s="303"/>
      <c r="AG37" s="302"/>
      <c r="AH37" s="304" t="s">
        <v>442</v>
      </c>
      <c r="AI37" s="304"/>
      <c r="AJ37" s="342" t="s">
        <v>707</v>
      </c>
      <c r="AK37" s="343"/>
      <c r="AL37" s="343"/>
      <c r="AM37" s="343"/>
      <c r="AN37" s="343"/>
      <c r="AO37" s="343"/>
      <c r="AP37" s="343"/>
      <c r="AQ37" s="343"/>
      <c r="AR37" s="343"/>
      <c r="AS37" s="343"/>
      <c r="AT37" s="343"/>
      <c r="AU37" s="343"/>
      <c r="AV37" s="343"/>
      <c r="AW37" s="343"/>
      <c r="AX37" s="343"/>
      <c r="AY37" s="343"/>
      <c r="AZ37" s="343"/>
      <c r="BA37" s="343"/>
      <c r="BB37" s="343"/>
      <c r="BC37" s="343"/>
      <c r="BD37" s="343"/>
      <c r="BE37" s="343"/>
      <c r="BF37" s="344"/>
    </row>
    <row r="38" spans="8:58" ht="18.75" customHeight="1" x14ac:dyDescent="0.4">
      <c r="H38" s="466"/>
      <c r="I38" s="417"/>
      <c r="J38" s="417"/>
      <c r="K38" s="417"/>
      <c r="L38" s="417"/>
      <c r="M38" s="417"/>
      <c r="N38" s="417"/>
      <c r="O38" s="417"/>
      <c r="P38" s="417"/>
      <c r="Q38" s="467"/>
      <c r="R38" s="466"/>
      <c r="S38" s="417"/>
      <c r="T38" s="417"/>
      <c r="U38" s="417"/>
      <c r="V38" s="417"/>
      <c r="W38" s="417"/>
      <c r="X38" s="417"/>
      <c r="Y38" s="417"/>
      <c r="Z38" s="417"/>
      <c r="AA38" s="467"/>
      <c r="AB38" s="266" t="s">
        <v>452</v>
      </c>
      <c r="AC38" s="267"/>
      <c r="AD38" s="266" t="s">
        <v>453</v>
      </c>
      <c r="AE38" s="268"/>
      <c r="AF38" s="268"/>
      <c r="AG38" s="267"/>
      <c r="AH38" s="152" t="s">
        <v>442</v>
      </c>
      <c r="AI38" s="152"/>
      <c r="AJ38" s="341" t="s">
        <v>781</v>
      </c>
      <c r="AK38" s="341"/>
      <c r="AL38" s="341"/>
      <c r="AM38" s="341"/>
      <c r="AN38" s="341"/>
      <c r="AO38" s="341"/>
      <c r="AP38" s="341"/>
      <c r="AQ38" s="341"/>
      <c r="AR38" s="341"/>
      <c r="AS38" s="341"/>
      <c r="AT38" s="341"/>
      <c r="AU38" s="341"/>
      <c r="AV38" s="341"/>
      <c r="AW38" s="341"/>
      <c r="AX38" s="341"/>
      <c r="AY38" s="341"/>
      <c r="AZ38" s="341"/>
      <c r="BA38" s="341"/>
      <c r="BB38" s="341"/>
      <c r="BC38" s="341"/>
      <c r="BD38" s="341"/>
      <c r="BE38" s="341"/>
      <c r="BF38" s="341"/>
    </row>
    <row r="39" spans="8:58" ht="18.75" customHeight="1" x14ac:dyDescent="0.4">
      <c r="H39" s="466"/>
      <c r="I39" s="417"/>
      <c r="J39" s="417"/>
      <c r="K39" s="417"/>
      <c r="L39" s="417"/>
      <c r="M39" s="417"/>
      <c r="N39" s="417"/>
      <c r="O39" s="417"/>
      <c r="P39" s="417"/>
      <c r="Q39" s="467"/>
      <c r="R39" s="466"/>
      <c r="S39" s="417"/>
      <c r="T39" s="417"/>
      <c r="U39" s="417"/>
      <c r="V39" s="417"/>
      <c r="W39" s="417"/>
      <c r="X39" s="417"/>
      <c r="Y39" s="417"/>
      <c r="Z39" s="417"/>
      <c r="AA39" s="467"/>
      <c r="AB39" s="301" t="s">
        <v>454</v>
      </c>
      <c r="AC39" s="302"/>
      <c r="AD39" s="301" t="s">
        <v>455</v>
      </c>
      <c r="AE39" s="303"/>
      <c r="AF39" s="303"/>
      <c r="AG39" s="302"/>
      <c r="AH39" s="304" t="s">
        <v>442</v>
      </c>
      <c r="AI39" s="304"/>
      <c r="AJ39" s="342" t="s">
        <v>782</v>
      </c>
      <c r="AK39" s="343"/>
      <c r="AL39" s="343"/>
      <c r="AM39" s="343"/>
      <c r="AN39" s="343"/>
      <c r="AO39" s="343"/>
      <c r="AP39" s="343"/>
      <c r="AQ39" s="343"/>
      <c r="AR39" s="343"/>
      <c r="AS39" s="343"/>
      <c r="AT39" s="343"/>
      <c r="AU39" s="343"/>
      <c r="AV39" s="343"/>
      <c r="AW39" s="343"/>
      <c r="AX39" s="343"/>
      <c r="AY39" s="343"/>
      <c r="AZ39" s="343"/>
      <c r="BA39" s="343"/>
      <c r="BB39" s="343"/>
      <c r="BC39" s="343"/>
      <c r="BD39" s="343"/>
      <c r="BE39" s="343"/>
      <c r="BF39" s="344"/>
    </row>
    <row r="40" spans="8:58" x14ac:dyDescent="0.4">
      <c r="H40" s="468"/>
      <c r="I40" s="469"/>
      <c r="J40" s="469"/>
      <c r="K40" s="469"/>
      <c r="L40" s="469"/>
      <c r="M40" s="469"/>
      <c r="N40" s="469"/>
      <c r="O40" s="469"/>
      <c r="P40" s="469"/>
      <c r="Q40" s="470"/>
      <c r="R40" s="468"/>
      <c r="S40" s="469"/>
      <c r="T40" s="469"/>
      <c r="U40" s="469"/>
      <c r="V40" s="469"/>
      <c r="W40" s="469"/>
      <c r="X40" s="469"/>
      <c r="Y40" s="469"/>
      <c r="Z40" s="469"/>
      <c r="AA40" s="470"/>
      <c r="AB40" s="382" t="s">
        <v>461</v>
      </c>
      <c r="AC40" s="383"/>
      <c r="AD40" s="382" t="s">
        <v>259</v>
      </c>
      <c r="AE40" s="384"/>
      <c r="AF40" s="384"/>
      <c r="AG40" s="383"/>
      <c r="AH40" s="385" t="s">
        <v>259</v>
      </c>
      <c r="AI40" s="386"/>
      <c r="AJ40" s="387" t="s">
        <v>258</v>
      </c>
      <c r="AK40" s="388"/>
      <c r="AL40" s="388"/>
      <c r="AM40" s="388"/>
      <c r="AN40" s="388"/>
      <c r="AO40" s="388"/>
      <c r="AP40" s="388"/>
      <c r="AQ40" s="388"/>
      <c r="AR40" s="388"/>
      <c r="AS40" s="388"/>
      <c r="AT40" s="388"/>
      <c r="AU40" s="388"/>
      <c r="AV40" s="388"/>
      <c r="AW40" s="388"/>
      <c r="AX40" s="388"/>
      <c r="AY40" s="388"/>
      <c r="AZ40" s="388"/>
      <c r="BA40" s="388"/>
      <c r="BB40" s="388"/>
      <c r="BC40" s="388"/>
      <c r="BD40" s="388"/>
      <c r="BE40" s="388"/>
      <c r="BF40" s="389"/>
    </row>
    <row r="41" spans="8:58" ht="18.75" customHeight="1" x14ac:dyDescent="0.4">
      <c r="H41" s="471" t="s">
        <v>709</v>
      </c>
      <c r="I41" s="304"/>
      <c r="J41" s="304"/>
      <c r="K41" s="304"/>
      <c r="L41" s="304"/>
      <c r="M41" s="304"/>
      <c r="N41" s="304"/>
      <c r="O41" s="304"/>
      <c r="P41" s="304"/>
      <c r="Q41" s="304"/>
      <c r="R41" s="365" t="s">
        <v>710</v>
      </c>
      <c r="S41" s="365"/>
      <c r="T41" s="365"/>
      <c r="U41" s="365"/>
      <c r="V41" s="365"/>
      <c r="W41" s="365"/>
      <c r="X41" s="365"/>
      <c r="Y41" s="365"/>
      <c r="Z41" s="365"/>
      <c r="AA41" s="365"/>
      <c r="AB41" s="254" t="s">
        <v>2</v>
      </c>
      <c r="AC41" s="255"/>
      <c r="AD41" s="309" t="s">
        <v>456</v>
      </c>
      <c r="AE41" s="309"/>
      <c r="AF41" s="309"/>
      <c r="AG41" s="309"/>
      <c r="AH41" s="152" t="s">
        <v>441</v>
      </c>
      <c r="AI41" s="152"/>
      <c r="AJ41" s="310" t="s">
        <v>711</v>
      </c>
      <c r="AK41" s="310"/>
      <c r="AL41" s="310"/>
      <c r="AM41" s="310"/>
      <c r="AN41" s="310"/>
      <c r="AO41" s="310"/>
      <c r="AP41" s="310"/>
      <c r="AQ41" s="310"/>
      <c r="AR41" s="310"/>
      <c r="AS41" s="310"/>
      <c r="AT41" s="310"/>
      <c r="AU41" s="310"/>
      <c r="AV41" s="310"/>
      <c r="AW41" s="310"/>
      <c r="AX41" s="310"/>
      <c r="AY41" s="310"/>
      <c r="AZ41" s="310"/>
      <c r="BA41" s="310"/>
      <c r="BB41" s="310"/>
      <c r="BC41" s="310"/>
      <c r="BD41" s="310"/>
      <c r="BE41" s="310"/>
      <c r="BF41" s="310"/>
    </row>
    <row r="42" spans="8:58" ht="18.75" customHeight="1" x14ac:dyDescent="0.4">
      <c r="H42" s="471"/>
      <c r="I42" s="304"/>
      <c r="J42" s="304"/>
      <c r="K42" s="304"/>
      <c r="L42" s="304"/>
      <c r="M42" s="304"/>
      <c r="N42" s="304"/>
      <c r="O42" s="304"/>
      <c r="P42" s="304"/>
      <c r="Q42" s="304"/>
      <c r="R42" s="365"/>
      <c r="S42" s="365"/>
      <c r="T42" s="365"/>
      <c r="U42" s="365"/>
      <c r="V42" s="365"/>
      <c r="W42" s="365"/>
      <c r="X42" s="365"/>
      <c r="Y42" s="365"/>
      <c r="Z42" s="365"/>
      <c r="AA42" s="365"/>
      <c r="AB42" s="256"/>
      <c r="AC42" s="257"/>
      <c r="AD42" s="309"/>
      <c r="AE42" s="309"/>
      <c r="AF42" s="309"/>
      <c r="AG42" s="309"/>
      <c r="AH42" s="152"/>
      <c r="AI42" s="152"/>
      <c r="AJ42" s="310"/>
      <c r="AK42" s="310"/>
      <c r="AL42" s="310"/>
      <c r="AM42" s="310"/>
      <c r="AN42" s="310"/>
      <c r="AO42" s="310"/>
      <c r="AP42" s="310"/>
      <c r="AQ42" s="310"/>
      <c r="AR42" s="310"/>
      <c r="AS42" s="310"/>
      <c r="AT42" s="310"/>
      <c r="AU42" s="310"/>
      <c r="AV42" s="310"/>
      <c r="AW42" s="310"/>
      <c r="AX42" s="310"/>
      <c r="AY42" s="310"/>
      <c r="AZ42" s="310"/>
      <c r="BA42" s="310"/>
      <c r="BB42" s="310"/>
      <c r="BC42" s="310"/>
      <c r="BD42" s="310"/>
      <c r="BE42" s="310"/>
      <c r="BF42" s="310"/>
    </row>
    <row r="43" spans="8:58" x14ac:dyDescent="0.4">
      <c r="H43" s="304"/>
      <c r="I43" s="304"/>
      <c r="J43" s="304"/>
      <c r="K43" s="304"/>
      <c r="L43" s="304"/>
      <c r="M43" s="304"/>
      <c r="N43" s="304"/>
      <c r="O43" s="304"/>
      <c r="P43" s="304"/>
      <c r="Q43" s="304"/>
      <c r="R43" s="365"/>
      <c r="S43" s="365"/>
      <c r="T43" s="365"/>
      <c r="U43" s="365"/>
      <c r="V43" s="365"/>
      <c r="W43" s="365"/>
      <c r="X43" s="365"/>
      <c r="Y43" s="365"/>
      <c r="Z43" s="365"/>
      <c r="AA43" s="365"/>
      <c r="AB43" s="360"/>
      <c r="AC43" s="361"/>
      <c r="AD43" s="309"/>
      <c r="AE43" s="309"/>
      <c r="AF43" s="309"/>
      <c r="AG43" s="309"/>
      <c r="AH43" s="152"/>
      <c r="AI43" s="152"/>
      <c r="AJ43" s="310"/>
      <c r="AK43" s="310"/>
      <c r="AL43" s="310"/>
      <c r="AM43" s="310"/>
      <c r="AN43" s="310"/>
      <c r="AO43" s="310"/>
      <c r="AP43" s="310"/>
      <c r="AQ43" s="310"/>
      <c r="AR43" s="310"/>
      <c r="AS43" s="310"/>
      <c r="AT43" s="310"/>
      <c r="AU43" s="310"/>
      <c r="AV43" s="310"/>
      <c r="AW43" s="310"/>
      <c r="AX43" s="310"/>
      <c r="AY43" s="310"/>
      <c r="AZ43" s="310"/>
      <c r="BA43" s="310"/>
      <c r="BB43" s="310"/>
      <c r="BC43" s="310"/>
      <c r="BD43" s="310"/>
      <c r="BE43" s="310"/>
      <c r="BF43" s="310"/>
    </row>
    <row r="44" spans="8:58" x14ac:dyDescent="0.4">
      <c r="H44" s="304"/>
      <c r="I44" s="304"/>
      <c r="J44" s="304"/>
      <c r="K44" s="304"/>
      <c r="L44" s="304"/>
      <c r="M44" s="304"/>
      <c r="N44" s="304"/>
      <c r="O44" s="304"/>
      <c r="P44" s="304"/>
      <c r="Q44" s="304"/>
      <c r="R44" s="365"/>
      <c r="S44" s="365"/>
      <c r="T44" s="365"/>
      <c r="U44" s="365"/>
      <c r="V44" s="365"/>
      <c r="W44" s="365"/>
      <c r="X44" s="365"/>
      <c r="Y44" s="365"/>
      <c r="Z44" s="365"/>
      <c r="AA44" s="365"/>
      <c r="AB44" s="382" t="s">
        <v>791</v>
      </c>
      <c r="AC44" s="383"/>
      <c r="AD44" s="382" t="s">
        <v>259</v>
      </c>
      <c r="AE44" s="384"/>
      <c r="AF44" s="384"/>
      <c r="AG44" s="383"/>
      <c r="AH44" s="385" t="s">
        <v>259</v>
      </c>
      <c r="AI44" s="386"/>
      <c r="AJ44" s="387" t="s">
        <v>258</v>
      </c>
      <c r="AK44" s="388"/>
      <c r="AL44" s="388"/>
      <c r="AM44" s="388"/>
      <c r="AN44" s="388"/>
      <c r="AO44" s="388"/>
      <c r="AP44" s="388"/>
      <c r="AQ44" s="388"/>
      <c r="AR44" s="388"/>
      <c r="AS44" s="388"/>
      <c r="AT44" s="388"/>
      <c r="AU44" s="388"/>
      <c r="AV44" s="388"/>
      <c r="AW44" s="388"/>
      <c r="AX44" s="388"/>
      <c r="AY44" s="388"/>
      <c r="AZ44" s="388"/>
      <c r="BA44" s="388"/>
      <c r="BB44" s="388"/>
      <c r="BC44" s="388"/>
      <c r="BD44" s="388"/>
      <c r="BE44" s="388"/>
      <c r="BF44" s="389"/>
    </row>
    <row r="45" spans="8:58" ht="18.75" customHeight="1" x14ac:dyDescent="0.4">
      <c r="H45" s="152" t="s">
        <v>712</v>
      </c>
      <c r="I45" s="152"/>
      <c r="J45" s="152"/>
      <c r="K45" s="152"/>
      <c r="L45" s="152"/>
      <c r="M45" s="152"/>
      <c r="N45" s="152"/>
      <c r="O45" s="152"/>
      <c r="P45" s="152"/>
      <c r="Q45" s="152"/>
      <c r="R45" s="365" t="s">
        <v>713</v>
      </c>
      <c r="S45" s="365"/>
      <c r="T45" s="365"/>
      <c r="U45" s="365"/>
      <c r="V45" s="365"/>
      <c r="W45" s="365"/>
      <c r="X45" s="365"/>
      <c r="Y45" s="365"/>
      <c r="Z45" s="365"/>
      <c r="AA45" s="365"/>
      <c r="AB45" s="254" t="s">
        <v>2</v>
      </c>
      <c r="AC45" s="255"/>
      <c r="AD45" s="390" t="s">
        <v>457</v>
      </c>
      <c r="AE45" s="390"/>
      <c r="AF45" s="390"/>
      <c r="AG45" s="390"/>
      <c r="AH45" s="152" t="s">
        <v>458</v>
      </c>
      <c r="AI45" s="152"/>
      <c r="AJ45" s="310" t="s">
        <v>714</v>
      </c>
      <c r="AK45" s="310"/>
      <c r="AL45" s="310"/>
      <c r="AM45" s="310"/>
      <c r="AN45" s="310"/>
      <c r="AO45" s="310"/>
      <c r="AP45" s="310"/>
      <c r="AQ45" s="310"/>
      <c r="AR45" s="310"/>
      <c r="AS45" s="310"/>
      <c r="AT45" s="310"/>
      <c r="AU45" s="310"/>
      <c r="AV45" s="310"/>
      <c r="AW45" s="310"/>
      <c r="AX45" s="310"/>
      <c r="AY45" s="310"/>
      <c r="AZ45" s="310"/>
      <c r="BA45" s="310"/>
      <c r="BB45" s="310"/>
      <c r="BC45" s="310"/>
      <c r="BD45" s="310"/>
      <c r="BE45" s="310"/>
      <c r="BF45" s="310"/>
    </row>
    <row r="46" spans="8:58" ht="18.75" customHeight="1" x14ac:dyDescent="0.4">
      <c r="H46" s="152"/>
      <c r="I46" s="152"/>
      <c r="J46" s="152"/>
      <c r="K46" s="152"/>
      <c r="L46" s="152"/>
      <c r="M46" s="152"/>
      <c r="N46" s="152"/>
      <c r="O46" s="152"/>
      <c r="P46" s="152"/>
      <c r="Q46" s="152"/>
      <c r="R46" s="365"/>
      <c r="S46" s="365"/>
      <c r="T46" s="365"/>
      <c r="U46" s="365"/>
      <c r="V46" s="365"/>
      <c r="W46" s="365"/>
      <c r="X46" s="365"/>
      <c r="Y46" s="365"/>
      <c r="Z46" s="365"/>
      <c r="AA46" s="365"/>
      <c r="AB46" s="256"/>
      <c r="AC46" s="257"/>
      <c r="AD46" s="390"/>
      <c r="AE46" s="390"/>
      <c r="AF46" s="390"/>
      <c r="AG46" s="390"/>
      <c r="AH46" s="152"/>
      <c r="AI46" s="152"/>
      <c r="AJ46" s="310"/>
      <c r="AK46" s="310"/>
      <c r="AL46" s="310"/>
      <c r="AM46" s="310"/>
      <c r="AN46" s="310"/>
      <c r="AO46" s="310"/>
      <c r="AP46" s="310"/>
      <c r="AQ46" s="310"/>
      <c r="AR46" s="310"/>
      <c r="AS46" s="310"/>
      <c r="AT46" s="310"/>
      <c r="AU46" s="310"/>
      <c r="AV46" s="310"/>
      <c r="AW46" s="310"/>
      <c r="AX46" s="310"/>
      <c r="AY46" s="310"/>
      <c r="AZ46" s="310"/>
      <c r="BA46" s="310"/>
      <c r="BB46" s="310"/>
      <c r="BC46" s="310"/>
      <c r="BD46" s="310"/>
      <c r="BE46" s="310"/>
      <c r="BF46" s="310"/>
    </row>
    <row r="47" spans="8:58" x14ac:dyDescent="0.4">
      <c r="H47" s="152"/>
      <c r="I47" s="152"/>
      <c r="J47" s="152"/>
      <c r="K47" s="152"/>
      <c r="L47" s="152"/>
      <c r="M47" s="152"/>
      <c r="N47" s="152"/>
      <c r="O47" s="152"/>
      <c r="P47" s="152"/>
      <c r="Q47" s="152"/>
      <c r="R47" s="365"/>
      <c r="S47" s="365"/>
      <c r="T47" s="365"/>
      <c r="U47" s="365"/>
      <c r="V47" s="365"/>
      <c r="W47" s="365"/>
      <c r="X47" s="365"/>
      <c r="Y47" s="365"/>
      <c r="Z47" s="365"/>
      <c r="AA47" s="365"/>
      <c r="AB47" s="360"/>
      <c r="AC47" s="361"/>
      <c r="AD47" s="390"/>
      <c r="AE47" s="390"/>
      <c r="AF47" s="390"/>
      <c r="AG47" s="390"/>
      <c r="AH47" s="152"/>
      <c r="AI47" s="152"/>
      <c r="AJ47" s="310"/>
      <c r="AK47" s="310"/>
      <c r="AL47" s="310"/>
      <c r="AM47" s="310"/>
      <c r="AN47" s="310"/>
      <c r="AO47" s="310"/>
      <c r="AP47" s="310"/>
      <c r="AQ47" s="310"/>
      <c r="AR47" s="310"/>
      <c r="AS47" s="310"/>
      <c r="AT47" s="310"/>
      <c r="AU47" s="310"/>
      <c r="AV47" s="310"/>
      <c r="AW47" s="310"/>
      <c r="AX47" s="310"/>
      <c r="AY47" s="310"/>
      <c r="AZ47" s="310"/>
      <c r="BA47" s="310"/>
      <c r="BB47" s="310"/>
      <c r="BC47" s="310"/>
      <c r="BD47" s="310"/>
      <c r="BE47" s="310"/>
      <c r="BF47" s="310"/>
    </row>
    <row r="48" spans="8:58" x14ac:dyDescent="0.4">
      <c r="H48" s="152"/>
      <c r="I48" s="152"/>
      <c r="J48" s="152"/>
      <c r="K48" s="152"/>
      <c r="L48" s="152"/>
      <c r="M48" s="152"/>
      <c r="N48" s="152"/>
      <c r="O48" s="152"/>
      <c r="P48" s="152"/>
      <c r="Q48" s="152"/>
      <c r="R48" s="365"/>
      <c r="S48" s="365"/>
      <c r="T48" s="365"/>
      <c r="U48" s="365"/>
      <c r="V48" s="365"/>
      <c r="W48" s="365"/>
      <c r="X48" s="365"/>
      <c r="Y48" s="365"/>
      <c r="Z48" s="365"/>
      <c r="AA48" s="365"/>
      <c r="AB48" s="382" t="s">
        <v>791</v>
      </c>
      <c r="AC48" s="383"/>
      <c r="AD48" s="382" t="s">
        <v>259</v>
      </c>
      <c r="AE48" s="384"/>
      <c r="AF48" s="384"/>
      <c r="AG48" s="383"/>
      <c r="AH48" s="385" t="s">
        <v>259</v>
      </c>
      <c r="AI48" s="386"/>
      <c r="AJ48" s="387" t="s">
        <v>258</v>
      </c>
      <c r="AK48" s="388"/>
      <c r="AL48" s="388"/>
      <c r="AM48" s="388"/>
      <c r="AN48" s="388"/>
      <c r="AO48" s="388"/>
      <c r="AP48" s="388"/>
      <c r="AQ48" s="388"/>
      <c r="AR48" s="388"/>
      <c r="AS48" s="388"/>
      <c r="AT48" s="388"/>
      <c r="AU48" s="388"/>
      <c r="AV48" s="388"/>
      <c r="AW48" s="388"/>
      <c r="AX48" s="388"/>
      <c r="AY48" s="388"/>
      <c r="AZ48" s="388"/>
      <c r="BA48" s="388"/>
      <c r="BB48" s="388"/>
      <c r="BC48" s="388"/>
      <c r="BD48" s="388"/>
      <c r="BE48" s="388"/>
      <c r="BF48" s="389"/>
    </row>
    <row r="49" spans="8:58" x14ac:dyDescent="0.4">
      <c r="H49" s="248" t="s">
        <v>715</v>
      </c>
      <c r="I49" s="249"/>
      <c r="J49" s="249"/>
      <c r="K49" s="249"/>
      <c r="L49" s="249"/>
      <c r="M49" s="249"/>
      <c r="N49" s="249"/>
      <c r="O49" s="249"/>
      <c r="P49" s="249"/>
      <c r="Q49" s="250"/>
      <c r="R49" s="365" t="s">
        <v>716</v>
      </c>
      <c r="S49" s="365"/>
      <c r="T49" s="365"/>
      <c r="U49" s="365"/>
      <c r="V49" s="365"/>
      <c r="W49" s="365"/>
      <c r="X49" s="365"/>
      <c r="Y49" s="365"/>
      <c r="Z49" s="365"/>
      <c r="AA49" s="365"/>
      <c r="AB49" s="254" t="s">
        <v>2</v>
      </c>
      <c r="AC49" s="255"/>
      <c r="AD49" s="390" t="s">
        <v>717</v>
      </c>
      <c r="AE49" s="390"/>
      <c r="AF49" s="390"/>
      <c r="AG49" s="390"/>
      <c r="AH49" s="152" t="s">
        <v>441</v>
      </c>
      <c r="AI49" s="152"/>
      <c r="AJ49" s="362" t="s">
        <v>718</v>
      </c>
      <c r="AK49" s="362"/>
      <c r="AL49" s="362"/>
      <c r="AM49" s="362"/>
      <c r="AN49" s="362"/>
      <c r="AO49" s="362"/>
      <c r="AP49" s="362"/>
      <c r="AQ49" s="362"/>
      <c r="AR49" s="362"/>
      <c r="AS49" s="362"/>
      <c r="AT49" s="362"/>
      <c r="AU49" s="362"/>
      <c r="AV49" s="362"/>
      <c r="AW49" s="362"/>
      <c r="AX49" s="362"/>
      <c r="AY49" s="362"/>
      <c r="AZ49" s="362"/>
      <c r="BA49" s="362"/>
      <c r="BB49" s="362"/>
      <c r="BC49" s="362"/>
      <c r="BD49" s="362"/>
      <c r="BE49" s="362"/>
      <c r="BF49" s="362"/>
    </row>
    <row r="50" spans="8:58" x14ac:dyDescent="0.4">
      <c r="H50" s="251"/>
      <c r="I50" s="252"/>
      <c r="J50" s="252"/>
      <c r="K50" s="252"/>
      <c r="L50" s="252"/>
      <c r="M50" s="252"/>
      <c r="N50" s="252"/>
      <c r="O50" s="252"/>
      <c r="P50" s="252"/>
      <c r="Q50" s="253"/>
      <c r="R50" s="365"/>
      <c r="S50" s="365"/>
      <c r="T50" s="365"/>
      <c r="U50" s="365"/>
      <c r="V50" s="365"/>
      <c r="W50" s="365"/>
      <c r="X50" s="365"/>
      <c r="Y50" s="365"/>
      <c r="Z50" s="365"/>
      <c r="AA50" s="365"/>
      <c r="AB50" s="256"/>
      <c r="AC50" s="257"/>
      <c r="AD50" s="390"/>
      <c r="AE50" s="390"/>
      <c r="AF50" s="390"/>
      <c r="AG50" s="390"/>
      <c r="AH50" s="152"/>
      <c r="AI50" s="152"/>
      <c r="AJ50" s="362"/>
      <c r="AK50" s="362"/>
      <c r="AL50" s="362"/>
      <c r="AM50" s="362"/>
      <c r="AN50" s="362"/>
      <c r="AO50" s="362"/>
      <c r="AP50" s="362"/>
      <c r="AQ50" s="362"/>
      <c r="AR50" s="362"/>
      <c r="AS50" s="362"/>
      <c r="AT50" s="362"/>
      <c r="AU50" s="362"/>
      <c r="AV50" s="362"/>
      <c r="AW50" s="362"/>
      <c r="AX50" s="362"/>
      <c r="AY50" s="362"/>
      <c r="AZ50" s="362"/>
      <c r="BA50" s="362"/>
      <c r="BB50" s="362"/>
      <c r="BC50" s="362"/>
      <c r="BD50" s="362"/>
      <c r="BE50" s="362"/>
      <c r="BF50" s="362"/>
    </row>
    <row r="51" spans="8:58" x14ac:dyDescent="0.4">
      <c r="H51" s="251"/>
      <c r="I51" s="252"/>
      <c r="J51" s="252"/>
      <c r="K51" s="252"/>
      <c r="L51" s="252"/>
      <c r="M51" s="252"/>
      <c r="N51" s="252"/>
      <c r="O51" s="252"/>
      <c r="P51" s="252"/>
      <c r="Q51" s="253"/>
      <c r="R51" s="365"/>
      <c r="S51" s="365"/>
      <c r="T51" s="365"/>
      <c r="U51" s="365"/>
      <c r="V51" s="365"/>
      <c r="W51" s="365"/>
      <c r="X51" s="365"/>
      <c r="Y51" s="365"/>
      <c r="Z51" s="365"/>
      <c r="AA51" s="365"/>
      <c r="AB51" s="360"/>
      <c r="AC51" s="361"/>
      <c r="AD51" s="390"/>
      <c r="AE51" s="390"/>
      <c r="AF51" s="390"/>
      <c r="AG51" s="390"/>
      <c r="AH51" s="152"/>
      <c r="AI51" s="152"/>
      <c r="AJ51" s="362"/>
      <c r="AK51" s="362"/>
      <c r="AL51" s="362"/>
      <c r="AM51" s="362"/>
      <c r="AN51" s="362"/>
      <c r="AO51" s="362"/>
      <c r="AP51" s="362"/>
      <c r="AQ51" s="362"/>
      <c r="AR51" s="362"/>
      <c r="AS51" s="362"/>
      <c r="AT51" s="362"/>
      <c r="AU51" s="362"/>
      <c r="AV51" s="362"/>
      <c r="AW51" s="362"/>
      <c r="AX51" s="362"/>
      <c r="AY51" s="362"/>
      <c r="AZ51" s="362"/>
      <c r="BA51" s="362"/>
      <c r="BB51" s="362"/>
      <c r="BC51" s="362"/>
      <c r="BD51" s="362"/>
      <c r="BE51" s="362"/>
      <c r="BF51" s="362"/>
    </row>
    <row r="52" spans="8:58" x14ac:dyDescent="0.4">
      <c r="H52" s="460"/>
      <c r="I52" s="461"/>
      <c r="J52" s="461"/>
      <c r="K52" s="461"/>
      <c r="L52" s="461"/>
      <c r="M52" s="461"/>
      <c r="N52" s="461"/>
      <c r="O52" s="461"/>
      <c r="P52" s="461"/>
      <c r="Q52" s="462"/>
      <c r="R52" s="365"/>
      <c r="S52" s="365"/>
      <c r="T52" s="365"/>
      <c r="U52" s="365"/>
      <c r="V52" s="365"/>
      <c r="W52" s="365"/>
      <c r="X52" s="365"/>
      <c r="Y52" s="365"/>
      <c r="Z52" s="365"/>
      <c r="AA52" s="365"/>
      <c r="AB52" s="382" t="s">
        <v>791</v>
      </c>
      <c r="AC52" s="383"/>
      <c r="AD52" s="382" t="s">
        <v>259</v>
      </c>
      <c r="AE52" s="384"/>
      <c r="AF52" s="384"/>
      <c r="AG52" s="383"/>
      <c r="AH52" s="385" t="s">
        <v>259</v>
      </c>
      <c r="AI52" s="386"/>
      <c r="AJ52" s="387" t="s">
        <v>258</v>
      </c>
      <c r="AK52" s="388"/>
      <c r="AL52" s="388"/>
      <c r="AM52" s="388"/>
      <c r="AN52" s="388"/>
      <c r="AO52" s="388"/>
      <c r="AP52" s="388"/>
      <c r="AQ52" s="388"/>
      <c r="AR52" s="388"/>
      <c r="AS52" s="388"/>
      <c r="AT52" s="388"/>
      <c r="AU52" s="388"/>
      <c r="AV52" s="388"/>
      <c r="AW52" s="388"/>
      <c r="AX52" s="388"/>
      <c r="AY52" s="388"/>
      <c r="AZ52" s="388"/>
      <c r="BA52" s="388"/>
      <c r="BB52" s="388"/>
      <c r="BC52" s="388"/>
      <c r="BD52" s="388"/>
      <c r="BE52" s="388"/>
      <c r="BF52" s="389"/>
    </row>
    <row r="53" spans="8:58" ht="18.75" customHeight="1" x14ac:dyDescent="0.4">
      <c r="H53" s="248" t="s">
        <v>719</v>
      </c>
      <c r="I53" s="249"/>
      <c r="J53" s="249"/>
      <c r="K53" s="249"/>
      <c r="L53" s="249"/>
      <c r="M53" s="249"/>
      <c r="N53" s="249"/>
      <c r="O53" s="249"/>
      <c r="P53" s="249"/>
      <c r="Q53" s="250"/>
      <c r="R53" s="463" t="s">
        <v>720</v>
      </c>
      <c r="S53" s="464"/>
      <c r="T53" s="464"/>
      <c r="U53" s="464"/>
      <c r="V53" s="464"/>
      <c r="W53" s="464"/>
      <c r="X53" s="464"/>
      <c r="Y53" s="464"/>
      <c r="Z53" s="464"/>
      <c r="AA53" s="465"/>
      <c r="AB53" s="254" t="s">
        <v>792</v>
      </c>
      <c r="AC53" s="255"/>
      <c r="AD53" s="390" t="s">
        <v>459</v>
      </c>
      <c r="AE53" s="390"/>
      <c r="AF53" s="390"/>
      <c r="AG53" s="390"/>
      <c r="AH53" s="152" t="s">
        <v>458</v>
      </c>
      <c r="AI53" s="152"/>
      <c r="AJ53" s="362" t="s">
        <v>721</v>
      </c>
      <c r="AK53" s="362"/>
      <c r="AL53" s="362"/>
      <c r="AM53" s="362"/>
      <c r="AN53" s="362"/>
      <c r="AO53" s="362"/>
      <c r="AP53" s="362"/>
      <c r="AQ53" s="362"/>
      <c r="AR53" s="362"/>
      <c r="AS53" s="362"/>
      <c r="AT53" s="362"/>
      <c r="AU53" s="362"/>
      <c r="AV53" s="362"/>
      <c r="AW53" s="362"/>
      <c r="AX53" s="362"/>
      <c r="AY53" s="362"/>
      <c r="AZ53" s="362"/>
      <c r="BA53" s="362"/>
      <c r="BB53" s="362"/>
      <c r="BC53" s="362"/>
      <c r="BD53" s="362"/>
      <c r="BE53" s="362"/>
      <c r="BF53" s="362"/>
    </row>
    <row r="54" spans="8:58" x14ac:dyDescent="0.4">
      <c r="H54" s="251"/>
      <c r="I54" s="252"/>
      <c r="J54" s="252"/>
      <c r="K54" s="252"/>
      <c r="L54" s="252"/>
      <c r="M54" s="252"/>
      <c r="N54" s="252"/>
      <c r="O54" s="252"/>
      <c r="P54" s="252"/>
      <c r="Q54" s="253"/>
      <c r="R54" s="466"/>
      <c r="S54" s="417"/>
      <c r="T54" s="417"/>
      <c r="U54" s="417"/>
      <c r="V54" s="417"/>
      <c r="W54" s="417"/>
      <c r="X54" s="417"/>
      <c r="Y54" s="417"/>
      <c r="Z54" s="417"/>
      <c r="AA54" s="467"/>
      <c r="AB54" s="256"/>
      <c r="AC54" s="257"/>
      <c r="AD54" s="390"/>
      <c r="AE54" s="390"/>
      <c r="AF54" s="390"/>
      <c r="AG54" s="390"/>
      <c r="AH54" s="152"/>
      <c r="AI54" s="152"/>
      <c r="AJ54" s="362"/>
      <c r="AK54" s="362"/>
      <c r="AL54" s="362"/>
      <c r="AM54" s="362"/>
      <c r="AN54" s="362"/>
      <c r="AO54" s="362"/>
      <c r="AP54" s="362"/>
      <c r="AQ54" s="362"/>
      <c r="AR54" s="362"/>
      <c r="AS54" s="362"/>
      <c r="AT54" s="362"/>
      <c r="AU54" s="362"/>
      <c r="AV54" s="362"/>
      <c r="AW54" s="362"/>
      <c r="AX54" s="362"/>
      <c r="AY54" s="362"/>
      <c r="AZ54" s="362"/>
      <c r="BA54" s="362"/>
      <c r="BB54" s="362"/>
      <c r="BC54" s="362"/>
      <c r="BD54" s="362"/>
      <c r="BE54" s="362"/>
      <c r="BF54" s="362"/>
    </row>
    <row r="55" spans="8:58" x14ac:dyDescent="0.4">
      <c r="H55" s="251"/>
      <c r="I55" s="252"/>
      <c r="J55" s="252"/>
      <c r="K55" s="252"/>
      <c r="L55" s="252"/>
      <c r="M55" s="252"/>
      <c r="N55" s="252"/>
      <c r="O55" s="252"/>
      <c r="P55" s="252"/>
      <c r="Q55" s="253"/>
      <c r="R55" s="466"/>
      <c r="S55" s="417"/>
      <c r="T55" s="417"/>
      <c r="U55" s="417"/>
      <c r="V55" s="417"/>
      <c r="W55" s="417"/>
      <c r="X55" s="417"/>
      <c r="Y55" s="417"/>
      <c r="Z55" s="417"/>
      <c r="AA55" s="467"/>
      <c r="AB55" s="256"/>
      <c r="AC55" s="257"/>
      <c r="AD55" s="390"/>
      <c r="AE55" s="390"/>
      <c r="AF55" s="390"/>
      <c r="AG55" s="390"/>
      <c r="AH55" s="152"/>
      <c r="AI55" s="152"/>
      <c r="AJ55" s="362"/>
      <c r="AK55" s="362"/>
      <c r="AL55" s="362"/>
      <c r="AM55" s="362"/>
      <c r="AN55" s="362"/>
      <c r="AO55" s="362"/>
      <c r="AP55" s="362"/>
      <c r="AQ55" s="362"/>
      <c r="AR55" s="362"/>
      <c r="AS55" s="362"/>
      <c r="AT55" s="362"/>
      <c r="AU55" s="362"/>
      <c r="AV55" s="362"/>
      <c r="AW55" s="362"/>
      <c r="AX55" s="362"/>
      <c r="AY55" s="362"/>
      <c r="AZ55" s="362"/>
      <c r="BA55" s="362"/>
      <c r="BB55" s="362"/>
      <c r="BC55" s="362"/>
      <c r="BD55" s="362"/>
      <c r="BE55" s="362"/>
      <c r="BF55" s="362"/>
    </row>
    <row r="56" spans="8:58" x14ac:dyDescent="0.4">
      <c r="H56" s="251"/>
      <c r="I56" s="252"/>
      <c r="J56" s="252"/>
      <c r="K56" s="252"/>
      <c r="L56" s="252"/>
      <c r="M56" s="252"/>
      <c r="N56" s="252"/>
      <c r="O56" s="252"/>
      <c r="P56" s="252"/>
      <c r="Q56" s="253"/>
      <c r="R56" s="466"/>
      <c r="S56" s="417"/>
      <c r="T56" s="417"/>
      <c r="U56" s="417"/>
      <c r="V56" s="417"/>
      <c r="W56" s="417"/>
      <c r="X56" s="417"/>
      <c r="Y56" s="417"/>
      <c r="Z56" s="417"/>
      <c r="AA56" s="467"/>
      <c r="AB56" s="360"/>
      <c r="AC56" s="361"/>
      <c r="AD56" s="390"/>
      <c r="AE56" s="390"/>
      <c r="AF56" s="390"/>
      <c r="AG56" s="390"/>
      <c r="AH56" s="152"/>
      <c r="AI56" s="152"/>
      <c r="AJ56" s="362"/>
      <c r="AK56" s="362"/>
      <c r="AL56" s="362"/>
      <c r="AM56" s="362"/>
      <c r="AN56" s="362"/>
      <c r="AO56" s="362"/>
      <c r="AP56" s="362"/>
      <c r="AQ56" s="362"/>
      <c r="AR56" s="362"/>
      <c r="AS56" s="362"/>
      <c r="AT56" s="362"/>
      <c r="AU56" s="362"/>
      <c r="AV56" s="362"/>
      <c r="AW56" s="362"/>
      <c r="AX56" s="362"/>
      <c r="AY56" s="362"/>
      <c r="AZ56" s="362"/>
      <c r="BA56" s="362"/>
      <c r="BB56" s="362"/>
      <c r="BC56" s="362"/>
      <c r="BD56" s="362"/>
      <c r="BE56" s="362"/>
      <c r="BF56" s="362"/>
    </row>
    <row r="57" spans="8:58" ht="18.75" customHeight="1" x14ac:dyDescent="0.4">
      <c r="H57" s="460"/>
      <c r="I57" s="461"/>
      <c r="J57" s="461"/>
      <c r="K57" s="461"/>
      <c r="L57" s="461"/>
      <c r="M57" s="461"/>
      <c r="N57" s="461"/>
      <c r="O57" s="461"/>
      <c r="P57" s="461"/>
      <c r="Q57" s="462"/>
      <c r="R57" s="468"/>
      <c r="S57" s="469"/>
      <c r="T57" s="469"/>
      <c r="U57" s="469"/>
      <c r="V57" s="469"/>
      <c r="W57" s="469"/>
      <c r="X57" s="469"/>
      <c r="Y57" s="469"/>
      <c r="Z57" s="469"/>
      <c r="AA57" s="470"/>
      <c r="AB57" s="382" t="s">
        <v>461</v>
      </c>
      <c r="AC57" s="383"/>
      <c r="AD57" s="382" t="s">
        <v>259</v>
      </c>
      <c r="AE57" s="384"/>
      <c r="AF57" s="384"/>
      <c r="AG57" s="383"/>
      <c r="AH57" s="385" t="s">
        <v>259</v>
      </c>
      <c r="AI57" s="386"/>
      <c r="AJ57" s="387" t="s">
        <v>258</v>
      </c>
      <c r="AK57" s="388"/>
      <c r="AL57" s="388"/>
      <c r="AM57" s="388"/>
      <c r="AN57" s="388"/>
      <c r="AO57" s="388"/>
      <c r="AP57" s="388"/>
      <c r="AQ57" s="388"/>
      <c r="AR57" s="388"/>
      <c r="AS57" s="388"/>
      <c r="AT57" s="388"/>
      <c r="AU57" s="388"/>
      <c r="AV57" s="388"/>
      <c r="AW57" s="388"/>
      <c r="AX57" s="388"/>
      <c r="AY57" s="388"/>
      <c r="AZ57" s="388"/>
      <c r="BA57" s="388"/>
      <c r="BB57" s="388"/>
      <c r="BC57" s="388"/>
      <c r="BD57" s="388"/>
      <c r="BE57" s="388"/>
      <c r="BF57" s="389"/>
    </row>
    <row r="58" spans="8:58" x14ac:dyDescent="0.4">
      <c r="H58" s="248" t="s">
        <v>722</v>
      </c>
      <c r="I58" s="249"/>
      <c r="J58" s="249"/>
      <c r="K58" s="249"/>
      <c r="L58" s="249"/>
      <c r="M58" s="249"/>
      <c r="N58" s="249"/>
      <c r="O58" s="249"/>
      <c r="P58" s="249"/>
      <c r="Q58" s="250"/>
      <c r="R58" s="248" t="s">
        <v>723</v>
      </c>
      <c r="S58" s="249"/>
      <c r="T58" s="249"/>
      <c r="U58" s="249"/>
      <c r="V58" s="249"/>
      <c r="W58" s="249"/>
      <c r="X58" s="249"/>
      <c r="Y58" s="249"/>
      <c r="Z58" s="249"/>
      <c r="AA58" s="250"/>
      <c r="AB58" s="254" t="s">
        <v>2</v>
      </c>
      <c r="AC58" s="255"/>
      <c r="AD58" s="390" t="s">
        <v>724</v>
      </c>
      <c r="AE58" s="390"/>
      <c r="AF58" s="390"/>
      <c r="AG58" s="390"/>
      <c r="AH58" s="152" t="s">
        <v>441</v>
      </c>
      <c r="AI58" s="152"/>
      <c r="AJ58" s="362" t="s">
        <v>725</v>
      </c>
      <c r="AK58" s="362"/>
      <c r="AL58" s="362"/>
      <c r="AM58" s="362"/>
      <c r="AN58" s="362"/>
      <c r="AO58" s="362"/>
      <c r="AP58" s="362"/>
      <c r="AQ58" s="362"/>
      <c r="AR58" s="362"/>
      <c r="AS58" s="362"/>
      <c r="AT58" s="362"/>
      <c r="AU58" s="362"/>
      <c r="AV58" s="362"/>
      <c r="AW58" s="362"/>
      <c r="AX58" s="362"/>
      <c r="AY58" s="362"/>
      <c r="AZ58" s="362"/>
      <c r="BA58" s="362"/>
      <c r="BB58" s="362"/>
      <c r="BC58" s="362"/>
      <c r="BD58" s="362"/>
      <c r="BE58" s="362"/>
      <c r="BF58" s="362"/>
    </row>
    <row r="59" spans="8:58" x14ac:dyDescent="0.4">
      <c r="H59" s="251"/>
      <c r="I59" s="252"/>
      <c r="J59" s="252"/>
      <c r="K59" s="252"/>
      <c r="L59" s="252"/>
      <c r="M59" s="252"/>
      <c r="N59" s="252"/>
      <c r="O59" s="252"/>
      <c r="P59" s="252"/>
      <c r="Q59" s="253"/>
      <c r="R59" s="251"/>
      <c r="S59" s="252"/>
      <c r="T59" s="252"/>
      <c r="U59" s="252"/>
      <c r="V59" s="252"/>
      <c r="W59" s="252"/>
      <c r="X59" s="252"/>
      <c r="Y59" s="252"/>
      <c r="Z59" s="252"/>
      <c r="AA59" s="253"/>
      <c r="AB59" s="256"/>
      <c r="AC59" s="257"/>
      <c r="AD59" s="390"/>
      <c r="AE59" s="390"/>
      <c r="AF59" s="390"/>
      <c r="AG59" s="390"/>
      <c r="AH59" s="152"/>
      <c r="AI59" s="152"/>
      <c r="AJ59" s="362"/>
      <c r="AK59" s="362"/>
      <c r="AL59" s="362"/>
      <c r="AM59" s="362"/>
      <c r="AN59" s="362"/>
      <c r="AO59" s="362"/>
      <c r="AP59" s="362"/>
      <c r="AQ59" s="362"/>
      <c r="AR59" s="362"/>
      <c r="AS59" s="362"/>
      <c r="AT59" s="362"/>
      <c r="AU59" s="362"/>
      <c r="AV59" s="362"/>
      <c r="AW59" s="362"/>
      <c r="AX59" s="362"/>
      <c r="AY59" s="362"/>
      <c r="AZ59" s="362"/>
      <c r="BA59" s="362"/>
      <c r="BB59" s="362"/>
      <c r="BC59" s="362"/>
      <c r="BD59" s="362"/>
      <c r="BE59" s="362"/>
      <c r="BF59" s="362"/>
    </row>
    <row r="60" spans="8:58" x14ac:dyDescent="0.4">
      <c r="H60" s="251"/>
      <c r="I60" s="252"/>
      <c r="J60" s="252"/>
      <c r="K60" s="252"/>
      <c r="L60" s="252"/>
      <c r="M60" s="252"/>
      <c r="N60" s="252"/>
      <c r="O60" s="252"/>
      <c r="P60" s="252"/>
      <c r="Q60" s="253"/>
      <c r="R60" s="251"/>
      <c r="S60" s="252"/>
      <c r="T60" s="252"/>
      <c r="U60" s="252"/>
      <c r="V60" s="252"/>
      <c r="W60" s="252"/>
      <c r="X60" s="252"/>
      <c r="Y60" s="252"/>
      <c r="Z60" s="252"/>
      <c r="AA60" s="253"/>
      <c r="AB60" s="256"/>
      <c r="AC60" s="257"/>
      <c r="AD60" s="390"/>
      <c r="AE60" s="390"/>
      <c r="AF60" s="390"/>
      <c r="AG60" s="390"/>
      <c r="AH60" s="152"/>
      <c r="AI60" s="152"/>
      <c r="AJ60" s="362"/>
      <c r="AK60" s="362"/>
      <c r="AL60" s="362"/>
      <c r="AM60" s="362"/>
      <c r="AN60" s="362"/>
      <c r="AO60" s="362"/>
      <c r="AP60" s="362"/>
      <c r="AQ60" s="362"/>
      <c r="AR60" s="362"/>
      <c r="AS60" s="362"/>
      <c r="AT60" s="362"/>
      <c r="AU60" s="362"/>
      <c r="AV60" s="362"/>
      <c r="AW60" s="362"/>
      <c r="AX60" s="362"/>
      <c r="AY60" s="362"/>
      <c r="AZ60" s="362"/>
      <c r="BA60" s="362"/>
      <c r="BB60" s="362"/>
      <c r="BC60" s="362"/>
      <c r="BD60" s="362"/>
      <c r="BE60" s="362"/>
      <c r="BF60" s="362"/>
    </row>
    <row r="61" spans="8:58" x14ac:dyDescent="0.4">
      <c r="H61" s="251"/>
      <c r="I61" s="252"/>
      <c r="J61" s="252"/>
      <c r="K61" s="252"/>
      <c r="L61" s="252"/>
      <c r="M61" s="252"/>
      <c r="N61" s="252"/>
      <c r="O61" s="252"/>
      <c r="P61" s="252"/>
      <c r="Q61" s="253"/>
      <c r="R61" s="251"/>
      <c r="S61" s="252"/>
      <c r="T61" s="252"/>
      <c r="U61" s="252"/>
      <c r="V61" s="252"/>
      <c r="W61" s="252"/>
      <c r="X61" s="252"/>
      <c r="Y61" s="252"/>
      <c r="Z61" s="252"/>
      <c r="AA61" s="253"/>
      <c r="AB61" s="360"/>
      <c r="AC61" s="361"/>
      <c r="AD61" s="390"/>
      <c r="AE61" s="390"/>
      <c r="AF61" s="390"/>
      <c r="AG61" s="390"/>
      <c r="AH61" s="152"/>
      <c r="AI61" s="152"/>
      <c r="AJ61" s="362"/>
      <c r="AK61" s="362"/>
      <c r="AL61" s="362"/>
      <c r="AM61" s="362"/>
      <c r="AN61" s="362"/>
      <c r="AO61" s="362"/>
      <c r="AP61" s="362"/>
      <c r="AQ61" s="362"/>
      <c r="AR61" s="362"/>
      <c r="AS61" s="362"/>
      <c r="AT61" s="362"/>
      <c r="AU61" s="362"/>
      <c r="AV61" s="362"/>
      <c r="AW61" s="362"/>
      <c r="AX61" s="362"/>
      <c r="AY61" s="362"/>
      <c r="AZ61" s="362"/>
      <c r="BA61" s="362"/>
      <c r="BB61" s="362"/>
      <c r="BC61" s="362"/>
      <c r="BD61" s="362"/>
      <c r="BE61" s="362"/>
      <c r="BF61" s="362"/>
    </row>
    <row r="62" spans="8:58" x14ac:dyDescent="0.4">
      <c r="H62" s="460"/>
      <c r="I62" s="461"/>
      <c r="J62" s="461"/>
      <c r="K62" s="461"/>
      <c r="L62" s="461"/>
      <c r="M62" s="461"/>
      <c r="N62" s="461"/>
      <c r="O62" s="461"/>
      <c r="P62" s="461"/>
      <c r="Q62" s="462"/>
      <c r="R62" s="460"/>
      <c r="S62" s="461"/>
      <c r="T62" s="461"/>
      <c r="U62" s="461"/>
      <c r="V62" s="461"/>
      <c r="W62" s="461"/>
      <c r="X62" s="461"/>
      <c r="Y62" s="461"/>
      <c r="Z62" s="461"/>
      <c r="AA62" s="462"/>
      <c r="AB62" s="382" t="s">
        <v>791</v>
      </c>
      <c r="AC62" s="383"/>
      <c r="AD62" s="382" t="s">
        <v>259</v>
      </c>
      <c r="AE62" s="384"/>
      <c r="AF62" s="384"/>
      <c r="AG62" s="383"/>
      <c r="AH62" s="385" t="s">
        <v>259</v>
      </c>
      <c r="AI62" s="386"/>
      <c r="AJ62" s="387" t="s">
        <v>258</v>
      </c>
      <c r="AK62" s="388"/>
      <c r="AL62" s="388"/>
      <c r="AM62" s="388"/>
      <c r="AN62" s="388"/>
      <c r="AO62" s="388"/>
      <c r="AP62" s="388"/>
      <c r="AQ62" s="388"/>
      <c r="AR62" s="388"/>
      <c r="AS62" s="388"/>
      <c r="AT62" s="388"/>
      <c r="AU62" s="388"/>
      <c r="AV62" s="388"/>
      <c r="AW62" s="388"/>
      <c r="AX62" s="388"/>
      <c r="AY62" s="388"/>
      <c r="AZ62" s="388"/>
      <c r="BA62" s="388"/>
      <c r="BB62" s="388"/>
      <c r="BC62" s="388"/>
      <c r="BD62" s="388"/>
      <c r="BE62" s="388"/>
      <c r="BF62" s="389"/>
    </row>
    <row r="63" spans="8:58" x14ac:dyDescent="0.4">
      <c r="H63" s="248" t="s">
        <v>726</v>
      </c>
      <c r="I63" s="249"/>
      <c r="J63" s="249"/>
      <c r="K63" s="249"/>
      <c r="L63" s="249"/>
      <c r="M63" s="249"/>
      <c r="N63" s="249"/>
      <c r="O63" s="249"/>
      <c r="P63" s="249"/>
      <c r="Q63" s="250"/>
      <c r="R63" s="248" t="s">
        <v>727</v>
      </c>
      <c r="S63" s="249"/>
      <c r="T63" s="249"/>
      <c r="U63" s="249"/>
      <c r="V63" s="249"/>
      <c r="W63" s="249"/>
      <c r="X63" s="249"/>
      <c r="Y63" s="249"/>
      <c r="Z63" s="249"/>
      <c r="AA63" s="250"/>
      <c r="AB63" s="254" t="s">
        <v>2</v>
      </c>
      <c r="AC63" s="255"/>
      <c r="AD63" s="454" t="s">
        <v>728</v>
      </c>
      <c r="AE63" s="327"/>
      <c r="AF63" s="327"/>
      <c r="AG63" s="327"/>
      <c r="AH63" s="152" t="s">
        <v>458</v>
      </c>
      <c r="AI63" s="152"/>
      <c r="AJ63" s="362" t="s">
        <v>729</v>
      </c>
      <c r="AK63" s="362"/>
      <c r="AL63" s="362"/>
      <c r="AM63" s="362"/>
      <c r="AN63" s="362"/>
      <c r="AO63" s="362"/>
      <c r="AP63" s="362"/>
      <c r="AQ63" s="362"/>
      <c r="AR63" s="362"/>
      <c r="AS63" s="362"/>
      <c r="AT63" s="362"/>
      <c r="AU63" s="362"/>
      <c r="AV63" s="362"/>
      <c r="AW63" s="362"/>
      <c r="AX63" s="362"/>
      <c r="AY63" s="362"/>
      <c r="AZ63" s="362"/>
      <c r="BA63" s="362"/>
      <c r="BB63" s="362"/>
      <c r="BC63" s="362"/>
      <c r="BD63" s="362"/>
      <c r="BE63" s="362"/>
      <c r="BF63" s="362"/>
    </row>
    <row r="64" spans="8:58" x14ac:dyDescent="0.4">
      <c r="H64" s="251"/>
      <c r="I64" s="252"/>
      <c r="J64" s="252"/>
      <c r="K64" s="252"/>
      <c r="L64" s="252"/>
      <c r="M64" s="252"/>
      <c r="N64" s="252"/>
      <c r="O64" s="252"/>
      <c r="P64" s="252"/>
      <c r="Q64" s="253"/>
      <c r="R64" s="251"/>
      <c r="S64" s="252"/>
      <c r="T64" s="252"/>
      <c r="U64" s="252"/>
      <c r="V64" s="252"/>
      <c r="W64" s="252"/>
      <c r="X64" s="252"/>
      <c r="Y64" s="252"/>
      <c r="Z64" s="252"/>
      <c r="AA64" s="253"/>
      <c r="AB64" s="256"/>
      <c r="AC64" s="257"/>
      <c r="AD64" s="454"/>
      <c r="AE64" s="327"/>
      <c r="AF64" s="327"/>
      <c r="AG64" s="327"/>
      <c r="AH64" s="152"/>
      <c r="AI64" s="152"/>
      <c r="AJ64" s="362"/>
      <c r="AK64" s="362"/>
      <c r="AL64" s="362"/>
      <c r="AM64" s="362"/>
      <c r="AN64" s="362"/>
      <c r="AO64" s="362"/>
      <c r="AP64" s="362"/>
      <c r="AQ64" s="362"/>
      <c r="AR64" s="362"/>
      <c r="AS64" s="362"/>
      <c r="AT64" s="362"/>
      <c r="AU64" s="362"/>
      <c r="AV64" s="362"/>
      <c r="AW64" s="362"/>
      <c r="AX64" s="362"/>
      <c r="AY64" s="362"/>
      <c r="AZ64" s="362"/>
      <c r="BA64" s="362"/>
      <c r="BB64" s="362"/>
      <c r="BC64" s="362"/>
      <c r="BD64" s="362"/>
      <c r="BE64" s="362"/>
      <c r="BF64" s="362"/>
    </row>
    <row r="65" spans="8:58" x14ac:dyDescent="0.4">
      <c r="H65" s="251"/>
      <c r="I65" s="252"/>
      <c r="J65" s="252"/>
      <c r="K65" s="252"/>
      <c r="L65" s="252"/>
      <c r="M65" s="252"/>
      <c r="N65" s="252"/>
      <c r="O65" s="252"/>
      <c r="P65" s="252"/>
      <c r="Q65" s="253"/>
      <c r="R65" s="251"/>
      <c r="S65" s="252"/>
      <c r="T65" s="252"/>
      <c r="U65" s="252"/>
      <c r="V65" s="252"/>
      <c r="W65" s="252"/>
      <c r="X65" s="252"/>
      <c r="Y65" s="252"/>
      <c r="Z65" s="252"/>
      <c r="AA65" s="253"/>
      <c r="AB65" s="256"/>
      <c r="AC65" s="257"/>
      <c r="AD65" s="454"/>
      <c r="AE65" s="327"/>
      <c r="AF65" s="327"/>
      <c r="AG65" s="327"/>
      <c r="AH65" s="152"/>
      <c r="AI65" s="152"/>
      <c r="AJ65" s="362"/>
      <c r="AK65" s="362"/>
      <c r="AL65" s="362"/>
      <c r="AM65" s="362"/>
      <c r="AN65" s="362"/>
      <c r="AO65" s="362"/>
      <c r="AP65" s="362"/>
      <c r="AQ65" s="362"/>
      <c r="AR65" s="362"/>
      <c r="AS65" s="362"/>
      <c r="AT65" s="362"/>
      <c r="AU65" s="362"/>
      <c r="AV65" s="362"/>
      <c r="AW65" s="362"/>
      <c r="AX65" s="362"/>
      <c r="AY65" s="362"/>
      <c r="AZ65" s="362"/>
      <c r="BA65" s="362"/>
      <c r="BB65" s="362"/>
      <c r="BC65" s="362"/>
      <c r="BD65" s="362"/>
      <c r="BE65" s="362"/>
      <c r="BF65" s="362"/>
    </row>
    <row r="66" spans="8:58" x14ac:dyDescent="0.4">
      <c r="H66" s="251"/>
      <c r="I66" s="252"/>
      <c r="J66" s="252"/>
      <c r="K66" s="252"/>
      <c r="L66" s="252"/>
      <c r="M66" s="252"/>
      <c r="N66" s="252"/>
      <c r="O66" s="252"/>
      <c r="P66" s="252"/>
      <c r="Q66" s="253"/>
      <c r="R66" s="251"/>
      <c r="S66" s="252"/>
      <c r="T66" s="252"/>
      <c r="U66" s="252"/>
      <c r="V66" s="252"/>
      <c r="W66" s="252"/>
      <c r="X66" s="252"/>
      <c r="Y66" s="252"/>
      <c r="Z66" s="252"/>
      <c r="AA66" s="253"/>
      <c r="AB66" s="360"/>
      <c r="AC66" s="361"/>
      <c r="AD66" s="327"/>
      <c r="AE66" s="327"/>
      <c r="AF66" s="327"/>
      <c r="AG66" s="327"/>
      <c r="AH66" s="152"/>
      <c r="AI66" s="152"/>
      <c r="AJ66" s="362"/>
      <c r="AK66" s="362"/>
      <c r="AL66" s="362"/>
      <c r="AM66" s="362"/>
      <c r="AN66" s="362"/>
      <c r="AO66" s="362"/>
      <c r="AP66" s="362"/>
      <c r="AQ66" s="362"/>
      <c r="AR66" s="362"/>
      <c r="AS66" s="362"/>
      <c r="AT66" s="362"/>
      <c r="AU66" s="362"/>
      <c r="AV66" s="362"/>
      <c r="AW66" s="362"/>
      <c r="AX66" s="362"/>
      <c r="AY66" s="362"/>
      <c r="AZ66" s="362"/>
      <c r="BA66" s="362"/>
      <c r="BB66" s="362"/>
      <c r="BC66" s="362"/>
      <c r="BD66" s="362"/>
      <c r="BE66" s="362"/>
      <c r="BF66" s="362"/>
    </row>
    <row r="67" spans="8:58" x14ac:dyDescent="0.4">
      <c r="H67" s="460"/>
      <c r="I67" s="461"/>
      <c r="J67" s="461"/>
      <c r="K67" s="461"/>
      <c r="L67" s="461"/>
      <c r="M67" s="461"/>
      <c r="N67" s="461"/>
      <c r="O67" s="461"/>
      <c r="P67" s="461"/>
      <c r="Q67" s="462"/>
      <c r="R67" s="460"/>
      <c r="S67" s="461"/>
      <c r="T67" s="461"/>
      <c r="U67" s="461"/>
      <c r="V67" s="461"/>
      <c r="W67" s="461"/>
      <c r="X67" s="461"/>
      <c r="Y67" s="461"/>
      <c r="Z67" s="461"/>
      <c r="AA67" s="462"/>
      <c r="AB67" s="382" t="s">
        <v>791</v>
      </c>
      <c r="AC67" s="383"/>
      <c r="AD67" s="382" t="s">
        <v>259</v>
      </c>
      <c r="AE67" s="384"/>
      <c r="AF67" s="384"/>
      <c r="AG67" s="383"/>
      <c r="AH67" s="385" t="s">
        <v>259</v>
      </c>
      <c r="AI67" s="386"/>
      <c r="AJ67" s="387" t="s">
        <v>258</v>
      </c>
      <c r="AK67" s="388"/>
      <c r="AL67" s="388"/>
      <c r="AM67" s="388"/>
      <c r="AN67" s="388"/>
      <c r="AO67" s="388"/>
      <c r="AP67" s="388"/>
      <c r="AQ67" s="388"/>
      <c r="AR67" s="388"/>
      <c r="AS67" s="388"/>
      <c r="AT67" s="388"/>
      <c r="AU67" s="388"/>
      <c r="AV67" s="388"/>
      <c r="AW67" s="388"/>
      <c r="AX67" s="388"/>
      <c r="AY67" s="388"/>
      <c r="AZ67" s="388"/>
      <c r="BA67" s="388"/>
      <c r="BB67" s="388"/>
      <c r="BC67" s="388"/>
      <c r="BD67" s="388"/>
      <c r="BE67" s="388"/>
      <c r="BF67" s="389"/>
    </row>
    <row r="68" spans="8:58" x14ac:dyDescent="0.4">
      <c r="H68" s="248" t="s">
        <v>785</v>
      </c>
      <c r="I68" s="249"/>
      <c r="J68" s="249"/>
      <c r="K68" s="249"/>
      <c r="L68" s="249"/>
      <c r="M68" s="249"/>
      <c r="N68" s="249"/>
      <c r="O68" s="249"/>
      <c r="P68" s="249"/>
      <c r="Q68" s="250"/>
      <c r="R68" s="248" t="s">
        <v>784</v>
      </c>
      <c r="S68" s="249"/>
      <c r="T68" s="249"/>
      <c r="U68" s="249"/>
      <c r="V68" s="249"/>
      <c r="W68" s="249"/>
      <c r="X68" s="249"/>
      <c r="Y68" s="249"/>
      <c r="Z68" s="249"/>
      <c r="AA68" s="250"/>
      <c r="AB68" s="254" t="s">
        <v>793</v>
      </c>
      <c r="AC68" s="255"/>
      <c r="AD68" s="454" t="s">
        <v>460</v>
      </c>
      <c r="AE68" s="327"/>
      <c r="AF68" s="327"/>
      <c r="AG68" s="327"/>
      <c r="AH68" s="152" t="s">
        <v>458</v>
      </c>
      <c r="AI68" s="152"/>
      <c r="AJ68" s="362" t="s">
        <v>786</v>
      </c>
      <c r="AK68" s="362"/>
      <c r="AL68" s="362"/>
      <c r="AM68" s="362"/>
      <c r="AN68" s="362"/>
      <c r="AO68" s="362"/>
      <c r="AP68" s="362"/>
      <c r="AQ68" s="362"/>
      <c r="AR68" s="362"/>
      <c r="AS68" s="362"/>
      <c r="AT68" s="362"/>
      <c r="AU68" s="362"/>
      <c r="AV68" s="362"/>
      <c r="AW68" s="362"/>
      <c r="AX68" s="362"/>
      <c r="AY68" s="362"/>
      <c r="AZ68" s="362"/>
      <c r="BA68" s="362"/>
      <c r="BB68" s="362"/>
      <c r="BC68" s="362"/>
      <c r="BD68" s="362"/>
      <c r="BE68" s="362"/>
      <c r="BF68" s="362"/>
    </row>
    <row r="69" spans="8:58" x14ac:dyDescent="0.4">
      <c r="H69" s="251"/>
      <c r="I69" s="252"/>
      <c r="J69" s="252"/>
      <c r="K69" s="252"/>
      <c r="L69" s="252"/>
      <c r="M69" s="252"/>
      <c r="N69" s="252"/>
      <c r="O69" s="252"/>
      <c r="P69" s="252"/>
      <c r="Q69" s="253"/>
      <c r="R69" s="251"/>
      <c r="S69" s="252"/>
      <c r="T69" s="252"/>
      <c r="U69" s="252"/>
      <c r="V69" s="252"/>
      <c r="W69" s="252"/>
      <c r="X69" s="252"/>
      <c r="Y69" s="252"/>
      <c r="Z69" s="252"/>
      <c r="AA69" s="253"/>
      <c r="AB69" s="256"/>
      <c r="AC69" s="257"/>
      <c r="AD69" s="454"/>
      <c r="AE69" s="327"/>
      <c r="AF69" s="327"/>
      <c r="AG69" s="327"/>
      <c r="AH69" s="152"/>
      <c r="AI69" s="152"/>
      <c r="AJ69" s="362"/>
      <c r="AK69" s="362"/>
      <c r="AL69" s="362"/>
      <c r="AM69" s="362"/>
      <c r="AN69" s="362"/>
      <c r="AO69" s="362"/>
      <c r="AP69" s="362"/>
      <c r="AQ69" s="362"/>
      <c r="AR69" s="362"/>
      <c r="AS69" s="362"/>
      <c r="AT69" s="362"/>
      <c r="AU69" s="362"/>
      <c r="AV69" s="362"/>
      <c r="AW69" s="362"/>
      <c r="AX69" s="362"/>
      <c r="AY69" s="362"/>
      <c r="AZ69" s="362"/>
      <c r="BA69" s="362"/>
      <c r="BB69" s="362"/>
      <c r="BC69" s="362"/>
      <c r="BD69" s="362"/>
      <c r="BE69" s="362"/>
      <c r="BF69" s="362"/>
    </row>
    <row r="70" spans="8:58" x14ac:dyDescent="0.4">
      <c r="H70" s="251"/>
      <c r="I70" s="252"/>
      <c r="J70" s="252"/>
      <c r="K70" s="252"/>
      <c r="L70" s="252"/>
      <c r="M70" s="252"/>
      <c r="N70" s="252"/>
      <c r="O70" s="252"/>
      <c r="P70" s="252"/>
      <c r="Q70" s="253"/>
      <c r="R70" s="251"/>
      <c r="S70" s="252"/>
      <c r="T70" s="252"/>
      <c r="U70" s="252"/>
      <c r="V70" s="252"/>
      <c r="W70" s="252"/>
      <c r="X70" s="252"/>
      <c r="Y70" s="252"/>
      <c r="Z70" s="252"/>
      <c r="AA70" s="253"/>
      <c r="AB70" s="256"/>
      <c r="AC70" s="257"/>
      <c r="AD70" s="454"/>
      <c r="AE70" s="327"/>
      <c r="AF70" s="327"/>
      <c r="AG70" s="327"/>
      <c r="AH70" s="152"/>
      <c r="AI70" s="152"/>
      <c r="AJ70" s="362"/>
      <c r="AK70" s="362"/>
      <c r="AL70" s="362"/>
      <c r="AM70" s="362"/>
      <c r="AN70" s="362"/>
      <c r="AO70" s="362"/>
      <c r="AP70" s="362"/>
      <c r="AQ70" s="362"/>
      <c r="AR70" s="362"/>
      <c r="AS70" s="362"/>
      <c r="AT70" s="362"/>
      <c r="AU70" s="362"/>
      <c r="AV70" s="362"/>
      <c r="AW70" s="362"/>
      <c r="AX70" s="362"/>
      <c r="AY70" s="362"/>
      <c r="AZ70" s="362"/>
      <c r="BA70" s="362"/>
      <c r="BB70" s="362"/>
      <c r="BC70" s="362"/>
      <c r="BD70" s="362"/>
      <c r="BE70" s="362"/>
      <c r="BF70" s="362"/>
    </row>
    <row r="71" spans="8:58" x14ac:dyDescent="0.4">
      <c r="H71" s="460"/>
      <c r="I71" s="461"/>
      <c r="J71" s="461"/>
      <c r="K71" s="461"/>
      <c r="L71" s="461"/>
      <c r="M71" s="461"/>
      <c r="N71" s="461"/>
      <c r="O71" s="461"/>
      <c r="P71" s="461"/>
      <c r="Q71" s="462"/>
      <c r="R71" s="460"/>
      <c r="S71" s="461"/>
      <c r="T71" s="461"/>
      <c r="U71" s="461"/>
      <c r="V71" s="461"/>
      <c r="W71" s="461"/>
      <c r="X71" s="461"/>
      <c r="Y71" s="461"/>
      <c r="Z71" s="461"/>
      <c r="AA71" s="462"/>
      <c r="AB71" s="382" t="s">
        <v>791</v>
      </c>
      <c r="AC71" s="383"/>
      <c r="AD71" s="382" t="s">
        <v>259</v>
      </c>
      <c r="AE71" s="384"/>
      <c r="AF71" s="384"/>
      <c r="AG71" s="383"/>
      <c r="AH71" s="385" t="s">
        <v>259</v>
      </c>
      <c r="AI71" s="386"/>
      <c r="AJ71" s="387" t="s">
        <v>258</v>
      </c>
      <c r="AK71" s="388"/>
      <c r="AL71" s="388"/>
      <c r="AM71" s="388"/>
      <c r="AN71" s="388"/>
      <c r="AO71" s="388"/>
      <c r="AP71" s="388"/>
      <c r="AQ71" s="388"/>
      <c r="AR71" s="388"/>
      <c r="AS71" s="388"/>
      <c r="AT71" s="388"/>
      <c r="AU71" s="388"/>
      <c r="AV71" s="388"/>
      <c r="AW71" s="388"/>
      <c r="AX71" s="388"/>
      <c r="AY71" s="388"/>
      <c r="AZ71" s="388"/>
      <c r="BA71" s="388"/>
      <c r="BB71" s="388"/>
      <c r="BC71" s="388"/>
      <c r="BD71" s="388"/>
      <c r="BE71" s="388"/>
      <c r="BF71" s="389"/>
    </row>
    <row r="72" spans="8:58" x14ac:dyDescent="0.4">
      <c r="H72" s="385" t="s">
        <v>783</v>
      </c>
      <c r="I72" s="452"/>
      <c r="J72" s="452"/>
      <c r="K72" s="452"/>
      <c r="L72" s="452"/>
      <c r="M72" s="452"/>
      <c r="N72" s="452"/>
      <c r="O72" s="452"/>
      <c r="P72" s="452"/>
      <c r="Q72" s="452"/>
      <c r="R72" s="452"/>
      <c r="S72" s="452"/>
      <c r="T72" s="452"/>
      <c r="U72" s="452"/>
      <c r="V72" s="452"/>
      <c r="W72" s="452"/>
      <c r="X72" s="452"/>
      <c r="Y72" s="452"/>
      <c r="Z72" s="452"/>
      <c r="AA72" s="452"/>
      <c r="AB72" s="452"/>
      <c r="AC72" s="452"/>
      <c r="AD72" s="452"/>
      <c r="AE72" s="452"/>
      <c r="AF72" s="452"/>
      <c r="AG72" s="452"/>
      <c r="AH72" s="452"/>
      <c r="AI72" s="452"/>
      <c r="AJ72" s="452"/>
      <c r="AK72" s="452"/>
      <c r="AL72" s="452"/>
      <c r="AM72" s="452"/>
      <c r="AN72" s="452"/>
      <c r="AO72" s="452"/>
      <c r="AP72" s="452"/>
      <c r="AQ72" s="452"/>
      <c r="AR72" s="452"/>
      <c r="AS72" s="452"/>
      <c r="AT72" s="452"/>
      <c r="AU72" s="452"/>
      <c r="AV72" s="452"/>
      <c r="AW72" s="452"/>
      <c r="AX72" s="452"/>
      <c r="AY72" s="452"/>
      <c r="AZ72" s="452"/>
      <c r="BA72" s="452"/>
      <c r="BB72" s="452"/>
      <c r="BC72" s="452"/>
      <c r="BD72" s="452"/>
      <c r="BE72" s="452"/>
      <c r="BF72" s="386"/>
    </row>
    <row r="75" spans="8:58" x14ac:dyDescent="0.4">
      <c r="H75" s="457" t="s">
        <v>730</v>
      </c>
      <c r="I75" s="458"/>
      <c r="J75" s="458"/>
      <c r="K75" s="458"/>
      <c r="L75" s="458"/>
      <c r="M75" s="458"/>
      <c r="N75" s="458"/>
      <c r="O75" s="458"/>
      <c r="P75" s="458"/>
      <c r="Q75" s="458"/>
      <c r="R75" s="458"/>
      <c r="S75" s="458"/>
      <c r="T75" s="458"/>
      <c r="U75" s="458"/>
      <c r="V75" s="458"/>
      <c r="W75" s="458"/>
      <c r="X75" s="458"/>
      <c r="Y75" s="458"/>
      <c r="Z75" s="458"/>
      <c r="AA75" s="458"/>
      <c r="AB75" s="458"/>
      <c r="AC75" s="458"/>
      <c r="AD75" s="458"/>
      <c r="AE75" s="458"/>
      <c r="AF75" s="458"/>
      <c r="AG75" s="458"/>
      <c r="AH75" s="458"/>
      <c r="AI75" s="458"/>
      <c r="AJ75" s="458"/>
      <c r="AK75" s="458"/>
      <c r="AL75" s="458"/>
      <c r="AM75" s="458"/>
      <c r="AN75" s="458"/>
      <c r="AO75" s="458"/>
      <c r="AP75" s="458"/>
      <c r="AQ75" s="458"/>
      <c r="AR75" s="458"/>
      <c r="AS75" s="458"/>
      <c r="AT75" s="458"/>
      <c r="AU75" s="458"/>
      <c r="AV75" s="458"/>
      <c r="AW75" s="458"/>
      <c r="AX75" s="458"/>
      <c r="AY75" s="458"/>
      <c r="AZ75" s="458"/>
      <c r="BA75" s="458"/>
      <c r="BB75" s="458"/>
      <c r="BC75" s="458"/>
      <c r="BD75" s="458"/>
      <c r="BE75" s="458"/>
      <c r="BF75" s="459"/>
    </row>
    <row r="76" spans="8:58" x14ac:dyDescent="0.4">
      <c r="H76" s="336" t="s">
        <v>433</v>
      </c>
      <c r="I76" s="336"/>
      <c r="J76" s="336"/>
      <c r="K76" s="336"/>
      <c r="L76" s="336"/>
      <c r="M76" s="336"/>
      <c r="N76" s="336"/>
      <c r="O76" s="336"/>
      <c r="P76" s="336"/>
      <c r="Q76" s="336"/>
      <c r="R76" s="336" t="s">
        <v>1</v>
      </c>
      <c r="S76" s="336"/>
      <c r="T76" s="336"/>
      <c r="U76" s="336"/>
      <c r="V76" s="336"/>
      <c r="W76" s="336"/>
      <c r="X76" s="336"/>
      <c r="Y76" s="336"/>
      <c r="Z76" s="336"/>
      <c r="AA76" s="336"/>
      <c r="AB76" s="337" t="s">
        <v>434</v>
      </c>
      <c r="AC76" s="338"/>
      <c r="AD76" s="337" t="s">
        <v>435</v>
      </c>
      <c r="AE76" s="339"/>
      <c r="AF76" s="339"/>
      <c r="AG76" s="338"/>
      <c r="AH76" s="340" t="s">
        <v>436</v>
      </c>
      <c r="AI76" s="340"/>
      <c r="AJ76" s="336" t="s">
        <v>437</v>
      </c>
      <c r="AK76" s="336"/>
      <c r="AL76" s="336"/>
      <c r="AM76" s="336"/>
      <c r="AN76" s="336"/>
      <c r="AO76" s="336"/>
      <c r="AP76" s="336"/>
      <c r="AQ76" s="336"/>
      <c r="AR76" s="336"/>
      <c r="AS76" s="336"/>
      <c r="AT76" s="336"/>
      <c r="AU76" s="336"/>
      <c r="AV76" s="336"/>
      <c r="AW76" s="336"/>
      <c r="AX76" s="336"/>
      <c r="AY76" s="336"/>
      <c r="AZ76" s="336"/>
      <c r="BA76" s="336"/>
      <c r="BB76" s="336"/>
      <c r="BC76" s="336"/>
      <c r="BD76" s="336"/>
      <c r="BE76" s="336"/>
      <c r="BF76" s="336"/>
    </row>
    <row r="77" spans="8:58" x14ac:dyDescent="0.4">
      <c r="H77" s="345" t="s">
        <v>731</v>
      </c>
      <c r="I77" s="345"/>
      <c r="J77" s="345"/>
      <c r="K77" s="345"/>
      <c r="L77" s="345"/>
      <c r="M77" s="345"/>
      <c r="N77" s="345"/>
      <c r="O77" s="345"/>
      <c r="P77" s="345"/>
      <c r="Q77" s="345"/>
      <c r="R77" s="345" t="s">
        <v>732</v>
      </c>
      <c r="S77" s="345"/>
      <c r="T77" s="345"/>
      <c r="U77" s="345"/>
      <c r="V77" s="345"/>
      <c r="W77" s="345"/>
      <c r="X77" s="345"/>
      <c r="Y77" s="345"/>
      <c r="Z77" s="345"/>
      <c r="AA77" s="345"/>
      <c r="AB77" s="346" t="s">
        <v>443</v>
      </c>
      <c r="AC77" s="347"/>
      <c r="AD77" s="347" t="s">
        <v>444</v>
      </c>
      <c r="AE77" s="347"/>
      <c r="AF77" s="347"/>
      <c r="AG77" s="347"/>
      <c r="AH77" s="348" t="s">
        <v>442</v>
      </c>
      <c r="AI77" s="348"/>
      <c r="AJ77" s="349" t="s">
        <v>733</v>
      </c>
      <c r="AK77" s="349"/>
      <c r="AL77" s="349"/>
      <c r="AM77" s="349"/>
      <c r="AN77" s="349"/>
      <c r="AO77" s="349"/>
      <c r="AP77" s="349"/>
      <c r="AQ77" s="349"/>
      <c r="AR77" s="349"/>
      <c r="AS77" s="349"/>
      <c r="AT77" s="349"/>
      <c r="AU77" s="349"/>
      <c r="AV77" s="349"/>
      <c r="AW77" s="349"/>
      <c r="AX77" s="349"/>
      <c r="AY77" s="349"/>
      <c r="AZ77" s="349"/>
      <c r="BA77" s="349"/>
      <c r="BB77" s="349"/>
      <c r="BC77" s="349"/>
      <c r="BD77" s="349"/>
      <c r="BE77" s="349"/>
      <c r="BF77" s="349"/>
    </row>
    <row r="78" spans="8:58" ht="18.75" customHeight="1" x14ac:dyDescent="0.4">
      <c r="H78" s="345"/>
      <c r="I78" s="345"/>
      <c r="J78" s="345"/>
      <c r="K78" s="345"/>
      <c r="L78" s="345"/>
      <c r="M78" s="345"/>
      <c r="N78" s="345"/>
      <c r="O78" s="345"/>
      <c r="P78" s="345"/>
      <c r="Q78" s="345"/>
      <c r="R78" s="345"/>
      <c r="S78" s="345"/>
      <c r="T78" s="345"/>
      <c r="U78" s="345"/>
      <c r="V78" s="345"/>
      <c r="W78" s="345"/>
      <c r="X78" s="345"/>
      <c r="Y78" s="345"/>
      <c r="Z78" s="345"/>
      <c r="AA78" s="345"/>
      <c r="AB78" s="346"/>
      <c r="AC78" s="347"/>
      <c r="AD78" s="347"/>
      <c r="AE78" s="347"/>
      <c r="AF78" s="347"/>
      <c r="AG78" s="347"/>
      <c r="AH78" s="348"/>
      <c r="AI78" s="348"/>
      <c r="AJ78" s="349"/>
      <c r="AK78" s="349"/>
      <c r="AL78" s="349"/>
      <c r="AM78" s="349"/>
      <c r="AN78" s="349"/>
      <c r="AO78" s="349"/>
      <c r="AP78" s="349"/>
      <c r="AQ78" s="349"/>
      <c r="AR78" s="349"/>
      <c r="AS78" s="349"/>
      <c r="AT78" s="349"/>
      <c r="AU78" s="349"/>
      <c r="AV78" s="349"/>
      <c r="AW78" s="349"/>
      <c r="AX78" s="349"/>
      <c r="AY78" s="349"/>
      <c r="AZ78" s="349"/>
      <c r="BA78" s="349"/>
      <c r="BB78" s="349"/>
      <c r="BC78" s="349"/>
      <c r="BD78" s="349"/>
      <c r="BE78" s="349"/>
      <c r="BF78" s="349"/>
    </row>
    <row r="79" spans="8:58" x14ac:dyDescent="0.4">
      <c r="H79" s="345"/>
      <c r="I79" s="345"/>
      <c r="J79" s="345"/>
      <c r="K79" s="345"/>
      <c r="L79" s="345"/>
      <c r="M79" s="345"/>
      <c r="N79" s="345"/>
      <c r="O79" s="345"/>
      <c r="P79" s="345"/>
      <c r="Q79" s="345"/>
      <c r="R79" s="345"/>
      <c r="S79" s="345"/>
      <c r="T79" s="345"/>
      <c r="U79" s="345"/>
      <c r="V79" s="345"/>
      <c r="W79" s="345"/>
      <c r="X79" s="345"/>
      <c r="Y79" s="345"/>
      <c r="Z79" s="345"/>
      <c r="AA79" s="345"/>
      <c r="AB79" s="455" t="s">
        <v>445</v>
      </c>
      <c r="AC79" s="361"/>
      <c r="AD79" s="360" t="s">
        <v>703</v>
      </c>
      <c r="AE79" s="455"/>
      <c r="AF79" s="455"/>
      <c r="AG79" s="361"/>
      <c r="AH79" s="363" t="s">
        <v>442</v>
      </c>
      <c r="AI79" s="363"/>
      <c r="AJ79" s="456" t="s">
        <v>734</v>
      </c>
      <c r="AK79" s="456"/>
      <c r="AL79" s="456"/>
      <c r="AM79" s="456"/>
      <c r="AN79" s="456"/>
      <c r="AO79" s="456"/>
      <c r="AP79" s="456"/>
      <c r="AQ79" s="456"/>
      <c r="AR79" s="456"/>
      <c r="AS79" s="456"/>
      <c r="AT79" s="456"/>
      <c r="AU79" s="456"/>
      <c r="AV79" s="456"/>
      <c r="AW79" s="456"/>
      <c r="AX79" s="456"/>
      <c r="AY79" s="456"/>
      <c r="AZ79" s="456"/>
      <c r="BA79" s="456"/>
      <c r="BB79" s="456"/>
      <c r="BC79" s="456"/>
      <c r="BD79" s="456"/>
      <c r="BE79" s="456"/>
      <c r="BF79" s="456"/>
    </row>
    <row r="80" spans="8:58" ht="18.75" customHeight="1" x14ac:dyDescent="0.4">
      <c r="H80" s="345"/>
      <c r="I80" s="345"/>
      <c r="J80" s="345"/>
      <c r="K80" s="345"/>
      <c r="L80" s="345"/>
      <c r="M80" s="345"/>
      <c r="N80" s="345"/>
      <c r="O80" s="345"/>
      <c r="P80" s="345"/>
      <c r="Q80" s="345"/>
      <c r="R80" s="345"/>
      <c r="S80" s="345"/>
      <c r="T80" s="345"/>
      <c r="U80" s="345"/>
      <c r="V80" s="345"/>
      <c r="W80" s="345"/>
      <c r="X80" s="345"/>
      <c r="Y80" s="345"/>
      <c r="Z80" s="345"/>
      <c r="AA80" s="345"/>
      <c r="AB80" s="268" t="s">
        <v>446</v>
      </c>
      <c r="AC80" s="267"/>
      <c r="AD80" s="266" t="s">
        <v>447</v>
      </c>
      <c r="AE80" s="268"/>
      <c r="AF80" s="268"/>
      <c r="AG80" s="267"/>
      <c r="AH80" s="152" t="s">
        <v>442</v>
      </c>
      <c r="AI80" s="152"/>
      <c r="AJ80" s="341" t="s">
        <v>735</v>
      </c>
      <c r="AK80" s="341"/>
      <c r="AL80" s="341"/>
      <c r="AM80" s="341"/>
      <c r="AN80" s="341"/>
      <c r="AO80" s="341"/>
      <c r="AP80" s="341"/>
      <c r="AQ80" s="341"/>
      <c r="AR80" s="341"/>
      <c r="AS80" s="341"/>
      <c r="AT80" s="341"/>
      <c r="AU80" s="341"/>
      <c r="AV80" s="341"/>
      <c r="AW80" s="341"/>
      <c r="AX80" s="341"/>
      <c r="AY80" s="341"/>
      <c r="AZ80" s="341"/>
      <c r="BA80" s="341"/>
      <c r="BB80" s="341"/>
      <c r="BC80" s="341"/>
      <c r="BD80" s="341"/>
      <c r="BE80" s="341"/>
      <c r="BF80" s="341"/>
    </row>
    <row r="81" spans="8:58" x14ac:dyDescent="0.4">
      <c r="H81" s="345"/>
      <c r="I81" s="345"/>
      <c r="J81" s="345"/>
      <c r="K81" s="345"/>
      <c r="L81" s="345"/>
      <c r="M81" s="345"/>
      <c r="N81" s="345"/>
      <c r="O81" s="345"/>
      <c r="P81" s="345"/>
      <c r="Q81" s="345"/>
      <c r="R81" s="345"/>
      <c r="S81" s="345"/>
      <c r="T81" s="345"/>
      <c r="U81" s="345"/>
      <c r="V81" s="345"/>
      <c r="W81" s="345"/>
      <c r="X81" s="345"/>
      <c r="Y81" s="345"/>
      <c r="Z81" s="345"/>
      <c r="AA81" s="345"/>
      <c r="AB81" s="268" t="s">
        <v>448</v>
      </c>
      <c r="AC81" s="267"/>
      <c r="AD81" s="266" t="s">
        <v>449</v>
      </c>
      <c r="AE81" s="268"/>
      <c r="AF81" s="268"/>
      <c r="AG81" s="267"/>
      <c r="AH81" s="152" t="s">
        <v>442</v>
      </c>
      <c r="AI81" s="152"/>
      <c r="AJ81" s="341" t="s">
        <v>736</v>
      </c>
      <c r="AK81" s="341"/>
      <c r="AL81" s="341"/>
      <c r="AM81" s="341"/>
      <c r="AN81" s="341"/>
      <c r="AO81" s="341"/>
      <c r="AP81" s="341"/>
      <c r="AQ81" s="341"/>
      <c r="AR81" s="341"/>
      <c r="AS81" s="341"/>
      <c r="AT81" s="341"/>
      <c r="AU81" s="341"/>
      <c r="AV81" s="341"/>
      <c r="AW81" s="341"/>
      <c r="AX81" s="341"/>
      <c r="AY81" s="341"/>
      <c r="AZ81" s="341"/>
      <c r="BA81" s="341"/>
      <c r="BB81" s="341"/>
      <c r="BC81" s="341"/>
      <c r="BD81" s="341"/>
      <c r="BE81" s="341"/>
      <c r="BF81" s="341"/>
    </row>
    <row r="82" spans="8:58" x14ac:dyDescent="0.4">
      <c r="H82" s="345"/>
      <c r="I82" s="345"/>
      <c r="J82" s="345"/>
      <c r="K82" s="345"/>
      <c r="L82" s="345"/>
      <c r="M82" s="345"/>
      <c r="N82" s="345"/>
      <c r="O82" s="345"/>
      <c r="P82" s="345"/>
      <c r="Q82" s="345"/>
      <c r="R82" s="345"/>
      <c r="S82" s="345"/>
      <c r="T82" s="345"/>
      <c r="U82" s="345"/>
      <c r="V82" s="345"/>
      <c r="W82" s="345"/>
      <c r="X82" s="345"/>
      <c r="Y82" s="345"/>
      <c r="Z82" s="345"/>
      <c r="AA82" s="345"/>
      <c r="AB82" s="301" t="s">
        <v>450</v>
      </c>
      <c r="AC82" s="302"/>
      <c r="AD82" s="301" t="s">
        <v>451</v>
      </c>
      <c r="AE82" s="303"/>
      <c r="AF82" s="303"/>
      <c r="AG82" s="302"/>
      <c r="AH82" s="304" t="s">
        <v>442</v>
      </c>
      <c r="AI82" s="304"/>
      <c r="AJ82" s="342" t="s">
        <v>737</v>
      </c>
      <c r="AK82" s="343"/>
      <c r="AL82" s="343"/>
      <c r="AM82" s="343"/>
      <c r="AN82" s="343"/>
      <c r="AO82" s="343"/>
      <c r="AP82" s="343"/>
      <c r="AQ82" s="343"/>
      <c r="AR82" s="343"/>
      <c r="AS82" s="343"/>
      <c r="AT82" s="343"/>
      <c r="AU82" s="343"/>
      <c r="AV82" s="343"/>
      <c r="AW82" s="343"/>
      <c r="AX82" s="343"/>
      <c r="AY82" s="343"/>
      <c r="AZ82" s="343"/>
      <c r="BA82" s="343"/>
      <c r="BB82" s="343"/>
      <c r="BC82" s="343"/>
      <c r="BD82" s="343"/>
      <c r="BE82" s="343"/>
      <c r="BF82" s="344"/>
    </row>
    <row r="83" spans="8:58" ht="18.75" customHeight="1" x14ac:dyDescent="0.4">
      <c r="H83" s="345"/>
      <c r="I83" s="345"/>
      <c r="J83" s="345"/>
      <c r="K83" s="345"/>
      <c r="L83" s="345"/>
      <c r="M83" s="345"/>
      <c r="N83" s="345"/>
      <c r="O83" s="345"/>
      <c r="P83" s="345"/>
      <c r="Q83" s="345"/>
      <c r="R83" s="345"/>
      <c r="S83" s="345"/>
      <c r="T83" s="345"/>
      <c r="U83" s="345"/>
      <c r="V83" s="345"/>
      <c r="W83" s="345"/>
      <c r="X83" s="345"/>
      <c r="Y83" s="345"/>
      <c r="Z83" s="345"/>
      <c r="AA83" s="345"/>
      <c r="AB83" s="266" t="s">
        <v>452</v>
      </c>
      <c r="AC83" s="267"/>
      <c r="AD83" s="266" t="s">
        <v>453</v>
      </c>
      <c r="AE83" s="268"/>
      <c r="AF83" s="268"/>
      <c r="AG83" s="267"/>
      <c r="AH83" s="152" t="s">
        <v>442</v>
      </c>
      <c r="AI83" s="152"/>
      <c r="AJ83" s="341" t="s">
        <v>787</v>
      </c>
      <c r="AK83" s="341"/>
      <c r="AL83" s="341"/>
      <c r="AM83" s="341"/>
      <c r="AN83" s="341"/>
      <c r="AO83" s="341"/>
      <c r="AP83" s="341"/>
      <c r="AQ83" s="341"/>
      <c r="AR83" s="341"/>
      <c r="AS83" s="341"/>
      <c r="AT83" s="341"/>
      <c r="AU83" s="341"/>
      <c r="AV83" s="341"/>
      <c r="AW83" s="341"/>
      <c r="AX83" s="341"/>
      <c r="AY83" s="341"/>
      <c r="AZ83" s="341"/>
      <c r="BA83" s="341"/>
      <c r="BB83" s="341"/>
      <c r="BC83" s="341"/>
      <c r="BD83" s="341"/>
      <c r="BE83" s="341"/>
      <c r="BF83" s="341"/>
    </row>
    <row r="84" spans="8:58" ht="18.75" customHeight="1" x14ac:dyDescent="0.4">
      <c r="H84" s="345"/>
      <c r="I84" s="345"/>
      <c r="J84" s="345"/>
      <c r="K84" s="345"/>
      <c r="L84" s="345"/>
      <c r="M84" s="345"/>
      <c r="N84" s="345"/>
      <c r="O84" s="345"/>
      <c r="P84" s="345"/>
      <c r="Q84" s="345"/>
      <c r="R84" s="345"/>
      <c r="S84" s="345"/>
      <c r="T84" s="345"/>
      <c r="U84" s="345"/>
      <c r="V84" s="345"/>
      <c r="W84" s="345"/>
      <c r="X84" s="345"/>
      <c r="Y84" s="345"/>
      <c r="Z84" s="345"/>
      <c r="AA84" s="345"/>
      <c r="AB84" s="301" t="s">
        <v>454</v>
      </c>
      <c r="AC84" s="302"/>
      <c r="AD84" s="301" t="s">
        <v>455</v>
      </c>
      <c r="AE84" s="303"/>
      <c r="AF84" s="303"/>
      <c r="AG84" s="302"/>
      <c r="AH84" s="304" t="s">
        <v>442</v>
      </c>
      <c r="AI84" s="304"/>
      <c r="AJ84" s="342" t="s">
        <v>788</v>
      </c>
      <c r="AK84" s="343"/>
      <c r="AL84" s="343"/>
      <c r="AM84" s="343"/>
      <c r="AN84" s="343"/>
      <c r="AO84" s="343"/>
      <c r="AP84" s="343"/>
      <c r="AQ84" s="343"/>
      <c r="AR84" s="343"/>
      <c r="AS84" s="343"/>
      <c r="AT84" s="343"/>
      <c r="AU84" s="343"/>
      <c r="AV84" s="343"/>
      <c r="AW84" s="343"/>
      <c r="AX84" s="343"/>
      <c r="AY84" s="343"/>
      <c r="AZ84" s="343"/>
      <c r="BA84" s="343"/>
      <c r="BB84" s="343"/>
      <c r="BC84" s="343"/>
      <c r="BD84" s="343"/>
      <c r="BE84" s="343"/>
      <c r="BF84" s="344"/>
    </row>
    <row r="85" spans="8:58" x14ac:dyDescent="0.4">
      <c r="H85" s="345"/>
      <c r="I85" s="345"/>
      <c r="J85" s="345"/>
      <c r="K85" s="345"/>
      <c r="L85" s="345"/>
      <c r="M85" s="345"/>
      <c r="N85" s="345"/>
      <c r="O85" s="345"/>
      <c r="P85" s="345"/>
      <c r="Q85" s="345"/>
      <c r="R85" s="345"/>
      <c r="S85" s="345"/>
      <c r="T85" s="345"/>
      <c r="U85" s="345"/>
      <c r="V85" s="345"/>
      <c r="W85" s="345"/>
      <c r="X85" s="345"/>
      <c r="Y85" s="345"/>
      <c r="Z85" s="345"/>
      <c r="AA85" s="345"/>
      <c r="AB85" s="350" t="s">
        <v>461</v>
      </c>
      <c r="AC85" s="351"/>
      <c r="AD85" s="366" t="s">
        <v>259</v>
      </c>
      <c r="AE85" s="350"/>
      <c r="AF85" s="350"/>
      <c r="AG85" s="351"/>
      <c r="AH85" s="355" t="s">
        <v>259</v>
      </c>
      <c r="AI85" s="356"/>
      <c r="AJ85" s="357" t="s">
        <v>258</v>
      </c>
      <c r="AK85" s="358"/>
      <c r="AL85" s="358"/>
      <c r="AM85" s="358"/>
      <c r="AN85" s="358"/>
      <c r="AO85" s="358"/>
      <c r="AP85" s="358"/>
      <c r="AQ85" s="358"/>
      <c r="AR85" s="358"/>
      <c r="AS85" s="358"/>
      <c r="AT85" s="358"/>
      <c r="AU85" s="358"/>
      <c r="AV85" s="358"/>
      <c r="AW85" s="358"/>
      <c r="AX85" s="358"/>
      <c r="AY85" s="358"/>
      <c r="AZ85" s="358"/>
      <c r="BA85" s="358"/>
      <c r="BB85" s="358"/>
      <c r="BC85" s="358"/>
      <c r="BD85" s="358"/>
      <c r="BE85" s="358"/>
      <c r="BF85" s="359"/>
    </row>
    <row r="86" spans="8:58" x14ac:dyDescent="0.4">
      <c r="H86" s="363" t="s">
        <v>738</v>
      </c>
      <c r="I86" s="363"/>
      <c r="J86" s="363"/>
      <c r="K86" s="363"/>
      <c r="L86" s="363"/>
      <c r="M86" s="363"/>
      <c r="N86" s="363"/>
      <c r="O86" s="363"/>
      <c r="P86" s="363"/>
      <c r="Q86" s="363"/>
      <c r="R86" s="364" t="s">
        <v>739</v>
      </c>
      <c r="S86" s="364"/>
      <c r="T86" s="364"/>
      <c r="U86" s="364"/>
      <c r="V86" s="364"/>
      <c r="W86" s="364"/>
      <c r="X86" s="364"/>
      <c r="Y86" s="364"/>
      <c r="Z86" s="364"/>
      <c r="AA86" s="364"/>
      <c r="AB86" s="254" t="s">
        <v>443</v>
      </c>
      <c r="AC86" s="255"/>
      <c r="AD86" s="390" t="s">
        <v>456</v>
      </c>
      <c r="AE86" s="390"/>
      <c r="AF86" s="390"/>
      <c r="AG86" s="390"/>
      <c r="AH86" s="152" t="s">
        <v>441</v>
      </c>
      <c r="AI86" s="152"/>
      <c r="AJ86" s="362" t="s">
        <v>740</v>
      </c>
      <c r="AK86" s="362"/>
      <c r="AL86" s="362"/>
      <c r="AM86" s="362"/>
      <c r="AN86" s="362"/>
      <c r="AO86" s="362"/>
      <c r="AP86" s="362"/>
      <c r="AQ86" s="362"/>
      <c r="AR86" s="362"/>
      <c r="AS86" s="362"/>
      <c r="AT86" s="362"/>
      <c r="AU86" s="362"/>
      <c r="AV86" s="362"/>
      <c r="AW86" s="362"/>
      <c r="AX86" s="362"/>
      <c r="AY86" s="362"/>
      <c r="AZ86" s="362"/>
      <c r="BA86" s="362"/>
      <c r="BB86" s="362"/>
      <c r="BC86" s="362"/>
      <c r="BD86" s="362"/>
      <c r="BE86" s="362"/>
      <c r="BF86" s="362"/>
    </row>
    <row r="87" spans="8:58" x14ac:dyDescent="0.4">
      <c r="H87" s="152"/>
      <c r="I87" s="152"/>
      <c r="J87" s="152"/>
      <c r="K87" s="152"/>
      <c r="L87" s="152"/>
      <c r="M87" s="152"/>
      <c r="N87" s="152"/>
      <c r="O87" s="152"/>
      <c r="P87" s="152"/>
      <c r="Q87" s="152"/>
      <c r="R87" s="365"/>
      <c r="S87" s="365"/>
      <c r="T87" s="365"/>
      <c r="U87" s="365"/>
      <c r="V87" s="365"/>
      <c r="W87" s="365"/>
      <c r="X87" s="365"/>
      <c r="Y87" s="365"/>
      <c r="Z87" s="365"/>
      <c r="AA87" s="365"/>
      <c r="AB87" s="360"/>
      <c r="AC87" s="361"/>
      <c r="AD87" s="390"/>
      <c r="AE87" s="390"/>
      <c r="AF87" s="390"/>
      <c r="AG87" s="390"/>
      <c r="AH87" s="152"/>
      <c r="AI87" s="152"/>
      <c r="AJ87" s="362"/>
      <c r="AK87" s="362"/>
      <c r="AL87" s="362"/>
      <c r="AM87" s="362"/>
      <c r="AN87" s="362"/>
      <c r="AO87" s="362"/>
      <c r="AP87" s="362"/>
      <c r="AQ87" s="362"/>
      <c r="AR87" s="362"/>
      <c r="AS87" s="362"/>
      <c r="AT87" s="362"/>
      <c r="AU87" s="362"/>
      <c r="AV87" s="362"/>
      <c r="AW87" s="362"/>
      <c r="AX87" s="362"/>
      <c r="AY87" s="362"/>
      <c r="AZ87" s="362"/>
      <c r="BA87" s="362"/>
      <c r="BB87" s="362"/>
      <c r="BC87" s="362"/>
      <c r="BD87" s="362"/>
      <c r="BE87" s="362"/>
      <c r="BF87" s="362"/>
    </row>
    <row r="88" spans="8:58" x14ac:dyDescent="0.4">
      <c r="H88" s="152"/>
      <c r="I88" s="152"/>
      <c r="J88" s="152"/>
      <c r="K88" s="152"/>
      <c r="L88" s="152"/>
      <c r="M88" s="152"/>
      <c r="N88" s="152"/>
      <c r="O88" s="152"/>
      <c r="P88" s="152"/>
      <c r="Q88" s="152"/>
      <c r="R88" s="365"/>
      <c r="S88" s="365"/>
      <c r="T88" s="365"/>
      <c r="U88" s="365"/>
      <c r="V88" s="365"/>
      <c r="W88" s="365"/>
      <c r="X88" s="365"/>
      <c r="Y88" s="365"/>
      <c r="Z88" s="365"/>
      <c r="AA88" s="365"/>
      <c r="AB88" s="254" t="s">
        <v>445</v>
      </c>
      <c r="AC88" s="255"/>
      <c r="AD88" s="390" t="s">
        <v>457</v>
      </c>
      <c r="AE88" s="390"/>
      <c r="AF88" s="390"/>
      <c r="AG88" s="390"/>
      <c r="AH88" s="152" t="s">
        <v>458</v>
      </c>
      <c r="AI88" s="152"/>
      <c r="AJ88" s="362" t="s">
        <v>741</v>
      </c>
      <c r="AK88" s="362"/>
      <c r="AL88" s="362"/>
      <c r="AM88" s="362"/>
      <c r="AN88" s="362"/>
      <c r="AO88" s="362"/>
      <c r="AP88" s="362"/>
      <c r="AQ88" s="362"/>
      <c r="AR88" s="362"/>
      <c r="AS88" s="362"/>
      <c r="AT88" s="362"/>
      <c r="AU88" s="362"/>
      <c r="AV88" s="362"/>
      <c r="AW88" s="362"/>
      <c r="AX88" s="362"/>
      <c r="AY88" s="362"/>
      <c r="AZ88" s="362"/>
      <c r="BA88" s="362"/>
      <c r="BB88" s="362"/>
      <c r="BC88" s="362"/>
      <c r="BD88" s="362"/>
      <c r="BE88" s="362"/>
      <c r="BF88" s="362"/>
    </row>
    <row r="89" spans="8:58" x14ac:dyDescent="0.4">
      <c r="H89" s="152"/>
      <c r="I89" s="152"/>
      <c r="J89" s="152"/>
      <c r="K89" s="152"/>
      <c r="L89" s="152"/>
      <c r="M89" s="152"/>
      <c r="N89" s="152"/>
      <c r="O89" s="152"/>
      <c r="P89" s="152"/>
      <c r="Q89" s="152"/>
      <c r="R89" s="365"/>
      <c r="S89" s="365"/>
      <c r="T89" s="365"/>
      <c r="U89" s="365"/>
      <c r="V89" s="365"/>
      <c r="W89" s="365"/>
      <c r="X89" s="365"/>
      <c r="Y89" s="365"/>
      <c r="Z89" s="365"/>
      <c r="AA89" s="365"/>
      <c r="AB89" s="360"/>
      <c r="AC89" s="361"/>
      <c r="AD89" s="390"/>
      <c r="AE89" s="390"/>
      <c r="AF89" s="390"/>
      <c r="AG89" s="390"/>
      <c r="AH89" s="152"/>
      <c r="AI89" s="152"/>
      <c r="AJ89" s="362"/>
      <c r="AK89" s="362"/>
      <c r="AL89" s="362"/>
      <c r="AM89" s="362"/>
      <c r="AN89" s="362"/>
      <c r="AO89" s="362"/>
      <c r="AP89" s="362"/>
      <c r="AQ89" s="362"/>
      <c r="AR89" s="362"/>
      <c r="AS89" s="362"/>
      <c r="AT89" s="362"/>
      <c r="AU89" s="362"/>
      <c r="AV89" s="362"/>
      <c r="AW89" s="362"/>
      <c r="AX89" s="362"/>
      <c r="AY89" s="362"/>
      <c r="AZ89" s="362"/>
      <c r="BA89" s="362"/>
      <c r="BB89" s="362"/>
      <c r="BC89" s="362"/>
      <c r="BD89" s="362"/>
      <c r="BE89" s="362"/>
      <c r="BF89" s="362"/>
    </row>
    <row r="90" spans="8:58" x14ac:dyDescent="0.4">
      <c r="H90" s="152"/>
      <c r="I90" s="152"/>
      <c r="J90" s="152"/>
      <c r="K90" s="152"/>
      <c r="L90" s="152"/>
      <c r="M90" s="152"/>
      <c r="N90" s="152"/>
      <c r="O90" s="152"/>
      <c r="P90" s="152"/>
      <c r="Q90" s="152"/>
      <c r="R90" s="365"/>
      <c r="S90" s="365"/>
      <c r="T90" s="365"/>
      <c r="U90" s="365"/>
      <c r="V90" s="365"/>
      <c r="W90" s="365"/>
      <c r="X90" s="365"/>
      <c r="Y90" s="365"/>
      <c r="Z90" s="365"/>
      <c r="AA90" s="365"/>
      <c r="AB90" s="254" t="s">
        <v>446</v>
      </c>
      <c r="AC90" s="255"/>
      <c r="AD90" s="390" t="s">
        <v>717</v>
      </c>
      <c r="AE90" s="390"/>
      <c r="AF90" s="390"/>
      <c r="AG90" s="390"/>
      <c r="AH90" s="152" t="s">
        <v>441</v>
      </c>
      <c r="AI90" s="152"/>
      <c r="AJ90" s="362" t="s">
        <v>742</v>
      </c>
      <c r="AK90" s="362"/>
      <c r="AL90" s="362"/>
      <c r="AM90" s="362"/>
      <c r="AN90" s="362"/>
      <c r="AO90" s="362"/>
      <c r="AP90" s="362"/>
      <c r="AQ90" s="362"/>
      <c r="AR90" s="362"/>
      <c r="AS90" s="362"/>
      <c r="AT90" s="362"/>
      <c r="AU90" s="362"/>
      <c r="AV90" s="362"/>
      <c r="AW90" s="362"/>
      <c r="AX90" s="362"/>
      <c r="AY90" s="362"/>
      <c r="AZ90" s="362"/>
      <c r="BA90" s="362"/>
      <c r="BB90" s="362"/>
      <c r="BC90" s="362"/>
      <c r="BD90" s="362"/>
      <c r="BE90" s="362"/>
      <c r="BF90" s="362"/>
    </row>
    <row r="91" spans="8:58" x14ac:dyDescent="0.4">
      <c r="H91" s="152"/>
      <c r="I91" s="152"/>
      <c r="J91" s="152"/>
      <c r="K91" s="152"/>
      <c r="L91" s="152"/>
      <c r="M91" s="152"/>
      <c r="N91" s="152"/>
      <c r="O91" s="152"/>
      <c r="P91" s="152"/>
      <c r="Q91" s="152"/>
      <c r="R91" s="365"/>
      <c r="S91" s="365"/>
      <c r="T91" s="365"/>
      <c r="U91" s="365"/>
      <c r="V91" s="365"/>
      <c r="W91" s="365"/>
      <c r="X91" s="365"/>
      <c r="Y91" s="365"/>
      <c r="Z91" s="365"/>
      <c r="AA91" s="365"/>
      <c r="AB91" s="360"/>
      <c r="AC91" s="361"/>
      <c r="AD91" s="390"/>
      <c r="AE91" s="390"/>
      <c r="AF91" s="390"/>
      <c r="AG91" s="390"/>
      <c r="AH91" s="152"/>
      <c r="AI91" s="152"/>
      <c r="AJ91" s="362"/>
      <c r="AK91" s="362"/>
      <c r="AL91" s="362"/>
      <c r="AM91" s="362"/>
      <c r="AN91" s="362"/>
      <c r="AO91" s="362"/>
      <c r="AP91" s="362"/>
      <c r="AQ91" s="362"/>
      <c r="AR91" s="362"/>
      <c r="AS91" s="362"/>
      <c r="AT91" s="362"/>
      <c r="AU91" s="362"/>
      <c r="AV91" s="362"/>
      <c r="AW91" s="362"/>
      <c r="AX91" s="362"/>
      <c r="AY91" s="362"/>
      <c r="AZ91" s="362"/>
      <c r="BA91" s="362"/>
      <c r="BB91" s="362"/>
      <c r="BC91" s="362"/>
      <c r="BD91" s="362"/>
      <c r="BE91" s="362"/>
      <c r="BF91" s="362"/>
    </row>
    <row r="92" spans="8:58" x14ac:dyDescent="0.4">
      <c r="H92" s="152"/>
      <c r="I92" s="152"/>
      <c r="J92" s="152"/>
      <c r="K92" s="152"/>
      <c r="L92" s="152"/>
      <c r="M92" s="152"/>
      <c r="N92" s="152"/>
      <c r="O92" s="152"/>
      <c r="P92" s="152"/>
      <c r="Q92" s="152"/>
      <c r="R92" s="365"/>
      <c r="S92" s="365"/>
      <c r="T92" s="365"/>
      <c r="U92" s="365"/>
      <c r="V92" s="365"/>
      <c r="W92" s="365"/>
      <c r="X92" s="365"/>
      <c r="Y92" s="365"/>
      <c r="Z92" s="365"/>
      <c r="AA92" s="365"/>
      <c r="AB92" s="254" t="s">
        <v>448</v>
      </c>
      <c r="AC92" s="255"/>
      <c r="AD92" s="390" t="s">
        <v>459</v>
      </c>
      <c r="AE92" s="390"/>
      <c r="AF92" s="390"/>
      <c r="AG92" s="390"/>
      <c r="AH92" s="152" t="s">
        <v>458</v>
      </c>
      <c r="AI92" s="152"/>
      <c r="AJ92" s="362" t="s">
        <v>743</v>
      </c>
      <c r="AK92" s="362"/>
      <c r="AL92" s="362"/>
      <c r="AM92" s="362"/>
      <c r="AN92" s="362"/>
      <c r="AO92" s="362"/>
      <c r="AP92" s="362"/>
      <c r="AQ92" s="362"/>
      <c r="AR92" s="362"/>
      <c r="AS92" s="362"/>
      <c r="AT92" s="362"/>
      <c r="AU92" s="362"/>
      <c r="AV92" s="362"/>
      <c r="AW92" s="362"/>
      <c r="AX92" s="362"/>
      <c r="AY92" s="362"/>
      <c r="AZ92" s="362"/>
      <c r="BA92" s="362"/>
      <c r="BB92" s="362"/>
      <c r="BC92" s="362"/>
      <c r="BD92" s="362"/>
      <c r="BE92" s="362"/>
      <c r="BF92" s="362"/>
    </row>
    <row r="93" spans="8:58" x14ac:dyDescent="0.4">
      <c r="H93" s="152"/>
      <c r="I93" s="152"/>
      <c r="J93" s="152"/>
      <c r="K93" s="152"/>
      <c r="L93" s="152"/>
      <c r="M93" s="152"/>
      <c r="N93" s="152"/>
      <c r="O93" s="152"/>
      <c r="P93" s="152"/>
      <c r="Q93" s="152"/>
      <c r="R93" s="365"/>
      <c r="S93" s="365"/>
      <c r="T93" s="365"/>
      <c r="U93" s="365"/>
      <c r="V93" s="365"/>
      <c r="W93" s="365"/>
      <c r="X93" s="365"/>
      <c r="Y93" s="365"/>
      <c r="Z93" s="365"/>
      <c r="AA93" s="365"/>
      <c r="AB93" s="256"/>
      <c r="AC93" s="257"/>
      <c r="AD93" s="390"/>
      <c r="AE93" s="390"/>
      <c r="AF93" s="390"/>
      <c r="AG93" s="390"/>
      <c r="AH93" s="152"/>
      <c r="AI93" s="152"/>
      <c r="AJ93" s="362"/>
      <c r="AK93" s="362"/>
      <c r="AL93" s="362"/>
      <c r="AM93" s="362"/>
      <c r="AN93" s="362"/>
      <c r="AO93" s="362"/>
      <c r="AP93" s="362"/>
      <c r="AQ93" s="362"/>
      <c r="AR93" s="362"/>
      <c r="AS93" s="362"/>
      <c r="AT93" s="362"/>
      <c r="AU93" s="362"/>
      <c r="AV93" s="362"/>
      <c r="AW93" s="362"/>
      <c r="AX93" s="362"/>
      <c r="AY93" s="362"/>
      <c r="AZ93" s="362"/>
      <c r="BA93" s="362"/>
      <c r="BB93" s="362"/>
      <c r="BC93" s="362"/>
      <c r="BD93" s="362"/>
      <c r="BE93" s="362"/>
      <c r="BF93" s="362"/>
    </row>
    <row r="94" spans="8:58" x14ac:dyDescent="0.4">
      <c r="H94" s="152"/>
      <c r="I94" s="152"/>
      <c r="J94" s="152"/>
      <c r="K94" s="152"/>
      <c r="L94" s="152"/>
      <c r="M94" s="152"/>
      <c r="N94" s="152"/>
      <c r="O94" s="152"/>
      <c r="P94" s="152"/>
      <c r="Q94" s="152"/>
      <c r="R94" s="365"/>
      <c r="S94" s="365"/>
      <c r="T94" s="365"/>
      <c r="U94" s="365"/>
      <c r="V94" s="365"/>
      <c r="W94" s="365"/>
      <c r="X94" s="365"/>
      <c r="Y94" s="365"/>
      <c r="Z94" s="365"/>
      <c r="AA94" s="365"/>
      <c r="AB94" s="360"/>
      <c r="AC94" s="361"/>
      <c r="AD94" s="390"/>
      <c r="AE94" s="390"/>
      <c r="AF94" s="390"/>
      <c r="AG94" s="390"/>
      <c r="AH94" s="152"/>
      <c r="AI94" s="152"/>
      <c r="AJ94" s="362"/>
      <c r="AK94" s="362"/>
      <c r="AL94" s="362"/>
      <c r="AM94" s="362"/>
      <c r="AN94" s="362"/>
      <c r="AO94" s="362"/>
      <c r="AP94" s="362"/>
      <c r="AQ94" s="362"/>
      <c r="AR94" s="362"/>
      <c r="AS94" s="362"/>
      <c r="AT94" s="362"/>
      <c r="AU94" s="362"/>
      <c r="AV94" s="362"/>
      <c r="AW94" s="362"/>
      <c r="AX94" s="362"/>
      <c r="AY94" s="362"/>
      <c r="AZ94" s="362"/>
      <c r="BA94" s="362"/>
      <c r="BB94" s="362"/>
      <c r="BC94" s="362"/>
      <c r="BD94" s="362"/>
      <c r="BE94" s="362"/>
      <c r="BF94" s="362"/>
    </row>
    <row r="95" spans="8:58" x14ac:dyDescent="0.4">
      <c r="H95" s="152"/>
      <c r="I95" s="152"/>
      <c r="J95" s="152"/>
      <c r="K95" s="152"/>
      <c r="L95" s="152"/>
      <c r="M95" s="152"/>
      <c r="N95" s="152"/>
      <c r="O95" s="152"/>
      <c r="P95" s="152"/>
      <c r="Q95" s="152"/>
      <c r="R95" s="365"/>
      <c r="S95" s="365"/>
      <c r="T95" s="365"/>
      <c r="U95" s="365"/>
      <c r="V95" s="365"/>
      <c r="W95" s="365"/>
      <c r="X95" s="365"/>
      <c r="Y95" s="365"/>
      <c r="Z95" s="365"/>
      <c r="AA95" s="365"/>
      <c r="AB95" s="254" t="s">
        <v>450</v>
      </c>
      <c r="AC95" s="255"/>
      <c r="AD95" s="390" t="s">
        <v>460</v>
      </c>
      <c r="AE95" s="390"/>
      <c r="AF95" s="390"/>
      <c r="AG95" s="390"/>
      <c r="AH95" s="152" t="s">
        <v>441</v>
      </c>
      <c r="AI95" s="152"/>
      <c r="AJ95" s="362" t="s">
        <v>789</v>
      </c>
      <c r="AK95" s="362"/>
      <c r="AL95" s="362"/>
      <c r="AM95" s="362"/>
      <c r="AN95" s="362"/>
      <c r="AO95" s="362"/>
      <c r="AP95" s="362"/>
      <c r="AQ95" s="362"/>
      <c r="AR95" s="362"/>
      <c r="AS95" s="362"/>
      <c r="AT95" s="362"/>
      <c r="AU95" s="362"/>
      <c r="AV95" s="362"/>
      <c r="AW95" s="362"/>
      <c r="AX95" s="362"/>
      <c r="AY95" s="362"/>
      <c r="AZ95" s="362"/>
      <c r="BA95" s="362"/>
      <c r="BB95" s="362"/>
      <c r="BC95" s="362"/>
      <c r="BD95" s="362"/>
      <c r="BE95" s="362"/>
      <c r="BF95" s="362"/>
    </row>
    <row r="96" spans="8:58" x14ac:dyDescent="0.4">
      <c r="H96" s="152"/>
      <c r="I96" s="152"/>
      <c r="J96" s="152"/>
      <c r="K96" s="152"/>
      <c r="L96" s="152"/>
      <c r="M96" s="152"/>
      <c r="N96" s="152"/>
      <c r="O96" s="152"/>
      <c r="P96" s="152"/>
      <c r="Q96" s="152"/>
      <c r="R96" s="365"/>
      <c r="S96" s="365"/>
      <c r="T96" s="365"/>
      <c r="U96" s="365"/>
      <c r="V96" s="365"/>
      <c r="W96" s="365"/>
      <c r="X96" s="365"/>
      <c r="Y96" s="365"/>
      <c r="Z96" s="365"/>
      <c r="AA96" s="365"/>
      <c r="AB96" s="360"/>
      <c r="AC96" s="361"/>
      <c r="AD96" s="390"/>
      <c r="AE96" s="390"/>
      <c r="AF96" s="390"/>
      <c r="AG96" s="390"/>
      <c r="AH96" s="152"/>
      <c r="AI96" s="152"/>
      <c r="AJ96" s="362"/>
      <c r="AK96" s="362"/>
      <c r="AL96" s="362"/>
      <c r="AM96" s="362"/>
      <c r="AN96" s="362"/>
      <c r="AO96" s="362"/>
      <c r="AP96" s="362"/>
      <c r="AQ96" s="362"/>
      <c r="AR96" s="362"/>
      <c r="AS96" s="362"/>
      <c r="AT96" s="362"/>
      <c r="AU96" s="362"/>
      <c r="AV96" s="362"/>
      <c r="AW96" s="362"/>
      <c r="AX96" s="362"/>
      <c r="AY96" s="362"/>
      <c r="AZ96" s="362"/>
      <c r="BA96" s="362"/>
      <c r="BB96" s="362"/>
      <c r="BC96" s="362"/>
      <c r="BD96" s="362"/>
      <c r="BE96" s="362"/>
      <c r="BF96" s="362"/>
    </row>
    <row r="97" spans="8:58" x14ac:dyDescent="0.4">
      <c r="H97" s="152"/>
      <c r="I97" s="152"/>
      <c r="J97" s="152"/>
      <c r="K97" s="152"/>
      <c r="L97" s="152"/>
      <c r="M97" s="152"/>
      <c r="N97" s="152"/>
      <c r="O97" s="152"/>
      <c r="P97" s="152"/>
      <c r="Q97" s="152"/>
      <c r="R97" s="365"/>
      <c r="S97" s="365"/>
      <c r="T97" s="365"/>
      <c r="U97" s="365"/>
      <c r="V97" s="365"/>
      <c r="W97" s="365"/>
      <c r="X97" s="365"/>
      <c r="Y97" s="365"/>
      <c r="Z97" s="365"/>
      <c r="AA97" s="365"/>
      <c r="AB97" s="366" t="s">
        <v>708</v>
      </c>
      <c r="AC97" s="351"/>
      <c r="AD97" s="366" t="s">
        <v>259</v>
      </c>
      <c r="AE97" s="350"/>
      <c r="AF97" s="350"/>
      <c r="AG97" s="351"/>
      <c r="AH97" s="355" t="s">
        <v>259</v>
      </c>
      <c r="AI97" s="356"/>
      <c r="AJ97" s="357" t="s">
        <v>258</v>
      </c>
      <c r="AK97" s="358"/>
      <c r="AL97" s="358"/>
      <c r="AM97" s="358"/>
      <c r="AN97" s="358"/>
      <c r="AO97" s="358"/>
      <c r="AP97" s="358"/>
      <c r="AQ97" s="358"/>
      <c r="AR97" s="358"/>
      <c r="AS97" s="358"/>
      <c r="AT97" s="358"/>
      <c r="AU97" s="358"/>
      <c r="AV97" s="358"/>
      <c r="AW97" s="358"/>
      <c r="AX97" s="358"/>
      <c r="AY97" s="358"/>
      <c r="AZ97" s="358"/>
      <c r="BA97" s="358"/>
      <c r="BB97" s="358"/>
      <c r="BC97" s="358"/>
      <c r="BD97" s="358"/>
      <c r="BE97" s="358"/>
      <c r="BF97" s="359"/>
    </row>
    <row r="98" spans="8:58" x14ac:dyDescent="0.4">
      <c r="H98" s="152" t="s">
        <v>744</v>
      </c>
      <c r="I98" s="152"/>
      <c r="J98" s="152"/>
      <c r="K98" s="152"/>
      <c r="L98" s="152"/>
      <c r="M98" s="152"/>
      <c r="N98" s="152"/>
      <c r="O98" s="152"/>
      <c r="P98" s="152"/>
      <c r="Q98" s="152"/>
      <c r="R98" s="152" t="s">
        <v>745</v>
      </c>
      <c r="S98" s="152"/>
      <c r="T98" s="152"/>
      <c r="U98" s="152"/>
      <c r="V98" s="152"/>
      <c r="W98" s="152"/>
      <c r="X98" s="152"/>
      <c r="Y98" s="152"/>
      <c r="Z98" s="152"/>
      <c r="AA98" s="152"/>
      <c r="AB98" s="254" t="s">
        <v>443</v>
      </c>
      <c r="AC98" s="255"/>
      <c r="AD98" s="390" t="s">
        <v>724</v>
      </c>
      <c r="AE98" s="390"/>
      <c r="AF98" s="390"/>
      <c r="AG98" s="390"/>
      <c r="AH98" s="152" t="s">
        <v>441</v>
      </c>
      <c r="AI98" s="152"/>
      <c r="AJ98" s="362" t="s">
        <v>746</v>
      </c>
      <c r="AK98" s="362"/>
      <c r="AL98" s="362"/>
      <c r="AM98" s="362"/>
      <c r="AN98" s="362"/>
      <c r="AO98" s="362"/>
      <c r="AP98" s="362"/>
      <c r="AQ98" s="362"/>
      <c r="AR98" s="362"/>
      <c r="AS98" s="362"/>
      <c r="AT98" s="362"/>
      <c r="AU98" s="362"/>
      <c r="AV98" s="362"/>
      <c r="AW98" s="362"/>
      <c r="AX98" s="362"/>
      <c r="AY98" s="362"/>
      <c r="AZ98" s="362"/>
      <c r="BA98" s="362"/>
      <c r="BB98" s="362"/>
      <c r="BC98" s="362"/>
      <c r="BD98" s="362"/>
      <c r="BE98" s="362"/>
      <c r="BF98" s="362"/>
    </row>
    <row r="99" spans="8:58" x14ac:dyDescent="0.4">
      <c r="H99" s="152"/>
      <c r="I99" s="152"/>
      <c r="J99" s="152"/>
      <c r="K99" s="152"/>
      <c r="L99" s="152"/>
      <c r="M99" s="152"/>
      <c r="N99" s="152"/>
      <c r="O99" s="152"/>
      <c r="P99" s="152"/>
      <c r="Q99" s="152"/>
      <c r="R99" s="152"/>
      <c r="S99" s="152"/>
      <c r="T99" s="152"/>
      <c r="U99" s="152"/>
      <c r="V99" s="152"/>
      <c r="W99" s="152"/>
      <c r="X99" s="152"/>
      <c r="Y99" s="152"/>
      <c r="Z99" s="152"/>
      <c r="AA99" s="152"/>
      <c r="AB99" s="256"/>
      <c r="AC99" s="257"/>
      <c r="AD99" s="390"/>
      <c r="AE99" s="390"/>
      <c r="AF99" s="390"/>
      <c r="AG99" s="390"/>
      <c r="AH99" s="152"/>
      <c r="AI99" s="152"/>
      <c r="AJ99" s="362"/>
      <c r="AK99" s="362"/>
      <c r="AL99" s="362"/>
      <c r="AM99" s="362"/>
      <c r="AN99" s="362"/>
      <c r="AO99" s="362"/>
      <c r="AP99" s="362"/>
      <c r="AQ99" s="362"/>
      <c r="AR99" s="362"/>
      <c r="AS99" s="362"/>
      <c r="AT99" s="362"/>
      <c r="AU99" s="362"/>
      <c r="AV99" s="362"/>
      <c r="AW99" s="362"/>
      <c r="AX99" s="362"/>
      <c r="AY99" s="362"/>
      <c r="AZ99" s="362"/>
      <c r="BA99" s="362"/>
      <c r="BB99" s="362"/>
      <c r="BC99" s="362"/>
      <c r="BD99" s="362"/>
      <c r="BE99" s="362"/>
      <c r="BF99" s="362"/>
    </row>
    <row r="100" spans="8:58" x14ac:dyDescent="0.4">
      <c r="H100" s="152"/>
      <c r="I100" s="152"/>
      <c r="J100" s="152"/>
      <c r="K100" s="152"/>
      <c r="L100" s="152"/>
      <c r="M100" s="152"/>
      <c r="N100" s="152"/>
      <c r="O100" s="152"/>
      <c r="P100" s="152"/>
      <c r="Q100" s="152"/>
      <c r="R100" s="152"/>
      <c r="S100" s="152"/>
      <c r="T100" s="152"/>
      <c r="U100" s="152"/>
      <c r="V100" s="152"/>
      <c r="W100" s="152"/>
      <c r="X100" s="152"/>
      <c r="Y100" s="152"/>
      <c r="Z100" s="152"/>
      <c r="AA100" s="152"/>
      <c r="AB100" s="360"/>
      <c r="AC100" s="361"/>
      <c r="AD100" s="390"/>
      <c r="AE100" s="390"/>
      <c r="AF100" s="390"/>
      <c r="AG100" s="390"/>
      <c r="AH100" s="152"/>
      <c r="AI100" s="152"/>
      <c r="AJ100" s="362"/>
      <c r="AK100" s="362"/>
      <c r="AL100" s="362"/>
      <c r="AM100" s="362"/>
      <c r="AN100" s="362"/>
      <c r="AO100" s="362"/>
      <c r="AP100" s="362"/>
      <c r="AQ100" s="362"/>
      <c r="AR100" s="362"/>
      <c r="AS100" s="362"/>
      <c r="AT100" s="362"/>
      <c r="AU100" s="362"/>
      <c r="AV100" s="362"/>
      <c r="AW100" s="362"/>
      <c r="AX100" s="362"/>
      <c r="AY100" s="362"/>
      <c r="AZ100" s="362"/>
      <c r="BA100" s="362"/>
      <c r="BB100" s="362"/>
      <c r="BC100" s="362"/>
      <c r="BD100" s="362"/>
      <c r="BE100" s="362"/>
      <c r="BF100" s="362"/>
    </row>
    <row r="101" spans="8:58" x14ac:dyDescent="0.4">
      <c r="H101" s="152"/>
      <c r="I101" s="152"/>
      <c r="J101" s="152"/>
      <c r="K101" s="152"/>
      <c r="L101" s="152"/>
      <c r="M101" s="152"/>
      <c r="N101" s="152"/>
      <c r="O101" s="152"/>
      <c r="P101" s="152"/>
      <c r="Q101" s="152"/>
      <c r="R101" s="152"/>
      <c r="S101" s="152"/>
      <c r="T101" s="152"/>
      <c r="U101" s="152"/>
      <c r="V101" s="152"/>
      <c r="W101" s="152"/>
      <c r="X101" s="152"/>
      <c r="Y101" s="152"/>
      <c r="Z101" s="152"/>
      <c r="AA101" s="152"/>
      <c r="AB101" s="254" t="s">
        <v>445</v>
      </c>
      <c r="AC101" s="255"/>
      <c r="AD101" s="454" t="s">
        <v>728</v>
      </c>
      <c r="AE101" s="327"/>
      <c r="AF101" s="327"/>
      <c r="AG101" s="327"/>
      <c r="AH101" s="152" t="s">
        <v>458</v>
      </c>
      <c r="AI101" s="152"/>
      <c r="AJ101" s="362" t="s">
        <v>747</v>
      </c>
      <c r="AK101" s="362"/>
      <c r="AL101" s="362"/>
      <c r="AM101" s="362"/>
      <c r="AN101" s="362"/>
      <c r="AO101" s="362"/>
      <c r="AP101" s="362"/>
      <c r="AQ101" s="362"/>
      <c r="AR101" s="362"/>
      <c r="AS101" s="362"/>
      <c r="AT101" s="362"/>
      <c r="AU101" s="362"/>
      <c r="AV101" s="362"/>
      <c r="AW101" s="362"/>
      <c r="AX101" s="362"/>
      <c r="AY101" s="362"/>
      <c r="AZ101" s="362"/>
      <c r="BA101" s="362"/>
      <c r="BB101" s="362"/>
      <c r="BC101" s="362"/>
      <c r="BD101" s="362"/>
      <c r="BE101" s="362"/>
      <c r="BF101" s="362"/>
    </row>
    <row r="102" spans="8:58" x14ac:dyDescent="0.4">
      <c r="H102" s="152"/>
      <c r="I102" s="152"/>
      <c r="J102" s="152"/>
      <c r="K102" s="152"/>
      <c r="L102" s="152"/>
      <c r="M102" s="152"/>
      <c r="N102" s="152"/>
      <c r="O102" s="152"/>
      <c r="P102" s="152"/>
      <c r="Q102" s="152"/>
      <c r="R102" s="152"/>
      <c r="S102" s="152"/>
      <c r="T102" s="152"/>
      <c r="U102" s="152"/>
      <c r="V102" s="152"/>
      <c r="W102" s="152"/>
      <c r="X102" s="152"/>
      <c r="Y102" s="152"/>
      <c r="Z102" s="152"/>
      <c r="AA102" s="152"/>
      <c r="AB102" s="256"/>
      <c r="AC102" s="257"/>
      <c r="AD102" s="454"/>
      <c r="AE102" s="327"/>
      <c r="AF102" s="327"/>
      <c r="AG102" s="327"/>
      <c r="AH102" s="152"/>
      <c r="AI102" s="152"/>
      <c r="AJ102" s="362"/>
      <c r="AK102" s="362"/>
      <c r="AL102" s="362"/>
      <c r="AM102" s="362"/>
      <c r="AN102" s="362"/>
      <c r="AO102" s="362"/>
      <c r="AP102" s="362"/>
      <c r="AQ102" s="362"/>
      <c r="AR102" s="362"/>
      <c r="AS102" s="362"/>
      <c r="AT102" s="362"/>
      <c r="AU102" s="362"/>
      <c r="AV102" s="362"/>
      <c r="AW102" s="362"/>
      <c r="AX102" s="362"/>
      <c r="AY102" s="362"/>
      <c r="AZ102" s="362"/>
      <c r="BA102" s="362"/>
      <c r="BB102" s="362"/>
      <c r="BC102" s="362"/>
      <c r="BD102" s="362"/>
      <c r="BE102" s="362"/>
      <c r="BF102" s="362"/>
    </row>
    <row r="103" spans="8:58" x14ac:dyDescent="0.4">
      <c r="H103" s="152"/>
      <c r="I103" s="152"/>
      <c r="J103" s="152"/>
      <c r="K103" s="152"/>
      <c r="L103" s="152"/>
      <c r="M103" s="152"/>
      <c r="N103" s="152"/>
      <c r="O103" s="152"/>
      <c r="P103" s="152"/>
      <c r="Q103" s="152"/>
      <c r="R103" s="152"/>
      <c r="S103" s="152"/>
      <c r="T103" s="152"/>
      <c r="U103" s="152"/>
      <c r="V103" s="152"/>
      <c r="W103" s="152"/>
      <c r="X103" s="152"/>
      <c r="Y103" s="152"/>
      <c r="Z103" s="152"/>
      <c r="AA103" s="152"/>
      <c r="AB103" s="360"/>
      <c r="AC103" s="361"/>
      <c r="AD103" s="327"/>
      <c r="AE103" s="327"/>
      <c r="AF103" s="327"/>
      <c r="AG103" s="327"/>
      <c r="AH103" s="152"/>
      <c r="AI103" s="152"/>
      <c r="AJ103" s="362"/>
      <c r="AK103" s="362"/>
      <c r="AL103" s="362"/>
      <c r="AM103" s="362"/>
      <c r="AN103" s="362"/>
      <c r="AO103" s="362"/>
      <c r="AP103" s="362"/>
      <c r="AQ103" s="362"/>
      <c r="AR103" s="362"/>
      <c r="AS103" s="362"/>
      <c r="AT103" s="362"/>
      <c r="AU103" s="362"/>
      <c r="AV103" s="362"/>
      <c r="AW103" s="362"/>
      <c r="AX103" s="362"/>
      <c r="AY103" s="362"/>
      <c r="AZ103" s="362"/>
      <c r="BA103" s="362"/>
      <c r="BB103" s="362"/>
      <c r="BC103" s="362"/>
      <c r="BD103" s="362"/>
      <c r="BE103" s="362"/>
      <c r="BF103" s="362"/>
    </row>
    <row r="104" spans="8:58" x14ac:dyDescent="0.4">
      <c r="H104" s="152"/>
      <c r="I104" s="152"/>
      <c r="J104" s="152"/>
      <c r="K104" s="152"/>
      <c r="L104" s="152"/>
      <c r="M104" s="152"/>
      <c r="N104" s="152"/>
      <c r="O104" s="152"/>
      <c r="P104" s="152"/>
      <c r="Q104" s="152"/>
      <c r="R104" s="152"/>
      <c r="S104" s="152"/>
      <c r="T104" s="152"/>
      <c r="U104" s="152"/>
      <c r="V104" s="152"/>
      <c r="W104" s="152"/>
      <c r="X104" s="152"/>
      <c r="Y104" s="152"/>
      <c r="Z104" s="152"/>
      <c r="AA104" s="152"/>
      <c r="AB104" s="366" t="s">
        <v>462</v>
      </c>
      <c r="AC104" s="351"/>
      <c r="AD104" s="366" t="s">
        <v>259</v>
      </c>
      <c r="AE104" s="350"/>
      <c r="AF104" s="350"/>
      <c r="AG104" s="351"/>
      <c r="AH104" s="355" t="s">
        <v>259</v>
      </c>
      <c r="AI104" s="356"/>
      <c r="AJ104" s="357" t="s">
        <v>258</v>
      </c>
      <c r="AK104" s="358"/>
      <c r="AL104" s="358"/>
      <c r="AM104" s="358"/>
      <c r="AN104" s="358"/>
      <c r="AO104" s="358"/>
      <c r="AP104" s="358"/>
      <c r="AQ104" s="358"/>
      <c r="AR104" s="358"/>
      <c r="AS104" s="358"/>
      <c r="AT104" s="358"/>
      <c r="AU104" s="358"/>
      <c r="AV104" s="358"/>
      <c r="AW104" s="358"/>
      <c r="AX104" s="358"/>
      <c r="AY104" s="358"/>
      <c r="AZ104" s="358"/>
      <c r="BA104" s="358"/>
      <c r="BB104" s="358"/>
      <c r="BC104" s="358"/>
      <c r="BD104" s="358"/>
      <c r="BE104" s="358"/>
      <c r="BF104" s="359"/>
    </row>
    <row r="105" spans="8:58" x14ac:dyDescent="0.4">
      <c r="H105" s="385" t="s">
        <v>748</v>
      </c>
      <c r="I105" s="452"/>
      <c r="J105" s="452"/>
      <c r="K105" s="452"/>
      <c r="L105" s="452"/>
      <c r="M105" s="452"/>
      <c r="N105" s="452"/>
      <c r="O105" s="452"/>
      <c r="P105" s="452"/>
      <c r="Q105" s="452"/>
      <c r="R105" s="452"/>
      <c r="S105" s="452"/>
      <c r="T105" s="452"/>
      <c r="U105" s="452"/>
      <c r="V105" s="452"/>
      <c r="W105" s="452"/>
      <c r="X105" s="452"/>
      <c r="Y105" s="452"/>
      <c r="Z105" s="452"/>
      <c r="AA105" s="452"/>
      <c r="AB105" s="452"/>
      <c r="AC105" s="452"/>
      <c r="AD105" s="452"/>
      <c r="AE105" s="452"/>
      <c r="AF105" s="452"/>
      <c r="AG105" s="452"/>
      <c r="AH105" s="452"/>
      <c r="AI105" s="452"/>
      <c r="AJ105" s="452"/>
      <c r="AK105" s="452"/>
      <c r="AL105" s="452"/>
      <c r="AM105" s="452"/>
      <c r="AN105" s="452"/>
      <c r="AO105" s="452"/>
      <c r="AP105" s="452"/>
      <c r="AQ105" s="452"/>
      <c r="AR105" s="452"/>
      <c r="AS105" s="452"/>
      <c r="AT105" s="452"/>
      <c r="AU105" s="452"/>
      <c r="AV105" s="452"/>
      <c r="AW105" s="452"/>
      <c r="AX105" s="452"/>
      <c r="AY105" s="452"/>
      <c r="AZ105" s="452"/>
      <c r="BA105" s="452"/>
      <c r="BB105" s="452"/>
      <c r="BC105" s="452"/>
      <c r="BD105" s="452"/>
      <c r="BE105" s="452"/>
      <c r="BF105" s="386"/>
    </row>
    <row r="108" spans="8:58" x14ac:dyDescent="0.4">
      <c r="H108" s="453" t="s">
        <v>619</v>
      </c>
      <c r="I108" s="453"/>
      <c r="J108" s="453"/>
      <c r="K108" s="453"/>
      <c r="L108" s="453"/>
      <c r="M108" s="453"/>
      <c r="N108" s="453"/>
      <c r="O108" s="453"/>
      <c r="P108" s="453"/>
      <c r="Q108" s="453"/>
      <c r="R108" s="453"/>
      <c r="S108" s="453"/>
      <c r="T108" s="453"/>
      <c r="U108" s="453"/>
      <c r="V108" s="453"/>
      <c r="W108" s="453"/>
      <c r="X108" s="453"/>
      <c r="Y108" s="453"/>
      <c r="Z108" s="453"/>
      <c r="AA108" s="453"/>
      <c r="AB108" s="453"/>
      <c r="AC108" s="453"/>
      <c r="AD108" s="453"/>
      <c r="AE108" s="453"/>
      <c r="AF108" s="453"/>
      <c r="AG108" s="453"/>
      <c r="AH108" s="453"/>
      <c r="AI108" s="453"/>
      <c r="AJ108" s="453"/>
      <c r="AK108" s="453"/>
      <c r="AL108" s="453"/>
      <c r="AM108" s="453"/>
      <c r="AN108" s="453"/>
      <c r="AO108" s="453"/>
      <c r="AP108" s="453"/>
      <c r="AQ108" s="453"/>
      <c r="AR108" s="453"/>
      <c r="AS108" s="453"/>
      <c r="AT108" s="453"/>
      <c r="AU108" s="453"/>
      <c r="AV108" s="453"/>
      <c r="AW108" s="453"/>
      <c r="AX108" s="453"/>
      <c r="AY108" s="453"/>
      <c r="AZ108" s="453"/>
      <c r="BA108" s="453"/>
      <c r="BB108" s="453"/>
      <c r="BC108" s="453"/>
      <c r="BD108" s="453"/>
      <c r="BE108" s="453"/>
      <c r="BF108" s="453"/>
    </row>
    <row r="109" spans="8:58" x14ac:dyDescent="0.4">
      <c r="H109" s="336" t="s">
        <v>433</v>
      </c>
      <c r="I109" s="336"/>
      <c r="J109" s="336"/>
      <c r="K109" s="336"/>
      <c r="L109" s="336"/>
      <c r="M109" s="336"/>
      <c r="N109" s="336"/>
      <c r="O109" s="336"/>
      <c r="P109" s="336"/>
      <c r="Q109" s="336"/>
      <c r="R109" s="336" t="s">
        <v>1</v>
      </c>
      <c r="S109" s="336"/>
      <c r="T109" s="336"/>
      <c r="U109" s="336"/>
      <c r="V109" s="336"/>
      <c r="W109" s="336"/>
      <c r="X109" s="336"/>
      <c r="Y109" s="336"/>
      <c r="Z109" s="336"/>
      <c r="AA109" s="336"/>
      <c r="AB109" s="337" t="s">
        <v>434</v>
      </c>
      <c r="AC109" s="338"/>
      <c r="AD109" s="337" t="s">
        <v>435</v>
      </c>
      <c r="AE109" s="339"/>
      <c r="AF109" s="339"/>
      <c r="AG109" s="338"/>
      <c r="AH109" s="340" t="s">
        <v>436</v>
      </c>
      <c r="AI109" s="340"/>
      <c r="AJ109" s="336" t="s">
        <v>437</v>
      </c>
      <c r="AK109" s="336"/>
      <c r="AL109" s="336"/>
      <c r="AM109" s="336"/>
      <c r="AN109" s="336"/>
      <c r="AO109" s="336"/>
      <c r="AP109" s="336"/>
      <c r="AQ109" s="336"/>
      <c r="AR109" s="336"/>
      <c r="AS109" s="336"/>
      <c r="AT109" s="336"/>
      <c r="AU109" s="336"/>
      <c r="AV109" s="336"/>
      <c r="AW109" s="336"/>
      <c r="AX109" s="336"/>
      <c r="AY109" s="336"/>
      <c r="AZ109" s="336"/>
      <c r="BA109" s="336"/>
      <c r="BB109" s="336"/>
      <c r="BC109" s="336"/>
      <c r="BD109" s="336"/>
      <c r="BE109" s="336"/>
      <c r="BF109" s="336"/>
    </row>
    <row r="110" spans="8:58" x14ac:dyDescent="0.4">
      <c r="H110" s="345" t="s">
        <v>749</v>
      </c>
      <c r="I110" s="345"/>
      <c r="J110" s="345"/>
      <c r="K110" s="345"/>
      <c r="L110" s="345"/>
      <c r="M110" s="345"/>
      <c r="N110" s="345"/>
      <c r="O110" s="345"/>
      <c r="P110" s="345"/>
      <c r="Q110" s="345"/>
      <c r="R110" s="345" t="s">
        <v>750</v>
      </c>
      <c r="S110" s="345"/>
      <c r="T110" s="345"/>
      <c r="U110" s="345"/>
      <c r="V110" s="345"/>
      <c r="W110" s="345"/>
      <c r="X110" s="345"/>
      <c r="Y110" s="345"/>
      <c r="Z110" s="345"/>
      <c r="AA110" s="345"/>
      <c r="AB110" s="347" t="s">
        <v>463</v>
      </c>
      <c r="AC110" s="347"/>
      <c r="AD110" s="451" t="s">
        <v>751</v>
      </c>
      <c r="AE110" s="451"/>
      <c r="AF110" s="451"/>
      <c r="AG110" s="451"/>
      <c r="AH110" s="348" t="s">
        <v>442</v>
      </c>
      <c r="AI110" s="348"/>
      <c r="AJ110" s="349" t="s">
        <v>752</v>
      </c>
      <c r="AK110" s="349"/>
      <c r="AL110" s="349"/>
      <c r="AM110" s="349"/>
      <c r="AN110" s="349"/>
      <c r="AO110" s="349"/>
      <c r="AP110" s="349"/>
      <c r="AQ110" s="349"/>
      <c r="AR110" s="349"/>
      <c r="AS110" s="349"/>
      <c r="AT110" s="349"/>
      <c r="AU110" s="349"/>
      <c r="AV110" s="349"/>
      <c r="AW110" s="349"/>
      <c r="AX110" s="349"/>
      <c r="AY110" s="349"/>
      <c r="AZ110" s="349"/>
      <c r="BA110" s="349"/>
      <c r="BB110" s="349"/>
      <c r="BC110" s="349"/>
      <c r="BD110" s="349"/>
      <c r="BE110" s="349"/>
      <c r="BF110" s="349"/>
    </row>
    <row r="111" spans="8:58" ht="18.75" customHeight="1" x14ac:dyDescent="0.4">
      <c r="H111" s="345"/>
      <c r="I111" s="345"/>
      <c r="J111" s="345"/>
      <c r="K111" s="345"/>
      <c r="L111" s="345"/>
      <c r="M111" s="345"/>
      <c r="N111" s="345"/>
      <c r="O111" s="345"/>
      <c r="P111" s="345"/>
      <c r="Q111" s="345"/>
      <c r="R111" s="345"/>
      <c r="S111" s="345"/>
      <c r="T111" s="345"/>
      <c r="U111" s="345"/>
      <c r="V111" s="345"/>
      <c r="W111" s="345"/>
      <c r="X111" s="345"/>
      <c r="Y111" s="345"/>
      <c r="Z111" s="345"/>
      <c r="AA111" s="345"/>
      <c r="AB111" s="347"/>
      <c r="AC111" s="347"/>
      <c r="AD111" s="451"/>
      <c r="AE111" s="451"/>
      <c r="AF111" s="451"/>
      <c r="AG111" s="451"/>
      <c r="AH111" s="348"/>
      <c r="AI111" s="348"/>
      <c r="AJ111" s="349"/>
      <c r="AK111" s="349"/>
      <c r="AL111" s="349"/>
      <c r="AM111" s="349"/>
      <c r="AN111" s="349"/>
      <c r="AO111" s="349"/>
      <c r="AP111" s="349"/>
      <c r="AQ111" s="349"/>
      <c r="AR111" s="349"/>
      <c r="AS111" s="349"/>
      <c r="AT111" s="349"/>
      <c r="AU111" s="349"/>
      <c r="AV111" s="349"/>
      <c r="AW111" s="349"/>
      <c r="AX111" s="349"/>
      <c r="AY111" s="349"/>
      <c r="AZ111" s="349"/>
      <c r="BA111" s="349"/>
      <c r="BB111" s="349"/>
      <c r="BC111" s="349"/>
      <c r="BD111" s="349"/>
      <c r="BE111" s="349"/>
      <c r="BF111" s="349"/>
    </row>
    <row r="112" spans="8:58" ht="18.75" customHeight="1" x14ac:dyDescent="0.4">
      <c r="H112" s="345" t="s">
        <v>753</v>
      </c>
      <c r="I112" s="345"/>
      <c r="J112" s="345"/>
      <c r="K112" s="345"/>
      <c r="L112" s="345"/>
      <c r="M112" s="345"/>
      <c r="N112" s="345"/>
      <c r="O112" s="345"/>
      <c r="P112" s="345"/>
      <c r="Q112" s="345"/>
      <c r="R112" s="348" t="s">
        <v>754</v>
      </c>
      <c r="S112" s="348"/>
      <c r="T112" s="348"/>
      <c r="U112" s="348"/>
      <c r="V112" s="348"/>
      <c r="W112" s="348"/>
      <c r="X112" s="348"/>
      <c r="Y112" s="348"/>
      <c r="Z112" s="348"/>
      <c r="AA112" s="348"/>
      <c r="AB112" s="347" t="s">
        <v>463</v>
      </c>
      <c r="AC112" s="347"/>
      <c r="AD112" s="367" t="s">
        <v>755</v>
      </c>
      <c r="AE112" s="367"/>
      <c r="AF112" s="367"/>
      <c r="AG112" s="367"/>
      <c r="AH112" s="348" t="s">
        <v>442</v>
      </c>
      <c r="AI112" s="348"/>
      <c r="AJ112" s="349" t="s">
        <v>756</v>
      </c>
      <c r="AK112" s="368"/>
      <c r="AL112" s="368"/>
      <c r="AM112" s="368"/>
      <c r="AN112" s="368"/>
      <c r="AO112" s="368"/>
      <c r="AP112" s="368"/>
      <c r="AQ112" s="368"/>
      <c r="AR112" s="368"/>
      <c r="AS112" s="368"/>
      <c r="AT112" s="368"/>
      <c r="AU112" s="368"/>
      <c r="AV112" s="368"/>
      <c r="AW112" s="368"/>
      <c r="AX112" s="368"/>
      <c r="AY112" s="368"/>
      <c r="AZ112" s="368"/>
      <c r="BA112" s="368"/>
      <c r="BB112" s="368"/>
      <c r="BC112" s="368"/>
      <c r="BD112" s="368"/>
      <c r="BE112" s="368"/>
      <c r="BF112" s="368"/>
    </row>
    <row r="113" spans="8:61" ht="18.75" customHeight="1" x14ac:dyDescent="0.4">
      <c r="H113" s="345"/>
      <c r="I113" s="345"/>
      <c r="J113" s="345"/>
      <c r="K113" s="345"/>
      <c r="L113" s="345"/>
      <c r="M113" s="345"/>
      <c r="N113" s="345"/>
      <c r="O113" s="345"/>
      <c r="P113" s="345"/>
      <c r="Q113" s="345"/>
      <c r="R113" s="348"/>
      <c r="S113" s="348"/>
      <c r="T113" s="348"/>
      <c r="U113" s="348"/>
      <c r="V113" s="348"/>
      <c r="W113" s="348"/>
      <c r="X113" s="348"/>
      <c r="Y113" s="348"/>
      <c r="Z113" s="348"/>
      <c r="AA113" s="348"/>
      <c r="AB113" s="347"/>
      <c r="AC113" s="347"/>
      <c r="AD113" s="367"/>
      <c r="AE113" s="367"/>
      <c r="AF113" s="367"/>
      <c r="AG113" s="367"/>
      <c r="AH113" s="348"/>
      <c r="AI113" s="348"/>
      <c r="AJ113" s="368"/>
      <c r="AK113" s="368"/>
      <c r="AL113" s="368"/>
      <c r="AM113" s="368"/>
      <c r="AN113" s="368"/>
      <c r="AO113" s="368"/>
      <c r="AP113" s="368"/>
      <c r="AQ113" s="368"/>
      <c r="AR113" s="368"/>
      <c r="AS113" s="368"/>
      <c r="AT113" s="368"/>
      <c r="AU113" s="368"/>
      <c r="AV113" s="368"/>
      <c r="AW113" s="368"/>
      <c r="AX113" s="368"/>
      <c r="AY113" s="368"/>
      <c r="AZ113" s="368"/>
      <c r="BA113" s="368"/>
      <c r="BB113" s="368"/>
      <c r="BC113" s="368"/>
      <c r="BD113" s="368"/>
      <c r="BE113" s="368"/>
      <c r="BF113" s="368"/>
    </row>
    <row r="114" spans="8:61" ht="18.75" customHeight="1" x14ac:dyDescent="0.4">
      <c r="H114" s="345" t="s">
        <v>757</v>
      </c>
      <c r="I114" s="345"/>
      <c r="J114" s="345"/>
      <c r="K114" s="345"/>
      <c r="L114" s="345"/>
      <c r="M114" s="345"/>
      <c r="N114" s="345"/>
      <c r="O114" s="345"/>
      <c r="P114" s="345"/>
      <c r="Q114" s="345"/>
      <c r="R114" s="348" t="s">
        <v>758</v>
      </c>
      <c r="S114" s="348"/>
      <c r="T114" s="348"/>
      <c r="U114" s="348"/>
      <c r="V114" s="348"/>
      <c r="W114" s="348"/>
      <c r="X114" s="348"/>
      <c r="Y114" s="348"/>
      <c r="Z114" s="348"/>
      <c r="AA114" s="348"/>
      <c r="AB114" s="347" t="s">
        <v>463</v>
      </c>
      <c r="AC114" s="347"/>
      <c r="AD114" s="347" t="s">
        <v>759</v>
      </c>
      <c r="AE114" s="347"/>
      <c r="AF114" s="347"/>
      <c r="AG114" s="347"/>
      <c r="AH114" s="348" t="s">
        <v>442</v>
      </c>
      <c r="AI114" s="348"/>
      <c r="AJ114" s="349" t="s">
        <v>760</v>
      </c>
      <c r="AK114" s="349"/>
      <c r="AL114" s="349"/>
      <c r="AM114" s="349"/>
      <c r="AN114" s="349"/>
      <c r="AO114" s="349"/>
      <c r="AP114" s="349"/>
      <c r="AQ114" s="349"/>
      <c r="AR114" s="349"/>
      <c r="AS114" s="349"/>
      <c r="AT114" s="349"/>
      <c r="AU114" s="349"/>
      <c r="AV114" s="349"/>
      <c r="AW114" s="349"/>
      <c r="AX114" s="349"/>
      <c r="AY114" s="349"/>
      <c r="AZ114" s="349"/>
      <c r="BA114" s="349"/>
      <c r="BB114" s="349"/>
      <c r="BC114" s="349"/>
      <c r="BD114" s="349"/>
      <c r="BE114" s="349"/>
      <c r="BF114" s="349"/>
    </row>
    <row r="115" spans="8:61" ht="18.75" customHeight="1" x14ac:dyDescent="0.4">
      <c r="H115" s="345"/>
      <c r="I115" s="345"/>
      <c r="J115" s="345"/>
      <c r="K115" s="345"/>
      <c r="L115" s="345"/>
      <c r="M115" s="345"/>
      <c r="N115" s="345"/>
      <c r="O115" s="345"/>
      <c r="P115" s="345"/>
      <c r="Q115" s="345"/>
      <c r="R115" s="348"/>
      <c r="S115" s="348"/>
      <c r="T115" s="348"/>
      <c r="U115" s="348"/>
      <c r="V115" s="348"/>
      <c r="W115" s="348"/>
      <c r="X115" s="348"/>
      <c r="Y115" s="348"/>
      <c r="Z115" s="348"/>
      <c r="AA115" s="348"/>
      <c r="AB115" s="347"/>
      <c r="AC115" s="347"/>
      <c r="AD115" s="347"/>
      <c r="AE115" s="347"/>
      <c r="AF115" s="347"/>
      <c r="AG115" s="347"/>
      <c r="AH115" s="348"/>
      <c r="AI115" s="348"/>
      <c r="AJ115" s="349"/>
      <c r="AK115" s="349"/>
      <c r="AL115" s="349"/>
      <c r="AM115" s="349"/>
      <c r="AN115" s="349"/>
      <c r="AO115" s="349"/>
      <c r="AP115" s="349"/>
      <c r="AQ115" s="349"/>
      <c r="AR115" s="349"/>
      <c r="AS115" s="349"/>
      <c r="AT115" s="349"/>
      <c r="AU115" s="349"/>
      <c r="AV115" s="349"/>
      <c r="AW115" s="349"/>
      <c r="AX115" s="349"/>
      <c r="AY115" s="349"/>
      <c r="AZ115" s="349"/>
      <c r="BA115" s="349"/>
      <c r="BB115" s="349"/>
      <c r="BC115" s="349"/>
      <c r="BD115" s="349"/>
      <c r="BE115" s="349"/>
      <c r="BF115" s="349"/>
    </row>
    <row r="116" spans="8:61" ht="18.75" customHeight="1" x14ac:dyDescent="0.4">
      <c r="H116" s="345" t="s">
        <v>761</v>
      </c>
      <c r="I116" s="345"/>
      <c r="J116" s="345"/>
      <c r="K116" s="345"/>
      <c r="L116" s="345"/>
      <c r="M116" s="345"/>
      <c r="N116" s="345"/>
      <c r="O116" s="345"/>
      <c r="P116" s="345"/>
      <c r="Q116" s="345"/>
      <c r="R116" s="348" t="s">
        <v>762</v>
      </c>
      <c r="S116" s="348"/>
      <c r="T116" s="348"/>
      <c r="U116" s="348"/>
      <c r="V116" s="348"/>
      <c r="W116" s="348"/>
      <c r="X116" s="348"/>
      <c r="Y116" s="348"/>
      <c r="Z116" s="348"/>
      <c r="AA116" s="348"/>
      <c r="AB116" s="347" t="s">
        <v>463</v>
      </c>
      <c r="AC116" s="347"/>
      <c r="AD116" s="370" t="s">
        <v>763</v>
      </c>
      <c r="AE116" s="370"/>
      <c r="AF116" s="370"/>
      <c r="AG116" s="370"/>
      <c r="AH116" s="348" t="s">
        <v>442</v>
      </c>
      <c r="AI116" s="348"/>
      <c r="AJ116" s="349" t="s">
        <v>790</v>
      </c>
      <c r="AK116" s="349"/>
      <c r="AL116" s="349"/>
      <c r="AM116" s="349"/>
      <c r="AN116" s="349"/>
      <c r="AO116" s="349"/>
      <c r="AP116" s="349"/>
      <c r="AQ116" s="349"/>
      <c r="AR116" s="349"/>
      <c r="AS116" s="349"/>
      <c r="AT116" s="349"/>
      <c r="AU116" s="349"/>
      <c r="AV116" s="349"/>
      <c r="AW116" s="349"/>
      <c r="AX116" s="349"/>
      <c r="AY116" s="349"/>
      <c r="AZ116" s="349"/>
      <c r="BA116" s="349"/>
      <c r="BB116" s="349"/>
      <c r="BC116" s="349"/>
      <c r="BD116" s="349"/>
      <c r="BE116" s="349"/>
      <c r="BF116" s="349"/>
      <c r="BG116" s="38"/>
      <c r="BH116" s="38"/>
      <c r="BI116" s="38"/>
    </row>
    <row r="117" spans="8:61" ht="18.75" customHeight="1" x14ac:dyDescent="0.4">
      <c r="H117" s="345"/>
      <c r="I117" s="345"/>
      <c r="J117" s="345"/>
      <c r="K117" s="345"/>
      <c r="L117" s="345"/>
      <c r="M117" s="345"/>
      <c r="N117" s="345"/>
      <c r="O117" s="345"/>
      <c r="P117" s="345"/>
      <c r="Q117" s="345"/>
      <c r="R117" s="348"/>
      <c r="S117" s="348"/>
      <c r="T117" s="348"/>
      <c r="U117" s="348"/>
      <c r="V117" s="348"/>
      <c r="W117" s="348"/>
      <c r="X117" s="348"/>
      <c r="Y117" s="348"/>
      <c r="Z117" s="348"/>
      <c r="AA117" s="348"/>
      <c r="AB117" s="347"/>
      <c r="AC117" s="347"/>
      <c r="AD117" s="370"/>
      <c r="AE117" s="370"/>
      <c r="AF117" s="370"/>
      <c r="AG117" s="370"/>
      <c r="AH117" s="348"/>
      <c r="AI117" s="348"/>
      <c r="AJ117" s="349"/>
      <c r="AK117" s="349"/>
      <c r="AL117" s="349"/>
      <c r="AM117" s="349"/>
      <c r="AN117" s="349"/>
      <c r="AO117" s="349"/>
      <c r="AP117" s="349"/>
      <c r="AQ117" s="349"/>
      <c r="AR117" s="349"/>
      <c r="AS117" s="349"/>
      <c r="AT117" s="349"/>
      <c r="AU117" s="349"/>
      <c r="AV117" s="349"/>
      <c r="AW117" s="349"/>
      <c r="AX117" s="349"/>
      <c r="AY117" s="349"/>
      <c r="AZ117" s="349"/>
      <c r="BA117" s="349"/>
      <c r="BB117" s="349"/>
      <c r="BC117" s="349"/>
      <c r="BD117" s="349"/>
      <c r="BE117" s="349"/>
      <c r="BF117" s="349"/>
      <c r="BG117" s="38"/>
      <c r="BH117" s="38"/>
      <c r="BI117" s="38"/>
    </row>
    <row r="118" spans="8:61" ht="18.75" customHeight="1" x14ac:dyDescent="0.4">
      <c r="H118" s="345"/>
      <c r="I118" s="345"/>
      <c r="J118" s="345"/>
      <c r="K118" s="345"/>
      <c r="L118" s="345"/>
      <c r="M118" s="345"/>
      <c r="N118" s="345"/>
      <c r="O118" s="345"/>
      <c r="P118" s="345"/>
      <c r="Q118" s="345"/>
      <c r="R118" s="348"/>
      <c r="S118" s="348"/>
      <c r="T118" s="348"/>
      <c r="U118" s="348"/>
      <c r="V118" s="348"/>
      <c r="W118" s="348"/>
      <c r="X118" s="348"/>
      <c r="Y118" s="348"/>
      <c r="Z118" s="348"/>
      <c r="AA118" s="348"/>
      <c r="AB118" s="347"/>
      <c r="AC118" s="347"/>
      <c r="AD118" s="370"/>
      <c r="AE118" s="370"/>
      <c r="AF118" s="370"/>
      <c r="AG118" s="370"/>
      <c r="AH118" s="348"/>
      <c r="AI118" s="348"/>
      <c r="AJ118" s="349"/>
      <c r="AK118" s="349"/>
      <c r="AL118" s="349"/>
      <c r="AM118" s="349"/>
      <c r="AN118" s="349"/>
      <c r="AO118" s="349"/>
      <c r="AP118" s="349"/>
      <c r="AQ118" s="349"/>
      <c r="AR118" s="349"/>
      <c r="AS118" s="349"/>
      <c r="AT118" s="349"/>
      <c r="AU118" s="349"/>
      <c r="AV118" s="349"/>
      <c r="AW118" s="349"/>
      <c r="AX118" s="349"/>
      <c r="AY118" s="349"/>
      <c r="AZ118" s="349"/>
      <c r="BA118" s="349"/>
      <c r="BB118" s="349"/>
      <c r="BC118" s="349"/>
      <c r="BD118" s="349"/>
      <c r="BE118" s="349"/>
      <c r="BF118" s="349"/>
      <c r="BG118" s="38"/>
      <c r="BH118" s="38"/>
      <c r="BI118" s="38"/>
    </row>
    <row r="119" spans="8:61" x14ac:dyDescent="0.4">
      <c r="H119" s="345"/>
      <c r="I119" s="345"/>
      <c r="J119" s="345"/>
      <c r="K119" s="345"/>
      <c r="L119" s="345"/>
      <c r="M119" s="345"/>
      <c r="N119" s="345"/>
      <c r="O119" s="345"/>
      <c r="P119" s="345"/>
      <c r="Q119" s="345"/>
      <c r="R119" s="348"/>
      <c r="S119" s="348"/>
      <c r="T119" s="348"/>
      <c r="U119" s="348"/>
      <c r="V119" s="348"/>
      <c r="W119" s="348"/>
      <c r="X119" s="348"/>
      <c r="Y119" s="348"/>
      <c r="Z119" s="348"/>
      <c r="AA119" s="348"/>
      <c r="AB119" s="347"/>
      <c r="AC119" s="347"/>
      <c r="AD119" s="370"/>
      <c r="AE119" s="370"/>
      <c r="AF119" s="370"/>
      <c r="AG119" s="370"/>
      <c r="AH119" s="348"/>
      <c r="AI119" s="348"/>
      <c r="AJ119" s="349"/>
      <c r="AK119" s="349"/>
      <c r="AL119" s="349"/>
      <c r="AM119" s="349"/>
      <c r="AN119" s="349"/>
      <c r="AO119" s="349"/>
      <c r="AP119" s="349"/>
      <c r="AQ119" s="349"/>
      <c r="AR119" s="349"/>
      <c r="AS119" s="349"/>
      <c r="AT119" s="349"/>
      <c r="AU119" s="349"/>
      <c r="AV119" s="349"/>
      <c r="AW119" s="349"/>
      <c r="AX119" s="349"/>
      <c r="AY119" s="349"/>
      <c r="AZ119" s="349"/>
      <c r="BA119" s="349"/>
      <c r="BB119" s="349"/>
      <c r="BC119" s="349"/>
      <c r="BD119" s="349"/>
      <c r="BE119" s="349"/>
      <c r="BF119" s="349"/>
      <c r="BG119" s="38"/>
      <c r="BH119" s="38"/>
      <c r="BI119" s="38"/>
    </row>
    <row r="120" spans="8:61" x14ac:dyDescent="0.4">
      <c r="H120" s="330" t="s">
        <v>764</v>
      </c>
      <c r="I120" s="331"/>
      <c r="J120" s="331"/>
      <c r="K120" s="331"/>
      <c r="L120" s="331"/>
      <c r="M120" s="331"/>
      <c r="N120" s="331"/>
      <c r="O120" s="331"/>
      <c r="P120" s="331"/>
      <c r="Q120" s="331"/>
      <c r="R120" s="331"/>
      <c r="S120" s="331"/>
      <c r="T120" s="331"/>
      <c r="U120" s="331"/>
      <c r="V120" s="331"/>
      <c r="W120" s="331"/>
      <c r="X120" s="331"/>
      <c r="Y120" s="331"/>
      <c r="Z120" s="331"/>
      <c r="AA120" s="331"/>
      <c r="AB120" s="331"/>
      <c r="AC120" s="331"/>
      <c r="AD120" s="331"/>
      <c r="AE120" s="331"/>
      <c r="AF120" s="331"/>
      <c r="AG120" s="331"/>
      <c r="AH120" s="331"/>
      <c r="AI120" s="331"/>
      <c r="AJ120" s="331"/>
      <c r="AK120" s="331"/>
      <c r="AL120" s="331"/>
      <c r="AM120" s="331"/>
      <c r="AN120" s="331"/>
      <c r="AO120" s="331"/>
      <c r="AP120" s="331"/>
      <c r="AQ120" s="331"/>
      <c r="AR120" s="331"/>
      <c r="AS120" s="331"/>
      <c r="AT120" s="331"/>
      <c r="AU120" s="331"/>
      <c r="AV120" s="331"/>
      <c r="AW120" s="331"/>
      <c r="AX120" s="331"/>
      <c r="AY120" s="331"/>
      <c r="AZ120" s="331"/>
      <c r="BA120" s="331"/>
      <c r="BB120" s="331"/>
      <c r="BC120" s="331"/>
      <c r="BD120" s="331"/>
      <c r="BE120" s="331"/>
      <c r="BF120" s="332"/>
    </row>
    <row r="121" spans="8:61" x14ac:dyDescent="0.4">
      <c r="AD121" s="33"/>
      <c r="AE121" s="33"/>
      <c r="AF121" s="33"/>
      <c r="AG121" s="33"/>
    </row>
    <row r="122" spans="8:61" x14ac:dyDescent="0.4">
      <c r="AD122" s="33"/>
      <c r="AE122" s="33"/>
      <c r="AF122" s="33"/>
      <c r="AG122" s="33"/>
    </row>
    <row r="123" spans="8:61" x14ac:dyDescent="0.4">
      <c r="H123" s="333" t="s">
        <v>765</v>
      </c>
      <c r="I123" s="334"/>
      <c r="J123" s="334"/>
      <c r="K123" s="334"/>
      <c r="L123" s="334"/>
      <c r="M123" s="334"/>
      <c r="N123" s="334"/>
      <c r="O123" s="334"/>
      <c r="P123" s="334"/>
      <c r="Q123" s="334"/>
      <c r="R123" s="334"/>
      <c r="S123" s="334"/>
      <c r="T123" s="334"/>
      <c r="U123" s="334"/>
      <c r="V123" s="334"/>
      <c r="W123" s="334"/>
      <c r="X123" s="334"/>
      <c r="Y123" s="334"/>
      <c r="Z123" s="334"/>
      <c r="AA123" s="334"/>
      <c r="AB123" s="334"/>
      <c r="AC123" s="334"/>
      <c r="AD123" s="334"/>
      <c r="AE123" s="334"/>
      <c r="AF123" s="334"/>
      <c r="AG123" s="334"/>
      <c r="AH123" s="334"/>
      <c r="AI123" s="334"/>
      <c r="AJ123" s="334"/>
      <c r="AK123" s="334"/>
      <c r="AL123" s="334"/>
      <c r="AM123" s="334"/>
      <c r="AN123" s="334"/>
      <c r="AO123" s="334"/>
      <c r="AP123" s="334"/>
      <c r="AQ123" s="334"/>
      <c r="AR123" s="334"/>
      <c r="AS123" s="334"/>
      <c r="AT123" s="334"/>
      <c r="AU123" s="334"/>
      <c r="AV123" s="334"/>
      <c r="AW123" s="334"/>
      <c r="AX123" s="334"/>
      <c r="AY123" s="334"/>
      <c r="AZ123" s="334"/>
      <c r="BA123" s="334"/>
      <c r="BB123" s="334"/>
      <c r="BC123" s="334"/>
      <c r="BD123" s="334"/>
      <c r="BE123" s="334"/>
      <c r="BF123" s="335"/>
    </row>
    <row r="124" spans="8:61" x14ac:dyDescent="0.4">
      <c r="H124" s="336" t="s">
        <v>433</v>
      </c>
      <c r="I124" s="336"/>
      <c r="J124" s="336"/>
      <c r="K124" s="336"/>
      <c r="L124" s="336"/>
      <c r="M124" s="336"/>
      <c r="N124" s="336"/>
      <c r="O124" s="336"/>
      <c r="P124" s="336"/>
      <c r="Q124" s="336"/>
      <c r="R124" s="336" t="s">
        <v>1</v>
      </c>
      <c r="S124" s="336"/>
      <c r="T124" s="336"/>
      <c r="U124" s="336"/>
      <c r="V124" s="336"/>
      <c r="W124" s="336"/>
      <c r="X124" s="336"/>
      <c r="Y124" s="336"/>
      <c r="Z124" s="336"/>
      <c r="AA124" s="336"/>
      <c r="AB124" s="337" t="s">
        <v>434</v>
      </c>
      <c r="AC124" s="338"/>
      <c r="AD124" s="337" t="s">
        <v>435</v>
      </c>
      <c r="AE124" s="339"/>
      <c r="AF124" s="339"/>
      <c r="AG124" s="338"/>
      <c r="AH124" s="340" t="s">
        <v>436</v>
      </c>
      <c r="AI124" s="340"/>
      <c r="AJ124" s="336" t="s">
        <v>437</v>
      </c>
      <c r="AK124" s="336"/>
      <c r="AL124" s="336"/>
      <c r="AM124" s="336"/>
      <c r="AN124" s="336"/>
      <c r="AO124" s="336"/>
      <c r="AP124" s="336"/>
      <c r="AQ124" s="336"/>
      <c r="AR124" s="336"/>
      <c r="AS124" s="336"/>
      <c r="AT124" s="336"/>
      <c r="AU124" s="336"/>
      <c r="AV124" s="336"/>
      <c r="AW124" s="336"/>
      <c r="AX124" s="336"/>
      <c r="AY124" s="336"/>
      <c r="AZ124" s="336"/>
      <c r="BA124" s="336"/>
      <c r="BB124" s="336"/>
      <c r="BC124" s="336"/>
      <c r="BD124" s="336"/>
      <c r="BE124" s="336"/>
      <c r="BF124" s="336"/>
    </row>
    <row r="125" spans="8:61" x14ac:dyDescent="0.4">
      <c r="H125" s="345" t="s">
        <v>766</v>
      </c>
      <c r="I125" s="345"/>
      <c r="J125" s="345"/>
      <c r="K125" s="345"/>
      <c r="L125" s="345"/>
      <c r="M125" s="345"/>
      <c r="N125" s="345"/>
      <c r="O125" s="345"/>
      <c r="P125" s="345"/>
      <c r="Q125" s="345"/>
      <c r="R125" s="348" t="s">
        <v>767</v>
      </c>
      <c r="S125" s="348"/>
      <c r="T125" s="348"/>
      <c r="U125" s="348"/>
      <c r="V125" s="348"/>
      <c r="W125" s="348"/>
      <c r="X125" s="348"/>
      <c r="Y125" s="348"/>
      <c r="Z125" s="348"/>
      <c r="AA125" s="348"/>
      <c r="AB125" s="347" t="s">
        <v>463</v>
      </c>
      <c r="AC125" s="347"/>
      <c r="AD125" s="451" t="s">
        <v>768</v>
      </c>
      <c r="AE125" s="367"/>
      <c r="AF125" s="367"/>
      <c r="AG125" s="367"/>
      <c r="AH125" s="348" t="s">
        <v>442</v>
      </c>
      <c r="AI125" s="348"/>
      <c r="AJ125" s="349" t="s">
        <v>1157</v>
      </c>
      <c r="AK125" s="368"/>
      <c r="AL125" s="368"/>
      <c r="AM125" s="368"/>
      <c r="AN125" s="368"/>
      <c r="AO125" s="368"/>
      <c r="AP125" s="368"/>
      <c r="AQ125" s="368"/>
      <c r="AR125" s="368"/>
      <c r="AS125" s="368"/>
      <c r="AT125" s="368"/>
      <c r="AU125" s="368"/>
      <c r="AV125" s="368"/>
      <c r="AW125" s="368"/>
      <c r="AX125" s="368"/>
      <c r="AY125" s="368"/>
      <c r="AZ125" s="368"/>
      <c r="BA125" s="368"/>
      <c r="BB125" s="368"/>
      <c r="BC125" s="368"/>
      <c r="BD125" s="368"/>
      <c r="BE125" s="368"/>
      <c r="BF125" s="368"/>
    </row>
    <row r="126" spans="8:61" x14ac:dyDescent="0.4">
      <c r="H126" s="345"/>
      <c r="I126" s="345"/>
      <c r="J126" s="345"/>
      <c r="K126" s="345"/>
      <c r="L126" s="345"/>
      <c r="M126" s="345"/>
      <c r="N126" s="345"/>
      <c r="O126" s="345"/>
      <c r="P126" s="345"/>
      <c r="Q126" s="345"/>
      <c r="R126" s="348"/>
      <c r="S126" s="348"/>
      <c r="T126" s="348"/>
      <c r="U126" s="348"/>
      <c r="V126" s="348"/>
      <c r="W126" s="348"/>
      <c r="X126" s="348"/>
      <c r="Y126" s="348"/>
      <c r="Z126" s="348"/>
      <c r="AA126" s="348"/>
      <c r="AB126" s="347"/>
      <c r="AC126" s="347"/>
      <c r="AD126" s="367"/>
      <c r="AE126" s="367"/>
      <c r="AF126" s="367"/>
      <c r="AG126" s="367"/>
      <c r="AH126" s="348"/>
      <c r="AI126" s="348"/>
      <c r="AJ126" s="349"/>
      <c r="AK126" s="368"/>
      <c r="AL126" s="368"/>
      <c r="AM126" s="368"/>
      <c r="AN126" s="368"/>
      <c r="AO126" s="368"/>
      <c r="AP126" s="368"/>
      <c r="AQ126" s="368"/>
      <c r="AR126" s="368"/>
      <c r="AS126" s="368"/>
      <c r="AT126" s="368"/>
      <c r="AU126" s="368"/>
      <c r="AV126" s="368"/>
      <c r="AW126" s="368"/>
      <c r="AX126" s="368"/>
      <c r="AY126" s="368"/>
      <c r="AZ126" s="368"/>
      <c r="BA126" s="368"/>
      <c r="BB126" s="368"/>
      <c r="BC126" s="368"/>
      <c r="BD126" s="368"/>
      <c r="BE126" s="368"/>
      <c r="BF126" s="368"/>
    </row>
    <row r="127" spans="8:61" x14ac:dyDescent="0.4">
      <c r="H127" s="413" t="s">
        <v>769</v>
      </c>
      <c r="I127" s="414"/>
      <c r="J127" s="414"/>
      <c r="K127" s="414"/>
      <c r="L127" s="414"/>
      <c r="M127" s="414"/>
      <c r="N127" s="414"/>
      <c r="O127" s="414"/>
      <c r="P127" s="414"/>
      <c r="Q127" s="415"/>
      <c r="R127" s="422" t="s">
        <v>770</v>
      </c>
      <c r="S127" s="423"/>
      <c r="T127" s="423"/>
      <c r="U127" s="423"/>
      <c r="V127" s="423"/>
      <c r="W127" s="423"/>
      <c r="X127" s="423"/>
      <c r="Y127" s="423"/>
      <c r="Z127" s="423"/>
      <c r="AA127" s="424"/>
      <c r="AB127" s="373" t="s">
        <v>463</v>
      </c>
      <c r="AC127" s="430"/>
      <c r="AD127" s="434" t="s">
        <v>771</v>
      </c>
      <c r="AE127" s="435"/>
      <c r="AF127" s="435"/>
      <c r="AG127" s="436"/>
      <c r="AH127" s="422" t="s">
        <v>442</v>
      </c>
      <c r="AI127" s="424"/>
      <c r="AJ127" s="443" t="s">
        <v>1158</v>
      </c>
      <c r="AK127" s="444"/>
      <c r="AL127" s="444"/>
      <c r="AM127" s="444"/>
      <c r="AN127" s="444"/>
      <c r="AO127" s="444"/>
      <c r="AP127" s="444"/>
      <c r="AQ127" s="444"/>
      <c r="AR127" s="444"/>
      <c r="AS127" s="444"/>
      <c r="AT127" s="444"/>
      <c r="AU127" s="444"/>
      <c r="AV127" s="444"/>
      <c r="AW127" s="444"/>
      <c r="AX127" s="444"/>
      <c r="AY127" s="444"/>
      <c r="AZ127" s="444"/>
      <c r="BA127" s="444"/>
      <c r="BB127" s="444"/>
      <c r="BC127" s="444"/>
      <c r="BD127" s="444"/>
      <c r="BE127" s="444"/>
      <c r="BF127" s="445"/>
    </row>
    <row r="128" spans="8:61" x14ac:dyDescent="0.4">
      <c r="H128" s="416"/>
      <c r="I128" s="417"/>
      <c r="J128" s="417"/>
      <c r="K128" s="417"/>
      <c r="L128" s="417"/>
      <c r="M128" s="417"/>
      <c r="N128" s="417"/>
      <c r="O128" s="417"/>
      <c r="P128" s="417"/>
      <c r="Q128" s="418"/>
      <c r="R128" s="425"/>
      <c r="S128" s="252"/>
      <c r="T128" s="252"/>
      <c r="U128" s="252"/>
      <c r="V128" s="252"/>
      <c r="W128" s="252"/>
      <c r="X128" s="252"/>
      <c r="Y128" s="252"/>
      <c r="Z128" s="252"/>
      <c r="AA128" s="426"/>
      <c r="AB128" s="375"/>
      <c r="AC128" s="431"/>
      <c r="AD128" s="437"/>
      <c r="AE128" s="438"/>
      <c r="AF128" s="438"/>
      <c r="AG128" s="439"/>
      <c r="AH128" s="425"/>
      <c r="AI128" s="426"/>
      <c r="AJ128" s="446"/>
      <c r="AK128" s="264"/>
      <c r="AL128" s="264"/>
      <c r="AM128" s="264"/>
      <c r="AN128" s="264"/>
      <c r="AO128" s="264"/>
      <c r="AP128" s="264"/>
      <c r="AQ128" s="264"/>
      <c r="AR128" s="264"/>
      <c r="AS128" s="264"/>
      <c r="AT128" s="264"/>
      <c r="AU128" s="264"/>
      <c r="AV128" s="264"/>
      <c r="AW128" s="264"/>
      <c r="AX128" s="264"/>
      <c r="AY128" s="264"/>
      <c r="AZ128" s="264"/>
      <c r="BA128" s="264"/>
      <c r="BB128" s="264"/>
      <c r="BC128" s="264"/>
      <c r="BD128" s="264"/>
      <c r="BE128" s="264"/>
      <c r="BF128" s="447"/>
    </row>
    <row r="129" spans="8:58" ht="18.75" customHeight="1" x14ac:dyDescent="0.4">
      <c r="H129" s="419"/>
      <c r="I129" s="420"/>
      <c r="J129" s="420"/>
      <c r="K129" s="420"/>
      <c r="L129" s="420"/>
      <c r="M129" s="420"/>
      <c r="N129" s="420"/>
      <c r="O129" s="420"/>
      <c r="P129" s="420"/>
      <c r="Q129" s="421"/>
      <c r="R129" s="427"/>
      <c r="S129" s="428"/>
      <c r="T129" s="428"/>
      <c r="U129" s="428"/>
      <c r="V129" s="428"/>
      <c r="W129" s="428"/>
      <c r="X129" s="428"/>
      <c r="Y129" s="428"/>
      <c r="Z129" s="428"/>
      <c r="AA129" s="429"/>
      <c r="AB129" s="432"/>
      <c r="AC129" s="433"/>
      <c r="AD129" s="440"/>
      <c r="AE129" s="441"/>
      <c r="AF129" s="441"/>
      <c r="AG129" s="442"/>
      <c r="AH129" s="427"/>
      <c r="AI129" s="429"/>
      <c r="AJ129" s="448"/>
      <c r="AK129" s="449"/>
      <c r="AL129" s="449"/>
      <c r="AM129" s="449"/>
      <c r="AN129" s="449"/>
      <c r="AO129" s="449"/>
      <c r="AP129" s="449"/>
      <c r="AQ129" s="449"/>
      <c r="AR129" s="449"/>
      <c r="AS129" s="449"/>
      <c r="AT129" s="449"/>
      <c r="AU129" s="449"/>
      <c r="AV129" s="449"/>
      <c r="AW129" s="449"/>
      <c r="AX129" s="449"/>
      <c r="AY129" s="449"/>
      <c r="AZ129" s="449"/>
      <c r="BA129" s="449"/>
      <c r="BB129" s="449"/>
      <c r="BC129" s="449"/>
      <c r="BD129" s="449"/>
      <c r="BE129" s="449"/>
      <c r="BF129" s="450"/>
    </row>
    <row r="130" spans="8:58" x14ac:dyDescent="0.4">
      <c r="H130" s="345" t="s">
        <v>772</v>
      </c>
      <c r="I130" s="345"/>
      <c r="J130" s="345"/>
      <c r="K130" s="345"/>
      <c r="L130" s="345"/>
      <c r="M130" s="345"/>
      <c r="N130" s="345"/>
      <c r="O130" s="345"/>
      <c r="P130" s="345"/>
      <c r="Q130" s="345"/>
      <c r="R130" s="348" t="s">
        <v>773</v>
      </c>
      <c r="S130" s="348"/>
      <c r="T130" s="348"/>
      <c r="U130" s="348"/>
      <c r="V130" s="348"/>
      <c r="W130" s="348"/>
      <c r="X130" s="348"/>
      <c r="Y130" s="348"/>
      <c r="Z130" s="348"/>
      <c r="AA130" s="348"/>
      <c r="AB130" s="347" t="s">
        <v>463</v>
      </c>
      <c r="AC130" s="347"/>
      <c r="AD130" s="367" t="s">
        <v>774</v>
      </c>
      <c r="AE130" s="367"/>
      <c r="AF130" s="367"/>
      <c r="AG130" s="367"/>
      <c r="AH130" s="348" t="s">
        <v>442</v>
      </c>
      <c r="AI130" s="348"/>
      <c r="AJ130" s="349" t="s">
        <v>775</v>
      </c>
      <c r="AK130" s="368"/>
      <c r="AL130" s="368"/>
      <c r="AM130" s="368"/>
      <c r="AN130" s="368"/>
      <c r="AO130" s="368"/>
      <c r="AP130" s="368"/>
      <c r="AQ130" s="368"/>
      <c r="AR130" s="368"/>
      <c r="AS130" s="368"/>
      <c r="AT130" s="368"/>
      <c r="AU130" s="368"/>
      <c r="AV130" s="368"/>
      <c r="AW130" s="368"/>
      <c r="AX130" s="368"/>
      <c r="AY130" s="368"/>
      <c r="AZ130" s="368"/>
      <c r="BA130" s="368"/>
      <c r="BB130" s="368"/>
      <c r="BC130" s="368"/>
      <c r="BD130" s="368"/>
      <c r="BE130" s="368"/>
      <c r="BF130" s="368"/>
    </row>
    <row r="131" spans="8:58" ht="18.75" customHeight="1" x14ac:dyDescent="0.4">
      <c r="H131" s="345"/>
      <c r="I131" s="345"/>
      <c r="J131" s="345"/>
      <c r="K131" s="345"/>
      <c r="L131" s="345"/>
      <c r="M131" s="345"/>
      <c r="N131" s="345"/>
      <c r="O131" s="345"/>
      <c r="P131" s="345"/>
      <c r="Q131" s="345"/>
      <c r="R131" s="348"/>
      <c r="S131" s="348"/>
      <c r="T131" s="348"/>
      <c r="U131" s="348"/>
      <c r="V131" s="348"/>
      <c r="W131" s="348"/>
      <c r="X131" s="348"/>
      <c r="Y131" s="348"/>
      <c r="Z131" s="348"/>
      <c r="AA131" s="348"/>
      <c r="AB131" s="347"/>
      <c r="AC131" s="347"/>
      <c r="AD131" s="367"/>
      <c r="AE131" s="367"/>
      <c r="AF131" s="367"/>
      <c r="AG131" s="367"/>
      <c r="AH131" s="348"/>
      <c r="AI131" s="348"/>
      <c r="AJ131" s="368"/>
      <c r="AK131" s="368"/>
      <c r="AL131" s="368"/>
      <c r="AM131" s="368"/>
      <c r="AN131" s="368"/>
      <c r="AO131" s="368"/>
      <c r="AP131" s="368"/>
      <c r="AQ131" s="368"/>
      <c r="AR131" s="368"/>
      <c r="AS131" s="368"/>
      <c r="AT131" s="368"/>
      <c r="AU131" s="368"/>
      <c r="AV131" s="368"/>
      <c r="AW131" s="368"/>
      <c r="AX131" s="368"/>
      <c r="AY131" s="368"/>
      <c r="AZ131" s="368"/>
      <c r="BA131" s="368"/>
      <c r="BB131" s="368"/>
      <c r="BC131" s="368"/>
      <c r="BD131" s="368"/>
      <c r="BE131" s="368"/>
      <c r="BF131" s="368"/>
    </row>
    <row r="132" spans="8:58" ht="18.75" customHeight="1" x14ac:dyDescent="0.4">
      <c r="H132" s="345" t="s">
        <v>776</v>
      </c>
      <c r="I132" s="345"/>
      <c r="J132" s="345"/>
      <c r="K132" s="345"/>
      <c r="L132" s="345"/>
      <c r="M132" s="345"/>
      <c r="N132" s="345"/>
      <c r="O132" s="345"/>
      <c r="P132" s="345"/>
      <c r="Q132" s="345"/>
      <c r="R132" s="348" t="s">
        <v>777</v>
      </c>
      <c r="S132" s="348"/>
      <c r="T132" s="348"/>
      <c r="U132" s="348"/>
      <c r="V132" s="348"/>
      <c r="W132" s="348"/>
      <c r="X132" s="348"/>
      <c r="Y132" s="348"/>
      <c r="Z132" s="348"/>
      <c r="AA132" s="348"/>
      <c r="AB132" s="347" t="s">
        <v>463</v>
      </c>
      <c r="AC132" s="347"/>
      <c r="AD132" s="412" t="s">
        <v>778</v>
      </c>
      <c r="AE132" s="412"/>
      <c r="AF132" s="412"/>
      <c r="AG132" s="412"/>
      <c r="AH132" s="348" t="s">
        <v>442</v>
      </c>
      <c r="AI132" s="348"/>
      <c r="AJ132" s="349" t="s">
        <v>779</v>
      </c>
      <c r="AK132" s="368"/>
      <c r="AL132" s="368"/>
      <c r="AM132" s="368"/>
      <c r="AN132" s="368"/>
      <c r="AO132" s="368"/>
      <c r="AP132" s="368"/>
      <c r="AQ132" s="368"/>
      <c r="AR132" s="368"/>
      <c r="AS132" s="368"/>
      <c r="AT132" s="368"/>
      <c r="AU132" s="368"/>
      <c r="AV132" s="368"/>
      <c r="AW132" s="368"/>
      <c r="AX132" s="368"/>
      <c r="AY132" s="368"/>
      <c r="AZ132" s="368"/>
      <c r="BA132" s="368"/>
      <c r="BB132" s="368"/>
      <c r="BC132" s="368"/>
      <c r="BD132" s="368"/>
      <c r="BE132" s="368"/>
      <c r="BF132" s="368"/>
    </row>
    <row r="133" spans="8:58" ht="18.75" customHeight="1" x14ac:dyDescent="0.4">
      <c r="H133" s="345"/>
      <c r="I133" s="345"/>
      <c r="J133" s="345"/>
      <c r="K133" s="345"/>
      <c r="L133" s="345"/>
      <c r="M133" s="345"/>
      <c r="N133" s="345"/>
      <c r="O133" s="345"/>
      <c r="P133" s="345"/>
      <c r="Q133" s="345"/>
      <c r="R133" s="348"/>
      <c r="S133" s="348"/>
      <c r="T133" s="348"/>
      <c r="U133" s="348"/>
      <c r="V133" s="348"/>
      <c r="W133" s="348"/>
      <c r="X133" s="348"/>
      <c r="Y133" s="348"/>
      <c r="Z133" s="348"/>
      <c r="AA133" s="348"/>
      <c r="AB133" s="347"/>
      <c r="AC133" s="347"/>
      <c r="AD133" s="412"/>
      <c r="AE133" s="412"/>
      <c r="AF133" s="412"/>
      <c r="AG133" s="412"/>
      <c r="AH133" s="348"/>
      <c r="AI133" s="348"/>
      <c r="AJ133" s="368"/>
      <c r="AK133" s="368"/>
      <c r="AL133" s="368"/>
      <c r="AM133" s="368"/>
      <c r="AN133" s="368"/>
      <c r="AO133" s="368"/>
      <c r="AP133" s="368"/>
      <c r="AQ133" s="368"/>
      <c r="AR133" s="368"/>
      <c r="AS133" s="368"/>
      <c r="AT133" s="368"/>
      <c r="AU133" s="368"/>
      <c r="AV133" s="368"/>
      <c r="AW133" s="368"/>
      <c r="AX133" s="368"/>
      <c r="AY133" s="368"/>
      <c r="AZ133" s="368"/>
      <c r="BA133" s="368"/>
      <c r="BB133" s="368"/>
      <c r="BC133" s="368"/>
      <c r="BD133" s="368"/>
      <c r="BE133" s="368"/>
      <c r="BF133" s="368"/>
    </row>
    <row r="134" spans="8:58" x14ac:dyDescent="0.4">
      <c r="AD134" s="33"/>
      <c r="AE134" s="33"/>
      <c r="AF134" s="33"/>
      <c r="AG134" s="33"/>
    </row>
    <row r="135" spans="8:58" ht="18.75" customHeight="1" x14ac:dyDescent="0.4">
      <c r="AD135" s="33"/>
      <c r="AE135" s="33"/>
      <c r="AF135" s="33"/>
      <c r="AG135" s="33"/>
    </row>
    <row r="141" spans="8:58" ht="18.75" customHeight="1" x14ac:dyDescent="0.4"/>
  </sheetData>
  <mergeCells count="383">
    <mergeCell ref="H2:N2"/>
    <mergeCell ref="O2:Y2"/>
    <mergeCell ref="H3:N3"/>
    <mergeCell ref="O3:V3"/>
    <mergeCell ref="W3:Y3"/>
    <mergeCell ref="H4:N4"/>
    <mergeCell ref="O4:V4"/>
    <mergeCell ref="W4:Y4"/>
    <mergeCell ref="H7:N7"/>
    <mergeCell ref="O7:V7"/>
    <mergeCell ref="W7:Y7"/>
    <mergeCell ref="H8:N8"/>
    <mergeCell ref="O8:V8"/>
    <mergeCell ref="W8:Y8"/>
    <mergeCell ref="H5:N5"/>
    <mergeCell ref="O5:V5"/>
    <mergeCell ref="W5:Y5"/>
    <mergeCell ref="H6:N6"/>
    <mergeCell ref="O6:V6"/>
    <mergeCell ref="W6:Y6"/>
    <mergeCell ref="H11:N11"/>
    <mergeCell ref="O11:V11"/>
    <mergeCell ref="W11:Y11"/>
    <mergeCell ref="H9:N9"/>
    <mergeCell ref="O9:V9"/>
    <mergeCell ref="W9:Y9"/>
    <mergeCell ref="H10:N10"/>
    <mergeCell ref="O10:V10"/>
    <mergeCell ref="W10:Y10"/>
    <mergeCell ref="H16:N16"/>
    <mergeCell ref="O16:V16"/>
    <mergeCell ref="W16:Y16"/>
    <mergeCell ref="AF16:AN16"/>
    <mergeCell ref="AO16:AW16"/>
    <mergeCell ref="AX16:BF16"/>
    <mergeCell ref="H15:N15"/>
    <mergeCell ref="O15:V15"/>
    <mergeCell ref="W15:Y15"/>
    <mergeCell ref="AF15:AN15"/>
    <mergeCell ref="AO15:AW15"/>
    <mergeCell ref="AX15:BF15"/>
    <mergeCell ref="H18:N18"/>
    <mergeCell ref="O18:V18"/>
    <mergeCell ref="W18:Y18"/>
    <mergeCell ref="AF18:AN18"/>
    <mergeCell ref="AO18:AW18"/>
    <mergeCell ref="AX18:BF18"/>
    <mergeCell ref="H17:N17"/>
    <mergeCell ref="O17:V17"/>
    <mergeCell ref="W17:Y17"/>
    <mergeCell ref="AF17:AN17"/>
    <mergeCell ref="AO17:AW17"/>
    <mergeCell ref="AX17:BF17"/>
    <mergeCell ref="H20:N20"/>
    <mergeCell ref="O20:V20"/>
    <mergeCell ref="W20:Y20"/>
    <mergeCell ref="AF20:AN20"/>
    <mergeCell ref="AO20:AW20"/>
    <mergeCell ref="AX20:BF20"/>
    <mergeCell ref="H19:N19"/>
    <mergeCell ref="O19:V19"/>
    <mergeCell ref="W19:Y19"/>
    <mergeCell ref="AF19:AN19"/>
    <mergeCell ref="AO19:AW19"/>
    <mergeCell ref="AX19:BF19"/>
    <mergeCell ref="H22:N22"/>
    <mergeCell ref="O22:V22"/>
    <mergeCell ref="W22:Y22"/>
    <mergeCell ref="AF22:AN22"/>
    <mergeCell ref="AO22:AW22"/>
    <mergeCell ref="AX22:BF22"/>
    <mergeCell ref="H21:N21"/>
    <mergeCell ref="O21:V21"/>
    <mergeCell ref="W21:Y21"/>
    <mergeCell ref="AF21:AN21"/>
    <mergeCell ref="AO21:AW21"/>
    <mergeCell ref="AX21:BF21"/>
    <mergeCell ref="H27:Q27"/>
    <mergeCell ref="R27:AA27"/>
    <mergeCell ref="AB27:AC27"/>
    <mergeCell ref="AD27:AG27"/>
    <mergeCell ref="AH27:AI27"/>
    <mergeCell ref="AJ27:BF27"/>
    <mergeCell ref="Q23:R23"/>
    <mergeCell ref="H25:BF25"/>
    <mergeCell ref="H26:Q26"/>
    <mergeCell ref="R26:AA26"/>
    <mergeCell ref="AB26:AC26"/>
    <mergeCell ref="AD26:AG26"/>
    <mergeCell ref="AH26:AI26"/>
    <mergeCell ref="AJ26:BF26"/>
    <mergeCell ref="H28:Q31"/>
    <mergeCell ref="R28:AA31"/>
    <mergeCell ref="AB28:AC30"/>
    <mergeCell ref="AD28:AG30"/>
    <mergeCell ref="AH28:AI30"/>
    <mergeCell ref="AJ28:BF30"/>
    <mergeCell ref="AB31:AC31"/>
    <mergeCell ref="AD31:AG31"/>
    <mergeCell ref="AH31:AI31"/>
    <mergeCell ref="AJ31:BF31"/>
    <mergeCell ref="AJ35:BF35"/>
    <mergeCell ref="AB36:AC36"/>
    <mergeCell ref="AD36:AG36"/>
    <mergeCell ref="AB38:AC38"/>
    <mergeCell ref="AD38:AG38"/>
    <mergeCell ref="AH38:AI38"/>
    <mergeCell ref="AJ38:BF38"/>
    <mergeCell ref="AB39:AC39"/>
    <mergeCell ref="AD39:AG39"/>
    <mergeCell ref="AH39:AI39"/>
    <mergeCell ref="AJ39:BF39"/>
    <mergeCell ref="AJ41:BF43"/>
    <mergeCell ref="AB44:AC44"/>
    <mergeCell ref="AD44:AG44"/>
    <mergeCell ref="AH44:AI44"/>
    <mergeCell ref="AJ44:BF44"/>
    <mergeCell ref="AH32:AI33"/>
    <mergeCell ref="AJ32:BF33"/>
    <mergeCell ref="AB34:AC34"/>
    <mergeCell ref="AD34:AG34"/>
    <mergeCell ref="AH34:AI34"/>
    <mergeCell ref="AJ34:BF34"/>
    <mergeCell ref="AB37:AC37"/>
    <mergeCell ref="AD37:AG37"/>
    <mergeCell ref="AH37:AI37"/>
    <mergeCell ref="AJ37:BF37"/>
    <mergeCell ref="AH36:AI36"/>
    <mergeCell ref="AJ36:BF36"/>
    <mergeCell ref="AB40:AC40"/>
    <mergeCell ref="AD40:AG40"/>
    <mergeCell ref="AH40:AI40"/>
    <mergeCell ref="AJ40:BF40"/>
    <mergeCell ref="AB35:AC35"/>
    <mergeCell ref="AD35:AG35"/>
    <mergeCell ref="AH35:AI35"/>
    <mergeCell ref="H32:Q40"/>
    <mergeCell ref="R32:AA40"/>
    <mergeCell ref="AB32:AC33"/>
    <mergeCell ref="AD32:AG33"/>
    <mergeCell ref="H45:Q48"/>
    <mergeCell ref="R45:AA48"/>
    <mergeCell ref="AB45:AC47"/>
    <mergeCell ref="AD45:AG47"/>
    <mergeCell ref="AH45:AI47"/>
    <mergeCell ref="H41:Q44"/>
    <mergeCell ref="R41:AA44"/>
    <mergeCell ref="AB41:AC43"/>
    <mergeCell ref="AD41:AG43"/>
    <mergeCell ref="AH41:AI43"/>
    <mergeCell ref="AJ45:BF47"/>
    <mergeCell ref="AB48:AC48"/>
    <mergeCell ref="AD48:AG48"/>
    <mergeCell ref="AH48:AI48"/>
    <mergeCell ref="AJ48:BF48"/>
    <mergeCell ref="H49:Q52"/>
    <mergeCell ref="R49:AA52"/>
    <mergeCell ref="AB49:AC51"/>
    <mergeCell ref="AD49:AG51"/>
    <mergeCell ref="AH49:AI51"/>
    <mergeCell ref="AJ49:BF51"/>
    <mergeCell ref="AB52:AC52"/>
    <mergeCell ref="AD52:AG52"/>
    <mergeCell ref="AH52:AI52"/>
    <mergeCell ref="AJ52:BF52"/>
    <mergeCell ref="H53:Q57"/>
    <mergeCell ref="R53:AA57"/>
    <mergeCell ref="AB53:AC56"/>
    <mergeCell ref="AD53:AG56"/>
    <mergeCell ref="AH53:AI56"/>
    <mergeCell ref="AJ53:BF56"/>
    <mergeCell ref="AB57:AC57"/>
    <mergeCell ref="AD57:AG57"/>
    <mergeCell ref="AH57:AI57"/>
    <mergeCell ref="AJ57:BF57"/>
    <mergeCell ref="H58:Q62"/>
    <mergeCell ref="R58:AA62"/>
    <mergeCell ref="AB58:AC61"/>
    <mergeCell ref="AD58:AG61"/>
    <mergeCell ref="AH58:AI61"/>
    <mergeCell ref="AJ58:BF61"/>
    <mergeCell ref="AB62:AC62"/>
    <mergeCell ref="AD62:AG62"/>
    <mergeCell ref="AH62:AI62"/>
    <mergeCell ref="AJ62:BF62"/>
    <mergeCell ref="H72:BF72"/>
    <mergeCell ref="H75:BF75"/>
    <mergeCell ref="H76:Q76"/>
    <mergeCell ref="R76:AA76"/>
    <mergeCell ref="AB76:AC76"/>
    <mergeCell ref="AD76:AG76"/>
    <mergeCell ref="AH76:AI76"/>
    <mergeCell ref="AJ76:BF76"/>
    <mergeCell ref="H63:Q67"/>
    <mergeCell ref="R63:AA67"/>
    <mergeCell ref="AB63:AC66"/>
    <mergeCell ref="AD63:AG66"/>
    <mergeCell ref="AH63:AI66"/>
    <mergeCell ref="AJ63:BF66"/>
    <mergeCell ref="AB67:AC67"/>
    <mergeCell ref="AD67:AG67"/>
    <mergeCell ref="AH67:AI67"/>
    <mergeCell ref="AJ67:BF67"/>
    <mergeCell ref="H68:Q71"/>
    <mergeCell ref="R68:AA71"/>
    <mergeCell ref="AB68:AC70"/>
    <mergeCell ref="AD68:AG70"/>
    <mergeCell ref="AH68:AI70"/>
    <mergeCell ref="AJ68:BF70"/>
    <mergeCell ref="AB80:AC80"/>
    <mergeCell ref="AD80:AG80"/>
    <mergeCell ref="AH80:AI80"/>
    <mergeCell ref="AJ80:BF80"/>
    <mergeCell ref="AB81:AC81"/>
    <mergeCell ref="AD81:AG81"/>
    <mergeCell ref="AH81:AI81"/>
    <mergeCell ref="AJ81:BF81"/>
    <mergeCell ref="H77:Q85"/>
    <mergeCell ref="R77:AA85"/>
    <mergeCell ref="AB77:AC78"/>
    <mergeCell ref="AD77:AG78"/>
    <mergeCell ref="AH77:AI78"/>
    <mergeCell ref="AJ77:BF78"/>
    <mergeCell ref="AB79:AC79"/>
    <mergeCell ref="AD79:AG79"/>
    <mergeCell ref="AH79:AI79"/>
    <mergeCell ref="AJ79:BF79"/>
    <mergeCell ref="AB82:AC82"/>
    <mergeCell ref="AD82:AG82"/>
    <mergeCell ref="AH82:AI82"/>
    <mergeCell ref="AJ82:BF82"/>
    <mergeCell ref="AB85:AC85"/>
    <mergeCell ref="AD85:AG85"/>
    <mergeCell ref="AB83:AC83"/>
    <mergeCell ref="AD83:AG83"/>
    <mergeCell ref="AB97:AC97"/>
    <mergeCell ref="AD97:AG97"/>
    <mergeCell ref="AH97:AI97"/>
    <mergeCell ref="AJ97:BF97"/>
    <mergeCell ref="H98:Q104"/>
    <mergeCell ref="R98:AA104"/>
    <mergeCell ref="AB98:AC100"/>
    <mergeCell ref="AD98:AG100"/>
    <mergeCell ref="AH98:AI100"/>
    <mergeCell ref="AJ98:BF100"/>
    <mergeCell ref="H86:Q97"/>
    <mergeCell ref="R86:AA97"/>
    <mergeCell ref="AB86:AC87"/>
    <mergeCell ref="AD86:AG87"/>
    <mergeCell ref="AH86:AI87"/>
    <mergeCell ref="AJ86:BF87"/>
    <mergeCell ref="AB88:AC89"/>
    <mergeCell ref="AD88:AG89"/>
    <mergeCell ref="AH88:AI89"/>
    <mergeCell ref="AJ88:BF89"/>
    <mergeCell ref="H105:BF105"/>
    <mergeCell ref="H108:BF108"/>
    <mergeCell ref="H109:Q109"/>
    <mergeCell ref="R109:AA109"/>
    <mergeCell ref="AB109:AC109"/>
    <mergeCell ref="AD109:AG109"/>
    <mergeCell ref="AH109:AI109"/>
    <mergeCell ref="AJ109:BF109"/>
    <mergeCell ref="AB101:AC103"/>
    <mergeCell ref="AD101:AG103"/>
    <mergeCell ref="AH101:AI103"/>
    <mergeCell ref="AJ101:BF103"/>
    <mergeCell ref="AB104:AC104"/>
    <mergeCell ref="AD104:AG104"/>
    <mergeCell ref="AH104:AI104"/>
    <mergeCell ref="AJ104:BF104"/>
    <mergeCell ref="H112:Q113"/>
    <mergeCell ref="R112:AA113"/>
    <mergeCell ref="AB112:AC113"/>
    <mergeCell ref="AD112:AG113"/>
    <mergeCell ref="AH112:AI113"/>
    <mergeCell ref="AJ112:BF113"/>
    <mergeCell ref="H110:Q111"/>
    <mergeCell ref="R110:AA111"/>
    <mergeCell ref="AB110:AC111"/>
    <mergeCell ref="AD110:AG111"/>
    <mergeCell ref="AH110:AI111"/>
    <mergeCell ref="AJ110:BF111"/>
    <mergeCell ref="H116:Q119"/>
    <mergeCell ref="R116:AA119"/>
    <mergeCell ref="AB116:AC119"/>
    <mergeCell ref="AD116:AG119"/>
    <mergeCell ref="AH116:AI119"/>
    <mergeCell ref="AJ116:BF119"/>
    <mergeCell ref="H114:Q115"/>
    <mergeCell ref="R114:AA115"/>
    <mergeCell ref="AB114:AC115"/>
    <mergeCell ref="AD114:AG115"/>
    <mergeCell ref="AH114:AI115"/>
    <mergeCell ref="AJ114:BF115"/>
    <mergeCell ref="AH127:AI129"/>
    <mergeCell ref="AJ127:BF129"/>
    <mergeCell ref="H125:Q126"/>
    <mergeCell ref="R125:AA126"/>
    <mergeCell ref="AB125:AC126"/>
    <mergeCell ref="AD125:AG126"/>
    <mergeCell ref="AH125:AI126"/>
    <mergeCell ref="AJ125:BF126"/>
    <mergeCell ref="H120:BF120"/>
    <mergeCell ref="H123:BF123"/>
    <mergeCell ref="H124:Q124"/>
    <mergeCell ref="R124:AA124"/>
    <mergeCell ref="AB124:AC124"/>
    <mergeCell ref="AD124:AG124"/>
    <mergeCell ref="AH124:AI124"/>
    <mergeCell ref="AJ124:BF124"/>
    <mergeCell ref="AX7:BF7"/>
    <mergeCell ref="H12:N14"/>
    <mergeCell ref="O12:V14"/>
    <mergeCell ref="W12:Y14"/>
    <mergeCell ref="AF12:AN12"/>
    <mergeCell ref="AO12:AW12"/>
    <mergeCell ref="AX12:BF12"/>
    <mergeCell ref="AF13:AN13"/>
    <mergeCell ref="H132:Q133"/>
    <mergeCell ref="R132:AA133"/>
    <mergeCell ref="AB132:AC133"/>
    <mergeCell ref="AD132:AG133"/>
    <mergeCell ref="AH132:AI133"/>
    <mergeCell ref="AJ132:BF133"/>
    <mergeCell ref="H130:Q131"/>
    <mergeCell ref="R130:AA131"/>
    <mergeCell ref="AB130:AC131"/>
    <mergeCell ref="AD130:AG131"/>
    <mergeCell ref="AH130:AI131"/>
    <mergeCell ref="AJ130:BF131"/>
    <mergeCell ref="H127:Q129"/>
    <mergeCell ref="R127:AA129"/>
    <mergeCell ref="AB127:AC129"/>
    <mergeCell ref="AD127:AG129"/>
    <mergeCell ref="AO5:BF5"/>
    <mergeCell ref="AF5:AN5"/>
    <mergeCell ref="AF6:AN6"/>
    <mergeCell ref="AO6:AW6"/>
    <mergeCell ref="AX6:BF6"/>
    <mergeCell ref="AO7:AW7"/>
    <mergeCell ref="AO13:AW13"/>
    <mergeCell ref="AX13:BF13"/>
    <mergeCell ref="AF14:AN14"/>
    <mergeCell ref="AO14:AW14"/>
    <mergeCell ref="AX14:BF14"/>
    <mergeCell ref="AF10:AN10"/>
    <mergeCell ref="AO10:AW10"/>
    <mergeCell ref="AX10:BF10"/>
    <mergeCell ref="AF11:AN11"/>
    <mergeCell ref="AO11:AW11"/>
    <mergeCell ref="AX11:BF11"/>
    <mergeCell ref="AF7:AN7"/>
    <mergeCell ref="AF8:AN8"/>
    <mergeCell ref="AO8:AW8"/>
    <mergeCell ref="AX8:BF8"/>
    <mergeCell ref="AF9:AN9"/>
    <mergeCell ref="AO9:AW9"/>
    <mergeCell ref="AX9:BF9"/>
    <mergeCell ref="AB71:AC71"/>
    <mergeCell ref="AD71:AG71"/>
    <mergeCell ref="AH71:AI71"/>
    <mergeCell ref="AJ71:BF71"/>
    <mergeCell ref="AB95:AC96"/>
    <mergeCell ref="AD95:AG96"/>
    <mergeCell ref="AH95:AI96"/>
    <mergeCell ref="AJ95:BF96"/>
    <mergeCell ref="AH83:AI83"/>
    <mergeCell ref="AJ83:BF83"/>
    <mergeCell ref="AB84:AC84"/>
    <mergeCell ref="AD84:AG84"/>
    <mergeCell ref="AH84:AI84"/>
    <mergeCell ref="AJ84:BF84"/>
    <mergeCell ref="AB90:AC91"/>
    <mergeCell ref="AD90:AG91"/>
    <mergeCell ref="AH90:AI91"/>
    <mergeCell ref="AJ90:BF91"/>
    <mergeCell ref="AB92:AC94"/>
    <mergeCell ref="AD92:AG94"/>
    <mergeCell ref="AH92:AI94"/>
    <mergeCell ref="AJ92:BF94"/>
    <mergeCell ref="AH85:AI85"/>
    <mergeCell ref="AJ85:BF85"/>
  </mergeCells>
  <phoneticPr fontId="1"/>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3A0813-08CB-43BB-9D8D-6A438975207B}">
  <dimension ref="G2:BA123"/>
  <sheetViews>
    <sheetView showGridLines="0" zoomScale="40" zoomScaleNormal="40" workbookViewId="0">
      <selection activeCell="BG131" sqref="BG131"/>
    </sheetView>
  </sheetViews>
  <sheetFormatPr defaultRowHeight="18.75" x14ac:dyDescent="0.4"/>
  <cols>
    <col min="1" max="221" width="3.625" customWidth="1"/>
  </cols>
  <sheetData>
    <row r="2" spans="7:43" x14ac:dyDescent="0.4">
      <c r="Q2" s="1"/>
    </row>
    <row r="3" spans="7:43" x14ac:dyDescent="0.4">
      <c r="G3" s="479" t="s">
        <v>598</v>
      </c>
      <c r="H3" s="479"/>
      <c r="I3" s="479"/>
      <c r="J3" s="479"/>
      <c r="K3" s="479"/>
      <c r="L3" s="479"/>
      <c r="M3" s="479"/>
      <c r="N3" s="41" t="s">
        <v>599</v>
      </c>
      <c r="O3" s="42"/>
      <c r="P3" s="42"/>
      <c r="Q3" s="42"/>
      <c r="R3" s="42"/>
      <c r="S3" s="42"/>
      <c r="T3" s="42"/>
      <c r="U3" s="42"/>
      <c r="V3" s="42"/>
      <c r="W3" s="43"/>
    </row>
    <row r="4" spans="7:43" x14ac:dyDescent="0.4">
      <c r="G4" s="482" t="s">
        <v>832</v>
      </c>
      <c r="H4" s="483"/>
      <c r="I4" s="483"/>
      <c r="J4" s="483"/>
      <c r="K4" s="483"/>
      <c r="L4" s="483"/>
      <c r="M4" s="483"/>
      <c r="N4" s="218" t="s">
        <v>833</v>
      </c>
      <c r="O4" s="219"/>
      <c r="P4" s="219"/>
      <c r="Q4" s="219"/>
      <c r="R4" s="219"/>
      <c r="S4" s="219"/>
      <c r="T4" s="219"/>
      <c r="U4" s="218" t="s">
        <v>345</v>
      </c>
      <c r="V4" s="219"/>
      <c r="W4" s="220"/>
    </row>
    <row r="5" spans="7:43" ht="17.649999999999999" customHeight="1" x14ac:dyDescent="0.4">
      <c r="G5" s="480" t="s">
        <v>834</v>
      </c>
      <c r="H5" s="481"/>
      <c r="I5" s="481"/>
      <c r="J5" s="481"/>
      <c r="K5" s="481"/>
      <c r="L5" s="481"/>
      <c r="M5" s="481"/>
      <c r="N5" s="218" t="s">
        <v>835</v>
      </c>
      <c r="O5" s="219"/>
      <c r="P5" s="219"/>
      <c r="Q5" s="219"/>
      <c r="R5" s="219"/>
      <c r="S5" s="219"/>
      <c r="T5" s="219"/>
      <c r="U5" s="218" t="s">
        <v>836</v>
      </c>
      <c r="V5" s="219"/>
      <c r="W5" s="220"/>
      <c r="Y5" s="44"/>
      <c r="Z5" s="44"/>
      <c r="AA5" s="44"/>
      <c r="AB5" s="44"/>
      <c r="AC5" s="44"/>
      <c r="AD5" s="44"/>
      <c r="AE5" s="44"/>
      <c r="AF5" s="44"/>
      <c r="AG5" s="44"/>
      <c r="AH5" s="44"/>
      <c r="AI5" s="44"/>
      <c r="AJ5" s="44"/>
      <c r="AK5" s="44"/>
      <c r="AL5" s="44"/>
      <c r="AM5" s="44"/>
      <c r="AN5" s="44"/>
      <c r="AO5" s="44"/>
      <c r="AP5" s="44"/>
      <c r="AQ5" s="44"/>
    </row>
    <row r="6" spans="7:43" x14ac:dyDescent="0.4">
      <c r="G6" s="487" t="s">
        <v>837</v>
      </c>
      <c r="H6" s="487"/>
      <c r="I6" s="487"/>
      <c r="J6" s="487"/>
      <c r="K6" s="487"/>
      <c r="L6" s="487"/>
      <c r="M6" s="487"/>
      <c r="N6" s="488" t="s">
        <v>838</v>
      </c>
      <c r="O6" s="489"/>
      <c r="P6" s="489"/>
      <c r="Q6" s="489"/>
      <c r="R6" s="489"/>
      <c r="S6" s="489"/>
      <c r="T6" s="489"/>
      <c r="U6" s="488" t="s">
        <v>839</v>
      </c>
      <c r="V6" s="489"/>
      <c r="W6" s="490"/>
      <c r="Y6" s="44"/>
      <c r="Z6" s="44"/>
      <c r="AA6" s="44"/>
      <c r="AB6" s="44"/>
      <c r="AC6" s="44"/>
      <c r="AD6" s="44"/>
      <c r="AE6" s="44"/>
      <c r="AF6" s="44"/>
      <c r="AG6" s="44"/>
      <c r="AH6" s="44"/>
      <c r="AI6" s="44"/>
      <c r="AJ6" s="44"/>
      <c r="AK6" s="44"/>
      <c r="AL6" s="44"/>
      <c r="AM6" s="44"/>
      <c r="AN6" s="44"/>
      <c r="AO6" s="44"/>
      <c r="AP6" s="44"/>
      <c r="AQ6" s="44"/>
    </row>
    <row r="7" spans="7:43" x14ac:dyDescent="0.4">
      <c r="G7" s="166" t="s">
        <v>840</v>
      </c>
      <c r="H7" s="166"/>
      <c r="I7" s="166"/>
      <c r="J7" s="166"/>
      <c r="K7" s="166"/>
      <c r="L7" s="166"/>
      <c r="M7" s="166"/>
      <c r="N7" s="484" t="s">
        <v>841</v>
      </c>
      <c r="O7" s="485"/>
      <c r="P7" s="485"/>
      <c r="Q7" s="485"/>
      <c r="R7" s="485"/>
      <c r="S7" s="485"/>
      <c r="T7" s="485"/>
      <c r="U7" s="484" t="s">
        <v>842</v>
      </c>
      <c r="V7" s="485"/>
      <c r="W7" s="486"/>
      <c r="Y7" s="44"/>
      <c r="Z7" s="44"/>
      <c r="AA7" s="44"/>
      <c r="AB7" s="44"/>
      <c r="AC7" s="44"/>
      <c r="AD7" s="44"/>
      <c r="AE7" s="44"/>
      <c r="AF7" s="44"/>
      <c r="AG7" s="44"/>
      <c r="AH7" s="44"/>
      <c r="AI7" s="44"/>
      <c r="AJ7" s="44"/>
      <c r="AK7" s="44"/>
      <c r="AL7" s="44"/>
      <c r="AM7" s="44"/>
      <c r="AN7" s="44"/>
      <c r="AO7" s="44"/>
      <c r="AP7" s="44"/>
      <c r="AQ7" s="44"/>
    </row>
    <row r="8" spans="7:43" x14ac:dyDescent="0.4">
      <c r="G8" s="166" t="s">
        <v>843</v>
      </c>
      <c r="H8" s="166"/>
      <c r="I8" s="166"/>
      <c r="J8" s="166"/>
      <c r="K8" s="166"/>
      <c r="L8" s="166"/>
      <c r="M8" s="166"/>
      <c r="N8" s="484" t="s">
        <v>844</v>
      </c>
      <c r="O8" s="485"/>
      <c r="P8" s="485"/>
      <c r="Q8" s="485"/>
      <c r="R8" s="485"/>
      <c r="S8" s="485"/>
      <c r="T8" s="485"/>
      <c r="U8" s="484" t="s">
        <v>845</v>
      </c>
      <c r="V8" s="485"/>
      <c r="W8" s="486"/>
    </row>
    <row r="9" spans="7:43" x14ac:dyDescent="0.4">
      <c r="G9" s="166" t="s">
        <v>846</v>
      </c>
      <c r="H9" s="166"/>
      <c r="I9" s="166"/>
      <c r="J9" s="166"/>
      <c r="K9" s="166"/>
      <c r="L9" s="166"/>
      <c r="M9" s="166"/>
      <c r="N9" s="484" t="s">
        <v>847</v>
      </c>
      <c r="O9" s="485"/>
      <c r="P9" s="485"/>
      <c r="Q9" s="485"/>
      <c r="R9" s="485"/>
      <c r="S9" s="485"/>
      <c r="T9" s="485"/>
      <c r="U9" s="484" t="s">
        <v>848</v>
      </c>
      <c r="V9" s="485"/>
      <c r="W9" s="486"/>
    </row>
    <row r="10" spans="7:43" x14ac:dyDescent="0.4">
      <c r="G10" s="166" t="s">
        <v>849</v>
      </c>
      <c r="H10" s="166"/>
      <c r="I10" s="166"/>
      <c r="J10" s="166"/>
      <c r="K10" s="166"/>
      <c r="L10" s="166"/>
      <c r="M10" s="166"/>
      <c r="N10" s="484" t="s">
        <v>850</v>
      </c>
      <c r="O10" s="485"/>
      <c r="P10" s="485"/>
      <c r="Q10" s="485"/>
      <c r="R10" s="485"/>
      <c r="S10" s="485"/>
      <c r="T10" s="485"/>
      <c r="U10" s="484" t="s">
        <v>851</v>
      </c>
      <c r="V10" s="485"/>
      <c r="W10" s="486"/>
    </row>
    <row r="11" spans="7:43" x14ac:dyDescent="0.4">
      <c r="G11" s="166" t="s">
        <v>852</v>
      </c>
      <c r="H11" s="166"/>
      <c r="I11" s="166"/>
      <c r="J11" s="166"/>
      <c r="K11" s="166"/>
      <c r="L11" s="166"/>
      <c r="M11" s="166"/>
      <c r="N11" s="484" t="s">
        <v>853</v>
      </c>
      <c r="O11" s="485"/>
      <c r="P11" s="485"/>
      <c r="Q11" s="485"/>
      <c r="R11" s="485"/>
      <c r="S11" s="485"/>
      <c r="T11" s="485"/>
      <c r="U11" s="484" t="s">
        <v>854</v>
      </c>
      <c r="V11" s="485"/>
      <c r="W11" s="486"/>
    </row>
    <row r="12" spans="7:43" x14ac:dyDescent="0.4">
      <c r="G12" s="496" t="s">
        <v>855</v>
      </c>
      <c r="H12" s="496"/>
      <c r="I12" s="496"/>
      <c r="J12" s="496"/>
      <c r="K12" s="496"/>
      <c r="L12" s="496"/>
      <c r="M12" s="496"/>
      <c r="N12" s="497" t="s">
        <v>856</v>
      </c>
      <c r="O12" s="498"/>
      <c r="P12" s="498"/>
      <c r="Q12" s="498"/>
      <c r="R12" s="498"/>
      <c r="S12" s="498"/>
      <c r="T12" s="498"/>
      <c r="U12" s="497" t="s">
        <v>857</v>
      </c>
      <c r="V12" s="498"/>
      <c r="W12" s="499"/>
    </row>
    <row r="13" spans="7:43" x14ac:dyDescent="0.4">
      <c r="G13" s="493" t="s">
        <v>858</v>
      </c>
      <c r="H13" s="494"/>
      <c r="I13" s="494"/>
      <c r="J13" s="494"/>
      <c r="K13" s="494"/>
      <c r="L13" s="494"/>
      <c r="M13" s="494"/>
      <c r="N13" s="218" t="s">
        <v>859</v>
      </c>
      <c r="O13" s="219"/>
      <c r="P13" s="219"/>
      <c r="Q13" s="219"/>
      <c r="R13" s="219"/>
      <c r="S13" s="219"/>
      <c r="T13" s="219"/>
      <c r="U13" s="495" t="s">
        <v>860</v>
      </c>
      <c r="V13" s="219"/>
      <c r="W13" s="220"/>
    </row>
    <row r="14" spans="7:43" x14ac:dyDescent="0.4">
      <c r="G14" s="491" t="s">
        <v>861</v>
      </c>
      <c r="H14" s="492"/>
      <c r="I14" s="492"/>
      <c r="J14" s="492"/>
      <c r="K14" s="492"/>
      <c r="L14" s="492"/>
      <c r="M14" s="492"/>
      <c r="N14" s="488" t="s">
        <v>862</v>
      </c>
      <c r="O14" s="489"/>
      <c r="P14" s="489"/>
      <c r="Q14" s="489"/>
      <c r="R14" s="489"/>
      <c r="S14" s="489"/>
      <c r="T14" s="489"/>
      <c r="U14" s="488" t="s">
        <v>863</v>
      </c>
      <c r="V14" s="489"/>
      <c r="W14" s="490"/>
    </row>
    <row r="15" spans="7:43" x14ac:dyDescent="0.4">
      <c r="G15" s="500" t="s">
        <v>864</v>
      </c>
      <c r="H15" s="187"/>
      <c r="I15" s="187"/>
      <c r="J15" s="187"/>
      <c r="K15" s="187"/>
      <c r="L15" s="187"/>
      <c r="M15" s="187"/>
      <c r="N15" s="484" t="s">
        <v>865</v>
      </c>
      <c r="O15" s="485"/>
      <c r="P15" s="485"/>
      <c r="Q15" s="485"/>
      <c r="R15" s="485"/>
      <c r="S15" s="485"/>
      <c r="T15" s="485"/>
      <c r="U15" s="484" t="s">
        <v>866</v>
      </c>
      <c r="V15" s="485"/>
      <c r="W15" s="486"/>
    </row>
    <row r="16" spans="7:43" x14ac:dyDescent="0.4">
      <c r="G16" s="500" t="s">
        <v>867</v>
      </c>
      <c r="H16" s="187"/>
      <c r="I16" s="187"/>
      <c r="J16" s="187"/>
      <c r="K16" s="187"/>
      <c r="L16" s="187"/>
      <c r="M16" s="187"/>
      <c r="N16" s="484" t="s">
        <v>868</v>
      </c>
      <c r="O16" s="485"/>
      <c r="P16" s="485"/>
      <c r="Q16" s="485"/>
      <c r="R16" s="485"/>
      <c r="S16" s="485"/>
      <c r="T16" s="485"/>
      <c r="U16" s="484" t="s">
        <v>348</v>
      </c>
      <c r="V16" s="485"/>
      <c r="W16" s="486"/>
    </row>
    <row r="17" spans="7:53" x14ac:dyDescent="0.4">
      <c r="G17" s="500" t="s">
        <v>869</v>
      </c>
      <c r="H17" s="187"/>
      <c r="I17" s="187"/>
      <c r="J17" s="187"/>
      <c r="K17" s="187"/>
      <c r="L17" s="187"/>
      <c r="M17" s="187"/>
      <c r="N17" s="484" t="s">
        <v>870</v>
      </c>
      <c r="O17" s="485"/>
      <c r="P17" s="485"/>
      <c r="Q17" s="485"/>
      <c r="R17" s="485"/>
      <c r="S17" s="485"/>
      <c r="T17" s="485"/>
      <c r="U17" s="484" t="s">
        <v>871</v>
      </c>
      <c r="V17" s="485"/>
      <c r="W17" s="486"/>
    </row>
    <row r="18" spans="7:53" x14ac:dyDescent="0.4">
      <c r="G18" s="500" t="s">
        <v>872</v>
      </c>
      <c r="H18" s="187"/>
      <c r="I18" s="187"/>
      <c r="J18" s="187"/>
      <c r="K18" s="187"/>
      <c r="L18" s="187"/>
      <c r="M18" s="187"/>
      <c r="N18" s="484" t="s">
        <v>873</v>
      </c>
      <c r="O18" s="485"/>
      <c r="P18" s="485"/>
      <c r="Q18" s="485"/>
      <c r="R18" s="485"/>
      <c r="S18" s="485"/>
      <c r="T18" s="485"/>
      <c r="U18" s="484" t="s">
        <v>874</v>
      </c>
      <c r="V18" s="485"/>
      <c r="W18" s="486"/>
    </row>
    <row r="19" spans="7:53" x14ac:dyDescent="0.4">
      <c r="G19" s="500" t="s">
        <v>875</v>
      </c>
      <c r="H19" s="187"/>
      <c r="I19" s="187"/>
      <c r="J19" s="187"/>
      <c r="K19" s="187"/>
      <c r="L19" s="187"/>
      <c r="M19" s="187"/>
      <c r="N19" s="484" t="s">
        <v>876</v>
      </c>
      <c r="O19" s="485"/>
      <c r="P19" s="485"/>
      <c r="Q19" s="485"/>
      <c r="R19" s="485"/>
      <c r="S19" s="485"/>
      <c r="T19" s="485"/>
      <c r="U19" s="484" t="s">
        <v>877</v>
      </c>
      <c r="V19" s="485"/>
      <c r="W19" s="486"/>
    </row>
    <row r="20" spans="7:53" x14ac:dyDescent="0.4">
      <c r="G20" s="500" t="s">
        <v>878</v>
      </c>
      <c r="H20" s="187"/>
      <c r="I20" s="187"/>
      <c r="J20" s="187"/>
      <c r="K20" s="187"/>
      <c r="L20" s="187"/>
      <c r="M20" s="187"/>
      <c r="N20" s="484" t="s">
        <v>879</v>
      </c>
      <c r="O20" s="485"/>
      <c r="P20" s="485"/>
      <c r="Q20" s="485"/>
      <c r="R20" s="485"/>
      <c r="S20" s="485"/>
      <c r="T20" s="485"/>
      <c r="U20" s="484" t="s">
        <v>351</v>
      </c>
      <c r="V20" s="485"/>
      <c r="W20" s="486"/>
    </row>
    <row r="22" spans="7:53" x14ac:dyDescent="0.4">
      <c r="Q22" s="1"/>
    </row>
    <row r="23" spans="7:53" x14ac:dyDescent="0.4">
      <c r="G23" s="504" t="s">
        <v>880</v>
      </c>
      <c r="H23" s="504"/>
      <c r="I23" s="504"/>
      <c r="J23" s="504"/>
      <c r="K23" s="504"/>
      <c r="L23" s="504"/>
      <c r="M23" s="504"/>
      <c r="N23" s="504"/>
      <c r="O23" s="504"/>
      <c r="P23" s="504"/>
      <c r="Q23" s="504"/>
      <c r="R23" s="504"/>
      <c r="S23" s="504"/>
      <c r="T23" s="504"/>
      <c r="U23" s="504"/>
      <c r="V23" s="504"/>
      <c r="W23" s="504"/>
      <c r="X23" s="504"/>
      <c r="Y23" s="504"/>
      <c r="Z23" s="504"/>
      <c r="AA23" s="504"/>
      <c r="AB23" s="504"/>
      <c r="AC23" s="504"/>
      <c r="AD23" s="504"/>
      <c r="AE23" s="504"/>
      <c r="AF23" s="504"/>
      <c r="AG23" s="504"/>
      <c r="AH23" s="504"/>
      <c r="AI23" s="504"/>
      <c r="AJ23" s="504"/>
      <c r="AK23" s="504"/>
      <c r="AL23" s="504"/>
      <c r="AM23" s="504"/>
      <c r="AN23" s="504"/>
      <c r="AO23" s="504"/>
      <c r="AP23" s="504"/>
      <c r="AQ23" s="504"/>
      <c r="AR23" s="504"/>
      <c r="AS23" s="504"/>
      <c r="AT23" s="504"/>
      <c r="AU23" s="504"/>
      <c r="AV23" s="504"/>
      <c r="AW23" s="504"/>
      <c r="AX23" s="504"/>
      <c r="AY23" s="504"/>
      <c r="AZ23" s="504"/>
      <c r="BA23" s="504"/>
    </row>
    <row r="24" spans="7:53" x14ac:dyDescent="0.4">
      <c r="G24" s="505" t="s">
        <v>433</v>
      </c>
      <c r="H24" s="240"/>
      <c r="I24" s="240"/>
      <c r="J24" s="240"/>
      <c r="K24" s="240"/>
      <c r="L24" s="240"/>
      <c r="M24" s="240"/>
      <c r="N24" s="240"/>
      <c r="O24" s="240"/>
      <c r="P24" s="240"/>
      <c r="Q24" s="240" t="s">
        <v>1</v>
      </c>
      <c r="R24" s="240"/>
      <c r="S24" s="240"/>
      <c r="T24" s="240"/>
      <c r="U24" s="240"/>
      <c r="V24" s="240"/>
      <c r="W24" s="240"/>
      <c r="X24" s="240"/>
      <c r="Y24" s="240"/>
      <c r="Z24" s="247" t="s">
        <v>434</v>
      </c>
      <c r="AA24" s="247"/>
      <c r="AB24" s="243" t="s">
        <v>435</v>
      </c>
      <c r="AC24" s="244"/>
      <c r="AD24" s="244"/>
      <c r="AE24" s="244"/>
      <c r="AF24" s="245"/>
      <c r="AG24" s="246" t="s">
        <v>436</v>
      </c>
      <c r="AH24" s="246"/>
      <c r="AI24" s="504" t="s">
        <v>437</v>
      </c>
      <c r="AJ24" s="504"/>
      <c r="AK24" s="504"/>
      <c r="AL24" s="504"/>
      <c r="AM24" s="504"/>
      <c r="AN24" s="504"/>
      <c r="AO24" s="504"/>
      <c r="AP24" s="504"/>
      <c r="AQ24" s="504"/>
      <c r="AR24" s="504"/>
      <c r="AS24" s="504"/>
      <c r="AT24" s="504"/>
      <c r="AU24" s="504"/>
      <c r="AV24" s="504"/>
      <c r="AW24" s="504"/>
      <c r="AX24" s="504"/>
      <c r="AY24" s="504"/>
      <c r="AZ24" s="504"/>
      <c r="BA24" s="504"/>
    </row>
    <row r="25" spans="7:53" ht="18.75" customHeight="1" x14ac:dyDescent="0.4">
      <c r="G25" s="501" t="s">
        <v>438</v>
      </c>
      <c r="H25" s="501"/>
      <c r="I25" s="501"/>
      <c r="J25" s="501"/>
      <c r="K25" s="501"/>
      <c r="L25" s="501"/>
      <c r="M25" s="501"/>
      <c r="N25" s="501"/>
      <c r="O25" s="501"/>
      <c r="P25" s="501"/>
      <c r="Q25" s="502" t="s">
        <v>881</v>
      </c>
      <c r="R25" s="502"/>
      <c r="S25" s="502"/>
      <c r="T25" s="502"/>
      <c r="U25" s="502"/>
      <c r="V25" s="502"/>
      <c r="W25" s="502"/>
      <c r="X25" s="502"/>
      <c r="Y25" s="503"/>
      <c r="Z25" s="266" t="s">
        <v>439</v>
      </c>
      <c r="AA25" s="268"/>
      <c r="AB25" s="266" t="s">
        <v>440</v>
      </c>
      <c r="AC25" s="268"/>
      <c r="AD25" s="268"/>
      <c r="AE25" s="268"/>
      <c r="AF25" s="267"/>
      <c r="AG25" s="136" t="s">
        <v>441</v>
      </c>
      <c r="AH25" s="138"/>
      <c r="AI25" s="362" t="s">
        <v>882</v>
      </c>
      <c r="AJ25" s="362"/>
      <c r="AK25" s="362"/>
      <c r="AL25" s="362"/>
      <c r="AM25" s="362"/>
      <c r="AN25" s="362"/>
      <c r="AO25" s="362"/>
      <c r="AP25" s="362"/>
      <c r="AQ25" s="362"/>
      <c r="AR25" s="362"/>
      <c r="AS25" s="362"/>
      <c r="AT25" s="362"/>
      <c r="AU25" s="362"/>
      <c r="AV25" s="362"/>
      <c r="AW25" s="362"/>
      <c r="AX25" s="362"/>
      <c r="AY25" s="362"/>
      <c r="AZ25" s="362"/>
      <c r="BA25" s="362"/>
    </row>
    <row r="26" spans="7:53" ht="18.75" customHeight="1" x14ac:dyDescent="0.4">
      <c r="G26" s="506" t="s">
        <v>883</v>
      </c>
      <c r="H26" s="506"/>
      <c r="I26" s="506"/>
      <c r="J26" s="506"/>
      <c r="K26" s="506"/>
      <c r="L26" s="506"/>
      <c r="M26" s="506"/>
      <c r="N26" s="506"/>
      <c r="O26" s="506"/>
      <c r="P26" s="506"/>
      <c r="Q26" s="507" t="s">
        <v>884</v>
      </c>
      <c r="R26" s="507"/>
      <c r="S26" s="507"/>
      <c r="T26" s="507"/>
      <c r="U26" s="507"/>
      <c r="V26" s="507"/>
      <c r="W26" s="507"/>
      <c r="X26" s="507"/>
      <c r="Y26" s="507"/>
      <c r="Z26" s="309" t="s">
        <v>2</v>
      </c>
      <c r="AA26" s="309"/>
      <c r="AB26" s="390" t="s">
        <v>698</v>
      </c>
      <c r="AC26" s="390"/>
      <c r="AD26" s="390"/>
      <c r="AE26" s="390"/>
      <c r="AF26" s="390"/>
      <c r="AG26" s="152" t="s">
        <v>442</v>
      </c>
      <c r="AH26" s="152"/>
      <c r="AI26" s="508" t="s">
        <v>885</v>
      </c>
      <c r="AJ26" s="508"/>
      <c r="AK26" s="508"/>
      <c r="AL26" s="508"/>
      <c r="AM26" s="508"/>
      <c r="AN26" s="508"/>
      <c r="AO26" s="508"/>
      <c r="AP26" s="508"/>
      <c r="AQ26" s="508"/>
      <c r="AR26" s="508"/>
      <c r="AS26" s="508"/>
      <c r="AT26" s="508"/>
      <c r="AU26" s="508"/>
      <c r="AV26" s="508"/>
      <c r="AW26" s="508"/>
      <c r="AX26" s="508"/>
      <c r="AY26" s="508"/>
      <c r="AZ26" s="508"/>
      <c r="BA26" s="508"/>
    </row>
    <row r="27" spans="7:53" ht="18.75" customHeight="1" x14ac:dyDescent="0.4">
      <c r="G27" s="506"/>
      <c r="H27" s="506"/>
      <c r="I27" s="506"/>
      <c r="J27" s="506"/>
      <c r="K27" s="506"/>
      <c r="L27" s="506"/>
      <c r="M27" s="506"/>
      <c r="N27" s="506"/>
      <c r="O27" s="506"/>
      <c r="P27" s="506"/>
      <c r="Q27" s="507"/>
      <c r="R27" s="507"/>
      <c r="S27" s="507"/>
      <c r="T27" s="507"/>
      <c r="U27" s="507"/>
      <c r="V27" s="507"/>
      <c r="W27" s="507"/>
      <c r="X27" s="507"/>
      <c r="Y27" s="507"/>
      <c r="Z27" s="309"/>
      <c r="AA27" s="309"/>
      <c r="AB27" s="390"/>
      <c r="AC27" s="390"/>
      <c r="AD27" s="390"/>
      <c r="AE27" s="390"/>
      <c r="AF27" s="390"/>
      <c r="AG27" s="152"/>
      <c r="AH27" s="152"/>
      <c r="AI27" s="508"/>
      <c r="AJ27" s="508"/>
      <c r="AK27" s="508"/>
      <c r="AL27" s="508"/>
      <c r="AM27" s="508"/>
      <c r="AN27" s="508"/>
      <c r="AO27" s="508"/>
      <c r="AP27" s="508"/>
      <c r="AQ27" s="508"/>
      <c r="AR27" s="508"/>
      <c r="AS27" s="508"/>
      <c r="AT27" s="508"/>
      <c r="AU27" s="508"/>
      <c r="AV27" s="508"/>
      <c r="AW27" s="508"/>
      <c r="AX27" s="508"/>
      <c r="AY27" s="508"/>
      <c r="AZ27" s="508"/>
      <c r="BA27" s="508"/>
    </row>
    <row r="28" spans="7:53" ht="18.75" customHeight="1" x14ac:dyDescent="0.4">
      <c r="G28" s="506"/>
      <c r="H28" s="506"/>
      <c r="I28" s="506"/>
      <c r="J28" s="506"/>
      <c r="K28" s="506"/>
      <c r="L28" s="506"/>
      <c r="M28" s="506"/>
      <c r="N28" s="506"/>
      <c r="O28" s="506"/>
      <c r="P28" s="506"/>
      <c r="Q28" s="507"/>
      <c r="R28" s="507"/>
      <c r="S28" s="507"/>
      <c r="T28" s="507"/>
      <c r="U28" s="507"/>
      <c r="V28" s="507"/>
      <c r="W28" s="507"/>
      <c r="X28" s="507"/>
      <c r="Y28" s="507"/>
      <c r="Z28" s="309"/>
      <c r="AA28" s="309"/>
      <c r="AB28" s="390"/>
      <c r="AC28" s="390"/>
      <c r="AD28" s="390"/>
      <c r="AE28" s="390"/>
      <c r="AF28" s="390"/>
      <c r="AG28" s="152"/>
      <c r="AH28" s="152"/>
      <c r="AI28" s="508"/>
      <c r="AJ28" s="508"/>
      <c r="AK28" s="508"/>
      <c r="AL28" s="508"/>
      <c r="AM28" s="508"/>
      <c r="AN28" s="508"/>
      <c r="AO28" s="508"/>
      <c r="AP28" s="508"/>
      <c r="AQ28" s="508"/>
      <c r="AR28" s="508"/>
      <c r="AS28" s="508"/>
      <c r="AT28" s="508"/>
      <c r="AU28" s="508"/>
      <c r="AV28" s="508"/>
      <c r="AW28" s="508"/>
      <c r="AX28" s="508"/>
      <c r="AY28" s="508"/>
      <c r="AZ28" s="508"/>
      <c r="BA28" s="508"/>
    </row>
    <row r="29" spans="7:53" x14ac:dyDescent="0.4">
      <c r="G29" s="506"/>
      <c r="H29" s="506"/>
      <c r="I29" s="506"/>
      <c r="J29" s="506"/>
      <c r="K29" s="506"/>
      <c r="L29" s="506"/>
      <c r="M29" s="506"/>
      <c r="N29" s="506"/>
      <c r="O29" s="506"/>
      <c r="P29" s="506"/>
      <c r="Q29" s="507"/>
      <c r="R29" s="507"/>
      <c r="S29" s="507"/>
      <c r="T29" s="507"/>
      <c r="U29" s="507"/>
      <c r="V29" s="507"/>
      <c r="W29" s="507"/>
      <c r="X29" s="507"/>
      <c r="Y29" s="507"/>
      <c r="Z29" s="509" t="s">
        <v>791</v>
      </c>
      <c r="AA29" s="509"/>
      <c r="AB29" s="510" t="s">
        <v>259</v>
      </c>
      <c r="AC29" s="510"/>
      <c r="AD29" s="510"/>
      <c r="AE29" s="510"/>
      <c r="AF29" s="510"/>
      <c r="AG29" s="511" t="s">
        <v>259</v>
      </c>
      <c r="AH29" s="511"/>
      <c r="AI29" s="512" t="s">
        <v>258</v>
      </c>
      <c r="AJ29" s="512"/>
      <c r="AK29" s="512"/>
      <c r="AL29" s="512"/>
      <c r="AM29" s="512"/>
      <c r="AN29" s="512"/>
      <c r="AO29" s="512"/>
      <c r="AP29" s="512"/>
      <c r="AQ29" s="512"/>
      <c r="AR29" s="512"/>
      <c r="AS29" s="512"/>
      <c r="AT29" s="512"/>
      <c r="AU29" s="512"/>
      <c r="AV29" s="512"/>
      <c r="AW29" s="512"/>
      <c r="AX29" s="512"/>
      <c r="AY29" s="512"/>
      <c r="AZ29" s="512"/>
      <c r="BA29" s="512"/>
    </row>
    <row r="30" spans="7:53" ht="18.75" customHeight="1" x14ac:dyDescent="0.4">
      <c r="G30" s="260" t="s">
        <v>886</v>
      </c>
      <c r="H30" s="261"/>
      <c r="I30" s="261"/>
      <c r="J30" s="261"/>
      <c r="K30" s="261"/>
      <c r="L30" s="261"/>
      <c r="M30" s="261"/>
      <c r="N30" s="261"/>
      <c r="O30" s="261"/>
      <c r="P30" s="261"/>
      <c r="Q30" s="514" t="s">
        <v>887</v>
      </c>
      <c r="R30" s="515"/>
      <c r="S30" s="515"/>
      <c r="T30" s="515"/>
      <c r="U30" s="515"/>
      <c r="V30" s="515"/>
      <c r="W30" s="515"/>
      <c r="X30" s="515"/>
      <c r="Y30" s="516"/>
      <c r="Z30" s="309" t="s">
        <v>443</v>
      </c>
      <c r="AA30" s="309"/>
      <c r="AB30" s="390" t="s">
        <v>444</v>
      </c>
      <c r="AC30" s="390"/>
      <c r="AD30" s="390"/>
      <c r="AE30" s="390"/>
      <c r="AF30" s="390"/>
      <c r="AG30" s="152" t="s">
        <v>442</v>
      </c>
      <c r="AH30" s="152"/>
      <c r="AI30" s="362" t="s">
        <v>888</v>
      </c>
      <c r="AJ30" s="362"/>
      <c r="AK30" s="362"/>
      <c r="AL30" s="362"/>
      <c r="AM30" s="362"/>
      <c r="AN30" s="362"/>
      <c r="AO30" s="362"/>
      <c r="AP30" s="362"/>
      <c r="AQ30" s="362"/>
      <c r="AR30" s="362"/>
      <c r="AS30" s="362"/>
      <c r="AT30" s="362"/>
      <c r="AU30" s="362"/>
      <c r="AV30" s="362"/>
      <c r="AW30" s="362"/>
      <c r="AX30" s="362"/>
      <c r="AY30" s="362"/>
      <c r="AZ30" s="362"/>
      <c r="BA30" s="362"/>
    </row>
    <row r="31" spans="7:53" ht="18.75" customHeight="1" x14ac:dyDescent="0.4">
      <c r="G31" s="263"/>
      <c r="H31" s="264"/>
      <c r="I31" s="264"/>
      <c r="J31" s="264"/>
      <c r="K31" s="264"/>
      <c r="L31" s="264"/>
      <c r="M31" s="264"/>
      <c r="N31" s="264"/>
      <c r="O31" s="264"/>
      <c r="P31" s="264"/>
      <c r="Q31" s="517"/>
      <c r="R31" s="518"/>
      <c r="S31" s="518"/>
      <c r="T31" s="518"/>
      <c r="U31" s="518"/>
      <c r="V31" s="518"/>
      <c r="W31" s="518"/>
      <c r="X31" s="518"/>
      <c r="Y31" s="519"/>
      <c r="Z31" s="309"/>
      <c r="AA31" s="309"/>
      <c r="AB31" s="390"/>
      <c r="AC31" s="390"/>
      <c r="AD31" s="390"/>
      <c r="AE31" s="390"/>
      <c r="AF31" s="390"/>
      <c r="AG31" s="152"/>
      <c r="AH31" s="152"/>
      <c r="AI31" s="362"/>
      <c r="AJ31" s="362"/>
      <c r="AK31" s="362"/>
      <c r="AL31" s="362"/>
      <c r="AM31" s="362"/>
      <c r="AN31" s="362"/>
      <c r="AO31" s="362"/>
      <c r="AP31" s="362"/>
      <c r="AQ31" s="362"/>
      <c r="AR31" s="362"/>
      <c r="AS31" s="362"/>
      <c r="AT31" s="362"/>
      <c r="AU31" s="362"/>
      <c r="AV31" s="362"/>
      <c r="AW31" s="362"/>
      <c r="AX31" s="362"/>
      <c r="AY31" s="362"/>
      <c r="AZ31" s="362"/>
      <c r="BA31" s="362"/>
    </row>
    <row r="32" spans="7:53" ht="18.75" customHeight="1" x14ac:dyDescent="0.4">
      <c r="G32" s="263"/>
      <c r="H32" s="264"/>
      <c r="I32" s="264"/>
      <c r="J32" s="264"/>
      <c r="K32" s="264"/>
      <c r="L32" s="264"/>
      <c r="M32" s="264"/>
      <c r="N32" s="264"/>
      <c r="O32" s="264"/>
      <c r="P32" s="264"/>
      <c r="Q32" s="517"/>
      <c r="R32" s="518"/>
      <c r="S32" s="518"/>
      <c r="T32" s="518"/>
      <c r="U32" s="518"/>
      <c r="V32" s="518"/>
      <c r="W32" s="518"/>
      <c r="X32" s="518"/>
      <c r="Y32" s="519"/>
      <c r="Z32" s="281" t="s">
        <v>445</v>
      </c>
      <c r="AA32" s="282"/>
      <c r="AB32" s="254" t="s">
        <v>447</v>
      </c>
      <c r="AC32" s="258"/>
      <c r="AD32" s="258"/>
      <c r="AE32" s="258"/>
      <c r="AF32" s="255"/>
      <c r="AG32" s="248" t="s">
        <v>442</v>
      </c>
      <c r="AH32" s="250"/>
      <c r="AI32" s="287" t="s">
        <v>889</v>
      </c>
      <c r="AJ32" s="288"/>
      <c r="AK32" s="288"/>
      <c r="AL32" s="288"/>
      <c r="AM32" s="288"/>
      <c r="AN32" s="288"/>
      <c r="AO32" s="288"/>
      <c r="AP32" s="288"/>
      <c r="AQ32" s="288"/>
      <c r="AR32" s="288"/>
      <c r="AS32" s="288"/>
      <c r="AT32" s="288"/>
      <c r="AU32" s="288"/>
      <c r="AV32" s="288"/>
      <c r="AW32" s="288"/>
      <c r="AX32" s="288"/>
      <c r="AY32" s="288"/>
      <c r="AZ32" s="288"/>
      <c r="BA32" s="289"/>
    </row>
    <row r="33" spans="7:53" ht="18.75" customHeight="1" x14ac:dyDescent="0.4">
      <c r="G33" s="263"/>
      <c r="H33" s="264"/>
      <c r="I33" s="264"/>
      <c r="J33" s="264"/>
      <c r="K33" s="264"/>
      <c r="L33" s="264"/>
      <c r="M33" s="264"/>
      <c r="N33" s="264"/>
      <c r="O33" s="264"/>
      <c r="P33" s="264"/>
      <c r="Q33" s="517"/>
      <c r="R33" s="518"/>
      <c r="S33" s="518"/>
      <c r="T33" s="518"/>
      <c r="U33" s="518"/>
      <c r="V33" s="518"/>
      <c r="W33" s="518"/>
      <c r="X33" s="518"/>
      <c r="Y33" s="519"/>
      <c r="Z33" s="321"/>
      <c r="AA33" s="322"/>
      <c r="AB33" s="360"/>
      <c r="AC33" s="455"/>
      <c r="AD33" s="455"/>
      <c r="AE33" s="455"/>
      <c r="AF33" s="361"/>
      <c r="AG33" s="460"/>
      <c r="AH33" s="462"/>
      <c r="AI33" s="324"/>
      <c r="AJ33" s="325"/>
      <c r="AK33" s="325"/>
      <c r="AL33" s="325"/>
      <c r="AM33" s="325"/>
      <c r="AN33" s="325"/>
      <c r="AO33" s="325"/>
      <c r="AP33" s="325"/>
      <c r="AQ33" s="325"/>
      <c r="AR33" s="325"/>
      <c r="AS33" s="325"/>
      <c r="AT33" s="325"/>
      <c r="AU33" s="325"/>
      <c r="AV33" s="325"/>
      <c r="AW33" s="325"/>
      <c r="AX33" s="325"/>
      <c r="AY33" s="325"/>
      <c r="AZ33" s="325"/>
      <c r="BA33" s="326"/>
    </row>
    <row r="34" spans="7:53" ht="18.75" customHeight="1" x14ac:dyDescent="0.4">
      <c r="G34" s="263"/>
      <c r="H34" s="264"/>
      <c r="I34" s="264"/>
      <c r="J34" s="264"/>
      <c r="K34" s="264"/>
      <c r="L34" s="264"/>
      <c r="M34" s="264"/>
      <c r="N34" s="264"/>
      <c r="O34" s="264"/>
      <c r="P34" s="264"/>
      <c r="Q34" s="517"/>
      <c r="R34" s="518"/>
      <c r="S34" s="518"/>
      <c r="T34" s="518"/>
      <c r="U34" s="518"/>
      <c r="V34" s="518"/>
      <c r="W34" s="518"/>
      <c r="X34" s="518"/>
      <c r="Y34" s="519"/>
      <c r="Z34" s="301" t="s">
        <v>446</v>
      </c>
      <c r="AA34" s="303"/>
      <c r="AB34" s="266" t="s">
        <v>449</v>
      </c>
      <c r="AC34" s="268"/>
      <c r="AD34" s="268"/>
      <c r="AE34" s="268"/>
      <c r="AF34" s="267"/>
      <c r="AG34" s="136" t="s">
        <v>442</v>
      </c>
      <c r="AH34" s="138"/>
      <c r="AI34" s="513" t="s">
        <v>890</v>
      </c>
      <c r="AJ34" s="306"/>
      <c r="AK34" s="306"/>
      <c r="AL34" s="306"/>
      <c r="AM34" s="306"/>
      <c r="AN34" s="306"/>
      <c r="AO34" s="306"/>
      <c r="AP34" s="306"/>
      <c r="AQ34" s="306"/>
      <c r="AR34" s="306"/>
      <c r="AS34" s="306"/>
      <c r="AT34" s="306"/>
      <c r="AU34" s="306"/>
      <c r="AV34" s="306"/>
      <c r="AW34" s="306"/>
      <c r="AX34" s="306"/>
      <c r="AY34" s="306"/>
      <c r="AZ34" s="306"/>
      <c r="BA34" s="307"/>
    </row>
    <row r="35" spans="7:53" ht="18.75" customHeight="1" x14ac:dyDescent="0.4">
      <c r="G35" s="263"/>
      <c r="H35" s="264"/>
      <c r="I35" s="264"/>
      <c r="J35" s="264"/>
      <c r="K35" s="264"/>
      <c r="L35" s="264"/>
      <c r="M35" s="264"/>
      <c r="N35" s="264"/>
      <c r="O35" s="264"/>
      <c r="P35" s="264"/>
      <c r="Q35" s="517"/>
      <c r="R35" s="518"/>
      <c r="S35" s="518"/>
      <c r="T35" s="518"/>
      <c r="U35" s="518"/>
      <c r="V35" s="518"/>
      <c r="W35" s="518"/>
      <c r="X35" s="518"/>
      <c r="Y35" s="519"/>
      <c r="Z35" s="281" t="s">
        <v>448</v>
      </c>
      <c r="AA35" s="282"/>
      <c r="AB35" s="281" t="s">
        <v>451</v>
      </c>
      <c r="AC35" s="285"/>
      <c r="AD35" s="285"/>
      <c r="AE35" s="285"/>
      <c r="AF35" s="282"/>
      <c r="AG35" s="272" t="s">
        <v>442</v>
      </c>
      <c r="AH35" s="274"/>
      <c r="AI35" s="287" t="s">
        <v>891</v>
      </c>
      <c r="AJ35" s="288"/>
      <c r="AK35" s="288"/>
      <c r="AL35" s="288"/>
      <c r="AM35" s="288"/>
      <c r="AN35" s="288"/>
      <c r="AO35" s="288"/>
      <c r="AP35" s="288"/>
      <c r="AQ35" s="288"/>
      <c r="AR35" s="288"/>
      <c r="AS35" s="288"/>
      <c r="AT35" s="288"/>
      <c r="AU35" s="288"/>
      <c r="AV35" s="288"/>
      <c r="AW35" s="288"/>
      <c r="AX35" s="288"/>
      <c r="AY35" s="288"/>
      <c r="AZ35" s="288"/>
      <c r="BA35" s="289"/>
    </row>
    <row r="36" spans="7:53" ht="18.75" customHeight="1" x14ac:dyDescent="0.4">
      <c r="G36" s="263"/>
      <c r="H36" s="264"/>
      <c r="I36" s="264"/>
      <c r="J36" s="264"/>
      <c r="K36" s="264"/>
      <c r="L36" s="264"/>
      <c r="M36" s="264"/>
      <c r="N36" s="264"/>
      <c r="O36" s="264"/>
      <c r="P36" s="264"/>
      <c r="Q36" s="517"/>
      <c r="R36" s="518"/>
      <c r="S36" s="518"/>
      <c r="T36" s="518"/>
      <c r="U36" s="518"/>
      <c r="V36" s="518"/>
      <c r="W36" s="518"/>
      <c r="X36" s="518"/>
      <c r="Y36" s="519"/>
      <c r="Z36" s="321"/>
      <c r="AA36" s="322"/>
      <c r="AB36" s="321"/>
      <c r="AC36" s="323"/>
      <c r="AD36" s="323"/>
      <c r="AE36" s="323"/>
      <c r="AF36" s="322"/>
      <c r="AG36" s="278"/>
      <c r="AH36" s="280"/>
      <c r="AI36" s="324"/>
      <c r="AJ36" s="325"/>
      <c r="AK36" s="325"/>
      <c r="AL36" s="325"/>
      <c r="AM36" s="325"/>
      <c r="AN36" s="325"/>
      <c r="AO36" s="325"/>
      <c r="AP36" s="325"/>
      <c r="AQ36" s="325"/>
      <c r="AR36" s="325"/>
      <c r="AS36" s="325"/>
      <c r="AT36" s="325"/>
      <c r="AU36" s="325"/>
      <c r="AV36" s="325"/>
      <c r="AW36" s="325"/>
      <c r="AX36" s="325"/>
      <c r="AY36" s="325"/>
      <c r="AZ36" s="325"/>
      <c r="BA36" s="326"/>
    </row>
    <row r="37" spans="7:53" ht="18.75" customHeight="1" x14ac:dyDescent="0.4">
      <c r="G37" s="472"/>
      <c r="H37" s="473"/>
      <c r="I37" s="473"/>
      <c r="J37" s="473"/>
      <c r="K37" s="473"/>
      <c r="L37" s="473"/>
      <c r="M37" s="473"/>
      <c r="N37" s="473"/>
      <c r="O37" s="473"/>
      <c r="P37" s="473"/>
      <c r="Q37" s="520"/>
      <c r="R37" s="521"/>
      <c r="S37" s="521"/>
      <c r="T37" s="521"/>
      <c r="U37" s="521"/>
      <c r="V37" s="521"/>
      <c r="W37" s="521"/>
      <c r="X37" s="521"/>
      <c r="Y37" s="522"/>
      <c r="Z37" s="509" t="s">
        <v>892</v>
      </c>
      <c r="AA37" s="509"/>
      <c r="AB37" s="510" t="s">
        <v>259</v>
      </c>
      <c r="AC37" s="510"/>
      <c r="AD37" s="510"/>
      <c r="AE37" s="510"/>
      <c r="AF37" s="510"/>
      <c r="AG37" s="511" t="s">
        <v>259</v>
      </c>
      <c r="AH37" s="511"/>
      <c r="AI37" s="512" t="s">
        <v>258</v>
      </c>
      <c r="AJ37" s="512"/>
      <c r="AK37" s="512"/>
      <c r="AL37" s="512"/>
      <c r="AM37" s="512"/>
      <c r="AN37" s="512"/>
      <c r="AO37" s="512"/>
      <c r="AP37" s="512"/>
      <c r="AQ37" s="512"/>
      <c r="AR37" s="512"/>
      <c r="AS37" s="512"/>
      <c r="AT37" s="512"/>
      <c r="AU37" s="512"/>
      <c r="AV37" s="512"/>
      <c r="AW37" s="512"/>
      <c r="AX37" s="512"/>
      <c r="AY37" s="512"/>
      <c r="AZ37" s="512"/>
      <c r="BA37" s="512"/>
    </row>
    <row r="38" spans="7:53" ht="18.75" customHeight="1" x14ac:dyDescent="0.4">
      <c r="G38" s="385" t="str">
        <f>"予約 (" &amp; HEX2DEC("100") - HEX2DEC("C") &amp; "Bytes)"</f>
        <v>予約 (244Bytes)</v>
      </c>
      <c r="H38" s="452"/>
      <c r="I38" s="452"/>
      <c r="J38" s="452"/>
      <c r="K38" s="452"/>
      <c r="L38" s="452"/>
      <c r="M38" s="452"/>
      <c r="N38" s="452"/>
      <c r="O38" s="452"/>
      <c r="P38" s="452"/>
      <c r="Q38" s="452"/>
      <c r="R38" s="452"/>
      <c r="S38" s="452"/>
      <c r="T38" s="452"/>
      <c r="U38" s="452"/>
      <c r="V38" s="452"/>
      <c r="W38" s="452"/>
      <c r="X38" s="452"/>
      <c r="Y38" s="452"/>
      <c r="Z38" s="452"/>
      <c r="AA38" s="452"/>
      <c r="AB38" s="452"/>
      <c r="AC38" s="452"/>
      <c r="AD38" s="452"/>
      <c r="AE38" s="452"/>
      <c r="AF38" s="452"/>
      <c r="AG38" s="452"/>
      <c r="AH38" s="452"/>
      <c r="AI38" s="452"/>
      <c r="AJ38" s="452"/>
      <c r="AK38" s="452"/>
      <c r="AL38" s="452"/>
      <c r="AM38" s="452"/>
      <c r="AN38" s="452"/>
      <c r="AO38" s="452"/>
      <c r="AP38" s="452"/>
      <c r="AQ38" s="452"/>
      <c r="AR38" s="452"/>
      <c r="AS38" s="452"/>
      <c r="AT38" s="452"/>
      <c r="AU38" s="452"/>
      <c r="AV38" s="452"/>
      <c r="AW38" s="452"/>
      <c r="AX38" s="452"/>
      <c r="AY38" s="452"/>
      <c r="AZ38" s="452"/>
      <c r="BA38" s="386"/>
    </row>
    <row r="40" spans="7:53" ht="18.75" customHeight="1" x14ac:dyDescent="0.4"/>
    <row r="41" spans="7:53" ht="18.75" customHeight="1" x14ac:dyDescent="0.4">
      <c r="G41" s="504" t="s">
        <v>893</v>
      </c>
      <c r="H41" s="504"/>
      <c r="I41" s="504"/>
      <c r="J41" s="504"/>
      <c r="K41" s="504"/>
      <c r="L41" s="504"/>
      <c r="M41" s="504"/>
      <c r="N41" s="504"/>
      <c r="O41" s="504"/>
      <c r="P41" s="504"/>
      <c r="Q41" s="504"/>
      <c r="R41" s="504"/>
      <c r="S41" s="504"/>
      <c r="T41" s="504"/>
      <c r="U41" s="504"/>
      <c r="V41" s="504"/>
      <c r="W41" s="504"/>
      <c r="X41" s="504"/>
      <c r="Y41" s="504"/>
      <c r="Z41" s="504"/>
      <c r="AA41" s="504"/>
      <c r="AB41" s="504"/>
      <c r="AC41" s="504"/>
      <c r="AD41" s="504"/>
      <c r="AE41" s="504"/>
      <c r="AF41" s="504"/>
      <c r="AG41" s="504"/>
      <c r="AH41" s="504"/>
      <c r="AI41" s="504"/>
      <c r="AJ41" s="504"/>
      <c r="AK41" s="504"/>
      <c r="AL41" s="504"/>
      <c r="AM41" s="504"/>
      <c r="AN41" s="504"/>
      <c r="AO41" s="504"/>
      <c r="AP41" s="504"/>
      <c r="AQ41" s="504"/>
      <c r="AR41" s="504"/>
      <c r="AS41" s="504"/>
      <c r="AT41" s="504"/>
      <c r="AU41" s="504"/>
      <c r="AV41" s="504"/>
      <c r="AW41" s="504"/>
      <c r="AX41" s="504"/>
      <c r="AY41" s="504"/>
      <c r="AZ41" s="504"/>
      <c r="BA41" s="504"/>
    </row>
    <row r="42" spans="7:53" ht="18.75" customHeight="1" x14ac:dyDescent="0.4">
      <c r="G42" s="505" t="s">
        <v>433</v>
      </c>
      <c r="H42" s="240"/>
      <c r="I42" s="240"/>
      <c r="J42" s="240"/>
      <c r="K42" s="240"/>
      <c r="L42" s="240"/>
      <c r="M42" s="240"/>
      <c r="N42" s="240"/>
      <c r="O42" s="240"/>
      <c r="P42" s="240"/>
      <c r="Q42" s="240" t="s">
        <v>1</v>
      </c>
      <c r="R42" s="240"/>
      <c r="S42" s="240"/>
      <c r="T42" s="240"/>
      <c r="U42" s="240"/>
      <c r="V42" s="240"/>
      <c r="W42" s="240"/>
      <c r="X42" s="240"/>
      <c r="Y42" s="240"/>
      <c r="Z42" s="240" t="s">
        <v>434</v>
      </c>
      <c r="AA42" s="240"/>
      <c r="AB42" s="523" t="s">
        <v>435</v>
      </c>
      <c r="AC42" s="524"/>
      <c r="AD42" s="524"/>
      <c r="AE42" s="524"/>
      <c r="AF42" s="525"/>
      <c r="AG42" s="526" t="s">
        <v>436</v>
      </c>
      <c r="AH42" s="526"/>
      <c r="AI42" s="527" t="s">
        <v>437</v>
      </c>
      <c r="AJ42" s="527"/>
      <c r="AK42" s="527"/>
      <c r="AL42" s="527"/>
      <c r="AM42" s="527"/>
      <c r="AN42" s="527"/>
      <c r="AO42" s="527"/>
      <c r="AP42" s="527"/>
      <c r="AQ42" s="527"/>
      <c r="AR42" s="527"/>
      <c r="AS42" s="527"/>
      <c r="AT42" s="527"/>
      <c r="AU42" s="527"/>
      <c r="AV42" s="527"/>
      <c r="AW42" s="527"/>
      <c r="AX42" s="527"/>
      <c r="AY42" s="527"/>
      <c r="AZ42" s="527"/>
      <c r="BA42" s="527"/>
    </row>
    <row r="43" spans="7:53" ht="18.75" customHeight="1" x14ac:dyDescent="0.4">
      <c r="G43" s="260" t="s">
        <v>894</v>
      </c>
      <c r="H43" s="261"/>
      <c r="I43" s="261"/>
      <c r="J43" s="261"/>
      <c r="K43" s="261"/>
      <c r="L43" s="261"/>
      <c r="M43" s="261"/>
      <c r="N43" s="261"/>
      <c r="O43" s="261"/>
      <c r="P43" s="261"/>
      <c r="Q43" s="514" t="s">
        <v>895</v>
      </c>
      <c r="R43" s="515"/>
      <c r="S43" s="515"/>
      <c r="T43" s="515"/>
      <c r="U43" s="515"/>
      <c r="V43" s="515"/>
      <c r="W43" s="515"/>
      <c r="X43" s="515"/>
      <c r="Y43" s="516"/>
      <c r="Z43" s="390" t="s">
        <v>443</v>
      </c>
      <c r="AA43" s="390"/>
      <c r="AB43" s="390" t="s">
        <v>444</v>
      </c>
      <c r="AC43" s="390"/>
      <c r="AD43" s="390"/>
      <c r="AE43" s="390"/>
      <c r="AF43" s="390"/>
      <c r="AG43" s="152" t="s">
        <v>442</v>
      </c>
      <c r="AH43" s="152"/>
      <c r="AI43" s="362" t="s">
        <v>896</v>
      </c>
      <c r="AJ43" s="362"/>
      <c r="AK43" s="362"/>
      <c r="AL43" s="362"/>
      <c r="AM43" s="362"/>
      <c r="AN43" s="362"/>
      <c r="AO43" s="362"/>
      <c r="AP43" s="362"/>
      <c r="AQ43" s="362"/>
      <c r="AR43" s="362"/>
      <c r="AS43" s="362"/>
      <c r="AT43" s="362"/>
      <c r="AU43" s="362"/>
      <c r="AV43" s="362"/>
      <c r="AW43" s="362"/>
      <c r="AX43" s="362"/>
      <c r="AY43" s="362"/>
      <c r="AZ43" s="362"/>
      <c r="BA43" s="362"/>
    </row>
    <row r="44" spans="7:53" ht="18.75" customHeight="1" x14ac:dyDescent="0.4">
      <c r="G44" s="263"/>
      <c r="H44" s="264"/>
      <c r="I44" s="264"/>
      <c r="J44" s="264"/>
      <c r="K44" s="264"/>
      <c r="L44" s="264"/>
      <c r="M44" s="264"/>
      <c r="N44" s="264"/>
      <c r="O44" s="264"/>
      <c r="P44" s="264"/>
      <c r="Q44" s="517"/>
      <c r="R44" s="518"/>
      <c r="S44" s="518"/>
      <c r="T44" s="518"/>
      <c r="U44" s="518"/>
      <c r="V44" s="518"/>
      <c r="W44" s="518"/>
      <c r="X44" s="518"/>
      <c r="Y44" s="519"/>
      <c r="Z44" s="390"/>
      <c r="AA44" s="390"/>
      <c r="AB44" s="390"/>
      <c r="AC44" s="390"/>
      <c r="AD44" s="390"/>
      <c r="AE44" s="390"/>
      <c r="AF44" s="390"/>
      <c r="AG44" s="152"/>
      <c r="AH44" s="152"/>
      <c r="AI44" s="362"/>
      <c r="AJ44" s="362"/>
      <c r="AK44" s="362"/>
      <c r="AL44" s="362"/>
      <c r="AM44" s="362"/>
      <c r="AN44" s="362"/>
      <c r="AO44" s="362"/>
      <c r="AP44" s="362"/>
      <c r="AQ44" s="362"/>
      <c r="AR44" s="362"/>
      <c r="AS44" s="362"/>
      <c r="AT44" s="362"/>
      <c r="AU44" s="362"/>
      <c r="AV44" s="362"/>
      <c r="AW44" s="362"/>
      <c r="AX44" s="362"/>
      <c r="AY44" s="362"/>
      <c r="AZ44" s="362"/>
      <c r="BA44" s="362"/>
    </row>
    <row r="45" spans="7:53" ht="18.75" customHeight="1" x14ac:dyDescent="0.4">
      <c r="G45" s="263"/>
      <c r="H45" s="264"/>
      <c r="I45" s="264"/>
      <c r="J45" s="264"/>
      <c r="K45" s="264"/>
      <c r="L45" s="264"/>
      <c r="M45" s="264"/>
      <c r="N45" s="264"/>
      <c r="O45" s="264"/>
      <c r="P45" s="264"/>
      <c r="Q45" s="517"/>
      <c r="R45" s="518"/>
      <c r="S45" s="518"/>
      <c r="T45" s="518"/>
      <c r="U45" s="518"/>
      <c r="V45" s="518"/>
      <c r="W45" s="518"/>
      <c r="X45" s="518"/>
      <c r="Y45" s="519"/>
      <c r="Z45" s="266" t="s">
        <v>445</v>
      </c>
      <c r="AA45" s="268"/>
      <c r="AB45" s="266" t="s">
        <v>447</v>
      </c>
      <c r="AC45" s="268"/>
      <c r="AD45" s="268"/>
      <c r="AE45" s="268"/>
      <c r="AF45" s="267"/>
      <c r="AG45" s="136" t="s">
        <v>442</v>
      </c>
      <c r="AH45" s="138"/>
      <c r="AI45" s="269" t="s">
        <v>897</v>
      </c>
      <c r="AJ45" s="270"/>
      <c r="AK45" s="270"/>
      <c r="AL45" s="270"/>
      <c r="AM45" s="270"/>
      <c r="AN45" s="270"/>
      <c r="AO45" s="270"/>
      <c r="AP45" s="270"/>
      <c r="AQ45" s="270"/>
      <c r="AR45" s="270"/>
      <c r="AS45" s="270"/>
      <c r="AT45" s="270"/>
      <c r="AU45" s="270"/>
      <c r="AV45" s="270"/>
      <c r="AW45" s="270"/>
      <c r="AX45" s="270"/>
      <c r="AY45" s="270"/>
      <c r="AZ45" s="270"/>
      <c r="BA45" s="271"/>
    </row>
    <row r="46" spans="7:53" ht="18.75" customHeight="1" x14ac:dyDescent="0.4">
      <c r="G46" s="263"/>
      <c r="H46" s="264"/>
      <c r="I46" s="264"/>
      <c r="J46" s="264"/>
      <c r="K46" s="264"/>
      <c r="L46" s="264"/>
      <c r="M46" s="264"/>
      <c r="N46" s="264"/>
      <c r="O46" s="264"/>
      <c r="P46" s="264"/>
      <c r="Q46" s="517"/>
      <c r="R46" s="518"/>
      <c r="S46" s="518"/>
      <c r="T46" s="518"/>
      <c r="U46" s="518"/>
      <c r="V46" s="518"/>
      <c r="W46" s="518"/>
      <c r="X46" s="518"/>
      <c r="Y46" s="519"/>
      <c r="Z46" s="390" t="s">
        <v>446</v>
      </c>
      <c r="AA46" s="390"/>
      <c r="AB46" s="266" t="s">
        <v>449</v>
      </c>
      <c r="AC46" s="268"/>
      <c r="AD46" s="268"/>
      <c r="AE46" s="268"/>
      <c r="AF46" s="267"/>
      <c r="AG46" s="152" t="s">
        <v>442</v>
      </c>
      <c r="AH46" s="152"/>
      <c r="AI46" s="362" t="s">
        <v>898</v>
      </c>
      <c r="AJ46" s="362"/>
      <c r="AK46" s="362"/>
      <c r="AL46" s="362"/>
      <c r="AM46" s="362"/>
      <c r="AN46" s="362"/>
      <c r="AO46" s="362"/>
      <c r="AP46" s="362"/>
      <c r="AQ46" s="362"/>
      <c r="AR46" s="362"/>
      <c r="AS46" s="362"/>
      <c r="AT46" s="362"/>
      <c r="AU46" s="362"/>
      <c r="AV46" s="362"/>
      <c r="AW46" s="362"/>
      <c r="AX46" s="362"/>
      <c r="AY46" s="362"/>
      <c r="AZ46" s="362"/>
      <c r="BA46" s="362"/>
    </row>
    <row r="47" spans="7:53" x14ac:dyDescent="0.4">
      <c r="G47" s="263"/>
      <c r="H47" s="264"/>
      <c r="I47" s="264"/>
      <c r="J47" s="264"/>
      <c r="K47" s="264"/>
      <c r="L47" s="264"/>
      <c r="M47" s="264"/>
      <c r="N47" s="264"/>
      <c r="O47" s="264"/>
      <c r="P47" s="264"/>
      <c r="Q47" s="517"/>
      <c r="R47" s="518"/>
      <c r="S47" s="518"/>
      <c r="T47" s="518"/>
      <c r="U47" s="518"/>
      <c r="V47" s="518"/>
      <c r="W47" s="518"/>
      <c r="X47" s="518"/>
      <c r="Y47" s="519"/>
      <c r="Z47" s="281" t="s">
        <v>448</v>
      </c>
      <c r="AA47" s="282"/>
      <c r="AB47" s="281" t="s">
        <v>451</v>
      </c>
      <c r="AC47" s="285"/>
      <c r="AD47" s="285"/>
      <c r="AE47" s="285"/>
      <c r="AF47" s="282"/>
      <c r="AG47" s="272" t="s">
        <v>442</v>
      </c>
      <c r="AH47" s="274"/>
      <c r="AI47" s="528" t="s">
        <v>899</v>
      </c>
      <c r="AJ47" s="529"/>
      <c r="AK47" s="529"/>
      <c r="AL47" s="529"/>
      <c r="AM47" s="529"/>
      <c r="AN47" s="529"/>
      <c r="AO47" s="529"/>
      <c r="AP47" s="529"/>
      <c r="AQ47" s="529"/>
      <c r="AR47" s="529"/>
      <c r="AS47" s="529"/>
      <c r="AT47" s="529"/>
      <c r="AU47" s="529"/>
      <c r="AV47" s="529"/>
      <c r="AW47" s="529"/>
      <c r="AX47" s="529"/>
      <c r="AY47" s="529"/>
      <c r="AZ47" s="529"/>
      <c r="BA47" s="530"/>
    </row>
    <row r="48" spans="7:53" ht="18.75" customHeight="1" x14ac:dyDescent="0.4">
      <c r="G48" s="472"/>
      <c r="H48" s="473"/>
      <c r="I48" s="473"/>
      <c r="J48" s="473"/>
      <c r="K48" s="473"/>
      <c r="L48" s="473"/>
      <c r="M48" s="473"/>
      <c r="N48" s="473"/>
      <c r="O48" s="473"/>
      <c r="P48" s="473"/>
      <c r="Q48" s="520"/>
      <c r="R48" s="521"/>
      <c r="S48" s="521"/>
      <c r="T48" s="521"/>
      <c r="U48" s="521"/>
      <c r="V48" s="521"/>
      <c r="W48" s="521"/>
      <c r="X48" s="521"/>
      <c r="Y48" s="522"/>
      <c r="Z48" s="382" t="s">
        <v>892</v>
      </c>
      <c r="AA48" s="384"/>
      <c r="AB48" s="382" t="s">
        <v>259</v>
      </c>
      <c r="AC48" s="384"/>
      <c r="AD48" s="384"/>
      <c r="AE48" s="384"/>
      <c r="AF48" s="383"/>
      <c r="AG48" s="385" t="s">
        <v>259</v>
      </c>
      <c r="AH48" s="386"/>
      <c r="AI48" s="512" t="s">
        <v>258</v>
      </c>
      <c r="AJ48" s="512"/>
      <c r="AK48" s="512"/>
      <c r="AL48" s="512"/>
      <c r="AM48" s="512"/>
      <c r="AN48" s="512"/>
      <c r="AO48" s="512"/>
      <c r="AP48" s="512"/>
      <c r="AQ48" s="512"/>
      <c r="AR48" s="512"/>
      <c r="AS48" s="512"/>
      <c r="AT48" s="512"/>
      <c r="AU48" s="512"/>
      <c r="AV48" s="512"/>
      <c r="AW48" s="512"/>
      <c r="AX48" s="512"/>
      <c r="AY48" s="512"/>
      <c r="AZ48" s="512"/>
      <c r="BA48" s="512"/>
    </row>
    <row r="49" spans="7:53" x14ac:dyDescent="0.4">
      <c r="G49" s="531" t="s">
        <v>900</v>
      </c>
      <c r="H49" s="532"/>
      <c r="I49" s="532"/>
      <c r="J49" s="532"/>
      <c r="K49" s="532"/>
      <c r="L49" s="532"/>
      <c r="M49" s="532"/>
      <c r="N49" s="532"/>
      <c r="O49" s="532"/>
      <c r="P49" s="532"/>
      <c r="Q49" s="514" t="s">
        <v>901</v>
      </c>
      <c r="R49" s="515"/>
      <c r="S49" s="515"/>
      <c r="T49" s="515"/>
      <c r="U49" s="515"/>
      <c r="V49" s="515"/>
      <c r="W49" s="515"/>
      <c r="X49" s="515"/>
      <c r="Y49" s="516"/>
      <c r="Z49" s="390" t="s">
        <v>443</v>
      </c>
      <c r="AA49" s="390"/>
      <c r="AB49" s="390" t="s">
        <v>456</v>
      </c>
      <c r="AC49" s="390"/>
      <c r="AD49" s="390"/>
      <c r="AE49" s="390"/>
      <c r="AF49" s="390"/>
      <c r="AG49" s="152" t="s">
        <v>441</v>
      </c>
      <c r="AH49" s="152"/>
      <c r="AI49" s="362" t="s">
        <v>902</v>
      </c>
      <c r="AJ49" s="362"/>
      <c r="AK49" s="362"/>
      <c r="AL49" s="362"/>
      <c r="AM49" s="362"/>
      <c r="AN49" s="362"/>
      <c r="AO49" s="362"/>
      <c r="AP49" s="362"/>
      <c r="AQ49" s="362"/>
      <c r="AR49" s="362"/>
      <c r="AS49" s="362"/>
      <c r="AT49" s="362"/>
      <c r="AU49" s="362"/>
      <c r="AV49" s="362"/>
      <c r="AW49" s="362"/>
      <c r="AX49" s="362"/>
      <c r="AY49" s="362"/>
      <c r="AZ49" s="362"/>
      <c r="BA49" s="362"/>
    </row>
    <row r="50" spans="7:53" x14ac:dyDescent="0.4">
      <c r="G50" s="533"/>
      <c r="H50" s="534"/>
      <c r="I50" s="534"/>
      <c r="J50" s="534"/>
      <c r="K50" s="534"/>
      <c r="L50" s="534"/>
      <c r="M50" s="534"/>
      <c r="N50" s="534"/>
      <c r="O50" s="534"/>
      <c r="P50" s="534"/>
      <c r="Q50" s="517"/>
      <c r="R50" s="518"/>
      <c r="S50" s="518"/>
      <c r="T50" s="518"/>
      <c r="U50" s="518"/>
      <c r="V50" s="518"/>
      <c r="W50" s="518"/>
      <c r="X50" s="518"/>
      <c r="Y50" s="519"/>
      <c r="Z50" s="390"/>
      <c r="AA50" s="390"/>
      <c r="AB50" s="390"/>
      <c r="AC50" s="390"/>
      <c r="AD50" s="390"/>
      <c r="AE50" s="390"/>
      <c r="AF50" s="390"/>
      <c r="AG50" s="152"/>
      <c r="AH50" s="152"/>
      <c r="AI50" s="362"/>
      <c r="AJ50" s="362"/>
      <c r="AK50" s="362"/>
      <c r="AL50" s="362"/>
      <c r="AM50" s="362"/>
      <c r="AN50" s="362"/>
      <c r="AO50" s="362"/>
      <c r="AP50" s="362"/>
      <c r="AQ50" s="362"/>
      <c r="AR50" s="362"/>
      <c r="AS50" s="362"/>
      <c r="AT50" s="362"/>
      <c r="AU50" s="362"/>
      <c r="AV50" s="362"/>
      <c r="AW50" s="362"/>
      <c r="AX50" s="362"/>
      <c r="AY50" s="362"/>
      <c r="AZ50" s="362"/>
      <c r="BA50" s="362"/>
    </row>
    <row r="51" spans="7:53" ht="18.75" customHeight="1" x14ac:dyDescent="0.4">
      <c r="G51" s="533"/>
      <c r="H51" s="534"/>
      <c r="I51" s="534"/>
      <c r="J51" s="534"/>
      <c r="K51" s="534"/>
      <c r="L51" s="534"/>
      <c r="M51" s="534"/>
      <c r="N51" s="534"/>
      <c r="O51" s="534"/>
      <c r="P51" s="534"/>
      <c r="Q51" s="517"/>
      <c r="R51" s="518"/>
      <c r="S51" s="518"/>
      <c r="T51" s="518"/>
      <c r="U51" s="518"/>
      <c r="V51" s="518"/>
      <c r="W51" s="518"/>
      <c r="X51" s="518"/>
      <c r="Y51" s="519"/>
      <c r="Z51" s="390" t="s">
        <v>445</v>
      </c>
      <c r="AA51" s="390"/>
      <c r="AB51" s="390" t="s">
        <v>457</v>
      </c>
      <c r="AC51" s="390"/>
      <c r="AD51" s="390"/>
      <c r="AE51" s="390"/>
      <c r="AF51" s="390"/>
      <c r="AG51" s="152" t="s">
        <v>458</v>
      </c>
      <c r="AH51" s="152"/>
      <c r="AI51" s="362" t="s">
        <v>903</v>
      </c>
      <c r="AJ51" s="362"/>
      <c r="AK51" s="362"/>
      <c r="AL51" s="362"/>
      <c r="AM51" s="362"/>
      <c r="AN51" s="362"/>
      <c r="AO51" s="362"/>
      <c r="AP51" s="362"/>
      <c r="AQ51" s="362"/>
      <c r="AR51" s="362"/>
      <c r="AS51" s="362"/>
      <c r="AT51" s="362"/>
      <c r="AU51" s="362"/>
      <c r="AV51" s="362"/>
      <c r="AW51" s="362"/>
      <c r="AX51" s="362"/>
      <c r="AY51" s="362"/>
      <c r="AZ51" s="362"/>
      <c r="BA51" s="362"/>
    </row>
    <row r="52" spans="7:53" x14ac:dyDescent="0.4">
      <c r="G52" s="533"/>
      <c r="H52" s="534"/>
      <c r="I52" s="534"/>
      <c r="J52" s="534"/>
      <c r="K52" s="534"/>
      <c r="L52" s="534"/>
      <c r="M52" s="534"/>
      <c r="N52" s="534"/>
      <c r="O52" s="534"/>
      <c r="P52" s="534"/>
      <c r="Q52" s="517"/>
      <c r="R52" s="518"/>
      <c r="S52" s="518"/>
      <c r="T52" s="518"/>
      <c r="U52" s="518"/>
      <c r="V52" s="518"/>
      <c r="W52" s="518"/>
      <c r="X52" s="518"/>
      <c r="Y52" s="519"/>
      <c r="Z52" s="390"/>
      <c r="AA52" s="390"/>
      <c r="AB52" s="390"/>
      <c r="AC52" s="390"/>
      <c r="AD52" s="390"/>
      <c r="AE52" s="390"/>
      <c r="AF52" s="390"/>
      <c r="AG52" s="152"/>
      <c r="AH52" s="152"/>
      <c r="AI52" s="362"/>
      <c r="AJ52" s="362"/>
      <c r="AK52" s="362"/>
      <c r="AL52" s="362"/>
      <c r="AM52" s="362"/>
      <c r="AN52" s="362"/>
      <c r="AO52" s="362"/>
      <c r="AP52" s="362"/>
      <c r="AQ52" s="362"/>
      <c r="AR52" s="362"/>
      <c r="AS52" s="362"/>
      <c r="AT52" s="362"/>
      <c r="AU52" s="362"/>
      <c r="AV52" s="362"/>
      <c r="AW52" s="362"/>
      <c r="AX52" s="362"/>
      <c r="AY52" s="362"/>
      <c r="AZ52" s="362"/>
      <c r="BA52" s="362"/>
    </row>
    <row r="53" spans="7:53" x14ac:dyDescent="0.4">
      <c r="G53" s="533"/>
      <c r="H53" s="534"/>
      <c r="I53" s="534"/>
      <c r="J53" s="534"/>
      <c r="K53" s="534"/>
      <c r="L53" s="534"/>
      <c r="M53" s="534"/>
      <c r="N53" s="534"/>
      <c r="O53" s="534"/>
      <c r="P53" s="534"/>
      <c r="Q53" s="517"/>
      <c r="R53" s="518"/>
      <c r="S53" s="518"/>
      <c r="T53" s="518"/>
      <c r="U53" s="518"/>
      <c r="V53" s="518"/>
      <c r="W53" s="518"/>
      <c r="X53" s="518"/>
      <c r="Y53" s="519"/>
      <c r="Z53" s="390" t="s">
        <v>446</v>
      </c>
      <c r="AA53" s="390"/>
      <c r="AB53" s="390" t="s">
        <v>459</v>
      </c>
      <c r="AC53" s="390"/>
      <c r="AD53" s="390"/>
      <c r="AE53" s="390"/>
      <c r="AF53" s="390"/>
      <c r="AG53" s="152" t="s">
        <v>458</v>
      </c>
      <c r="AH53" s="152"/>
      <c r="AI53" s="362" t="s">
        <v>904</v>
      </c>
      <c r="AJ53" s="362"/>
      <c r="AK53" s="362"/>
      <c r="AL53" s="362"/>
      <c r="AM53" s="362"/>
      <c r="AN53" s="362"/>
      <c r="AO53" s="362"/>
      <c r="AP53" s="362"/>
      <c r="AQ53" s="362"/>
      <c r="AR53" s="362"/>
      <c r="AS53" s="362"/>
      <c r="AT53" s="362"/>
      <c r="AU53" s="362"/>
      <c r="AV53" s="362"/>
      <c r="AW53" s="362"/>
      <c r="AX53" s="362"/>
      <c r="AY53" s="362"/>
      <c r="AZ53" s="362"/>
      <c r="BA53" s="362"/>
    </row>
    <row r="54" spans="7:53" x14ac:dyDescent="0.4">
      <c r="G54" s="533"/>
      <c r="H54" s="534"/>
      <c r="I54" s="534"/>
      <c r="J54" s="534"/>
      <c r="K54" s="534"/>
      <c r="L54" s="534"/>
      <c r="M54" s="534"/>
      <c r="N54" s="534"/>
      <c r="O54" s="534"/>
      <c r="P54" s="534"/>
      <c r="Q54" s="517"/>
      <c r="R54" s="518"/>
      <c r="S54" s="518"/>
      <c r="T54" s="518"/>
      <c r="U54" s="518"/>
      <c r="V54" s="518"/>
      <c r="W54" s="518"/>
      <c r="X54" s="518"/>
      <c r="Y54" s="519"/>
      <c r="Z54" s="390"/>
      <c r="AA54" s="390"/>
      <c r="AB54" s="390"/>
      <c r="AC54" s="390"/>
      <c r="AD54" s="390"/>
      <c r="AE54" s="390"/>
      <c r="AF54" s="390"/>
      <c r="AG54" s="152"/>
      <c r="AH54" s="152"/>
      <c r="AI54" s="362"/>
      <c r="AJ54" s="362"/>
      <c r="AK54" s="362"/>
      <c r="AL54" s="362"/>
      <c r="AM54" s="362"/>
      <c r="AN54" s="362"/>
      <c r="AO54" s="362"/>
      <c r="AP54" s="362"/>
      <c r="AQ54" s="362"/>
      <c r="AR54" s="362"/>
      <c r="AS54" s="362"/>
      <c r="AT54" s="362"/>
      <c r="AU54" s="362"/>
      <c r="AV54" s="362"/>
      <c r="AW54" s="362"/>
      <c r="AX54" s="362"/>
      <c r="AY54" s="362"/>
      <c r="AZ54" s="362"/>
      <c r="BA54" s="362"/>
    </row>
    <row r="55" spans="7:53" x14ac:dyDescent="0.4">
      <c r="G55" s="533"/>
      <c r="H55" s="534"/>
      <c r="I55" s="534"/>
      <c r="J55" s="534"/>
      <c r="K55" s="534"/>
      <c r="L55" s="534"/>
      <c r="M55" s="534"/>
      <c r="N55" s="534"/>
      <c r="O55" s="534"/>
      <c r="P55" s="534"/>
      <c r="Q55" s="517"/>
      <c r="R55" s="518"/>
      <c r="S55" s="518"/>
      <c r="T55" s="518"/>
      <c r="U55" s="518"/>
      <c r="V55" s="518"/>
      <c r="W55" s="518"/>
      <c r="X55" s="518"/>
      <c r="Y55" s="519"/>
      <c r="Z55" s="390"/>
      <c r="AA55" s="390"/>
      <c r="AB55" s="390"/>
      <c r="AC55" s="390"/>
      <c r="AD55" s="390"/>
      <c r="AE55" s="390"/>
      <c r="AF55" s="390"/>
      <c r="AG55" s="152"/>
      <c r="AH55" s="152"/>
      <c r="AI55" s="362"/>
      <c r="AJ55" s="362"/>
      <c r="AK55" s="362"/>
      <c r="AL55" s="362"/>
      <c r="AM55" s="362"/>
      <c r="AN55" s="362"/>
      <c r="AO55" s="362"/>
      <c r="AP55" s="362"/>
      <c r="AQ55" s="362"/>
      <c r="AR55" s="362"/>
      <c r="AS55" s="362"/>
      <c r="AT55" s="362"/>
      <c r="AU55" s="362"/>
      <c r="AV55" s="362"/>
      <c r="AW55" s="362"/>
      <c r="AX55" s="362"/>
      <c r="AY55" s="362"/>
      <c r="AZ55" s="362"/>
      <c r="BA55" s="362"/>
    </row>
    <row r="56" spans="7:53" x14ac:dyDescent="0.4">
      <c r="G56" s="535"/>
      <c r="H56" s="536"/>
      <c r="I56" s="536"/>
      <c r="J56" s="536"/>
      <c r="K56" s="536"/>
      <c r="L56" s="536"/>
      <c r="M56" s="536"/>
      <c r="N56" s="536"/>
      <c r="O56" s="536"/>
      <c r="P56" s="536"/>
      <c r="Q56" s="520"/>
      <c r="R56" s="521"/>
      <c r="S56" s="521"/>
      <c r="T56" s="521"/>
      <c r="U56" s="521"/>
      <c r="V56" s="521"/>
      <c r="W56" s="521"/>
      <c r="X56" s="521"/>
      <c r="Y56" s="522"/>
      <c r="Z56" s="382" t="s">
        <v>526</v>
      </c>
      <c r="AA56" s="384"/>
      <c r="AB56" s="382" t="s">
        <v>259</v>
      </c>
      <c r="AC56" s="384"/>
      <c r="AD56" s="384"/>
      <c r="AE56" s="384"/>
      <c r="AF56" s="383"/>
      <c r="AG56" s="385" t="s">
        <v>259</v>
      </c>
      <c r="AH56" s="386"/>
      <c r="AI56" s="512" t="s">
        <v>258</v>
      </c>
      <c r="AJ56" s="512"/>
      <c r="AK56" s="512"/>
      <c r="AL56" s="512"/>
      <c r="AM56" s="512"/>
      <c r="AN56" s="512"/>
      <c r="AO56" s="512"/>
      <c r="AP56" s="512"/>
      <c r="AQ56" s="512"/>
      <c r="AR56" s="512"/>
      <c r="AS56" s="512"/>
      <c r="AT56" s="512"/>
      <c r="AU56" s="512"/>
      <c r="AV56" s="512"/>
      <c r="AW56" s="512"/>
      <c r="AX56" s="512"/>
      <c r="AY56" s="512"/>
      <c r="AZ56" s="512"/>
      <c r="BA56" s="512"/>
    </row>
    <row r="57" spans="7:53" x14ac:dyDescent="0.4">
      <c r="G57" s="506" t="s">
        <v>905</v>
      </c>
      <c r="H57" s="506"/>
      <c r="I57" s="506"/>
      <c r="J57" s="506"/>
      <c r="K57" s="506"/>
      <c r="L57" s="506"/>
      <c r="M57" s="506"/>
      <c r="N57" s="506"/>
      <c r="O57" s="506"/>
      <c r="P57" s="506"/>
      <c r="Q57" s="507" t="s">
        <v>906</v>
      </c>
      <c r="R57" s="507"/>
      <c r="S57" s="507"/>
      <c r="T57" s="507"/>
      <c r="U57" s="507"/>
      <c r="V57" s="507"/>
      <c r="W57" s="507"/>
      <c r="X57" s="507"/>
      <c r="Y57" s="507"/>
      <c r="Z57" s="390" t="s">
        <v>443</v>
      </c>
      <c r="AA57" s="390"/>
      <c r="AB57" s="390" t="s">
        <v>907</v>
      </c>
      <c r="AC57" s="390"/>
      <c r="AD57" s="390"/>
      <c r="AE57" s="390"/>
      <c r="AF57" s="390"/>
      <c r="AG57" s="152" t="s">
        <v>458</v>
      </c>
      <c r="AH57" s="152"/>
      <c r="AI57" s="362" t="s">
        <v>908</v>
      </c>
      <c r="AJ57" s="362"/>
      <c r="AK57" s="362"/>
      <c r="AL57" s="362"/>
      <c r="AM57" s="362"/>
      <c r="AN57" s="362"/>
      <c r="AO57" s="362"/>
      <c r="AP57" s="362"/>
      <c r="AQ57" s="362"/>
      <c r="AR57" s="362"/>
      <c r="AS57" s="362"/>
      <c r="AT57" s="362"/>
      <c r="AU57" s="362"/>
      <c r="AV57" s="362"/>
      <c r="AW57" s="362"/>
      <c r="AX57" s="362"/>
      <c r="AY57" s="362"/>
      <c r="AZ57" s="362"/>
      <c r="BA57" s="362"/>
    </row>
    <row r="58" spans="7:53" ht="18.75" customHeight="1" x14ac:dyDescent="0.4">
      <c r="G58" s="506"/>
      <c r="H58" s="506"/>
      <c r="I58" s="506"/>
      <c r="J58" s="506"/>
      <c r="K58" s="506"/>
      <c r="L58" s="506"/>
      <c r="M58" s="506"/>
      <c r="N58" s="506"/>
      <c r="O58" s="506"/>
      <c r="P58" s="506"/>
      <c r="Q58" s="507"/>
      <c r="R58" s="507"/>
      <c r="S58" s="507"/>
      <c r="T58" s="507"/>
      <c r="U58" s="507"/>
      <c r="V58" s="507"/>
      <c r="W58" s="507"/>
      <c r="X58" s="507"/>
      <c r="Y58" s="507"/>
      <c r="Z58" s="390"/>
      <c r="AA58" s="390"/>
      <c r="AB58" s="390"/>
      <c r="AC58" s="390"/>
      <c r="AD58" s="390"/>
      <c r="AE58" s="390"/>
      <c r="AF58" s="390"/>
      <c r="AG58" s="152"/>
      <c r="AH58" s="152"/>
      <c r="AI58" s="362"/>
      <c r="AJ58" s="362"/>
      <c r="AK58" s="362"/>
      <c r="AL58" s="362"/>
      <c r="AM58" s="362"/>
      <c r="AN58" s="362"/>
      <c r="AO58" s="362"/>
      <c r="AP58" s="362"/>
      <c r="AQ58" s="362"/>
      <c r="AR58" s="362"/>
      <c r="AS58" s="362"/>
      <c r="AT58" s="362"/>
      <c r="AU58" s="362"/>
      <c r="AV58" s="362"/>
      <c r="AW58" s="362"/>
      <c r="AX58" s="362"/>
      <c r="AY58" s="362"/>
      <c r="AZ58" s="362"/>
      <c r="BA58" s="362"/>
    </row>
    <row r="59" spans="7:53" ht="18.75" customHeight="1" x14ac:dyDescent="0.4">
      <c r="G59" s="506"/>
      <c r="H59" s="506"/>
      <c r="I59" s="506"/>
      <c r="J59" s="506"/>
      <c r="K59" s="506"/>
      <c r="L59" s="506"/>
      <c r="M59" s="506"/>
      <c r="N59" s="506"/>
      <c r="O59" s="506"/>
      <c r="P59" s="506"/>
      <c r="Q59" s="507"/>
      <c r="R59" s="507"/>
      <c r="S59" s="507"/>
      <c r="T59" s="507"/>
      <c r="U59" s="507"/>
      <c r="V59" s="507"/>
      <c r="W59" s="507"/>
      <c r="X59" s="507"/>
      <c r="Y59" s="507"/>
      <c r="Z59" s="390"/>
      <c r="AA59" s="390"/>
      <c r="AB59" s="390"/>
      <c r="AC59" s="390"/>
      <c r="AD59" s="390"/>
      <c r="AE59" s="390"/>
      <c r="AF59" s="390"/>
      <c r="AG59" s="152"/>
      <c r="AH59" s="152"/>
      <c r="AI59" s="362"/>
      <c r="AJ59" s="362"/>
      <c r="AK59" s="362"/>
      <c r="AL59" s="362"/>
      <c r="AM59" s="362"/>
      <c r="AN59" s="362"/>
      <c r="AO59" s="362"/>
      <c r="AP59" s="362"/>
      <c r="AQ59" s="362"/>
      <c r="AR59" s="362"/>
      <c r="AS59" s="362"/>
      <c r="AT59" s="362"/>
      <c r="AU59" s="362"/>
      <c r="AV59" s="362"/>
      <c r="AW59" s="362"/>
      <c r="AX59" s="362"/>
      <c r="AY59" s="362"/>
      <c r="AZ59" s="362"/>
      <c r="BA59" s="362"/>
    </row>
    <row r="60" spans="7:53" ht="18.75" customHeight="1" x14ac:dyDescent="0.4">
      <c r="G60" s="506"/>
      <c r="H60" s="506"/>
      <c r="I60" s="506"/>
      <c r="J60" s="506"/>
      <c r="K60" s="506"/>
      <c r="L60" s="506"/>
      <c r="M60" s="506"/>
      <c r="N60" s="506"/>
      <c r="O60" s="506"/>
      <c r="P60" s="506"/>
      <c r="Q60" s="507"/>
      <c r="R60" s="507"/>
      <c r="S60" s="507"/>
      <c r="T60" s="507"/>
      <c r="U60" s="507"/>
      <c r="V60" s="507"/>
      <c r="W60" s="507"/>
      <c r="X60" s="507"/>
      <c r="Y60" s="507"/>
      <c r="Z60" s="390" t="s">
        <v>445</v>
      </c>
      <c r="AA60" s="390"/>
      <c r="AB60" s="390" t="s">
        <v>909</v>
      </c>
      <c r="AC60" s="390"/>
      <c r="AD60" s="390"/>
      <c r="AE60" s="390"/>
      <c r="AF60" s="390"/>
      <c r="AG60" s="152" t="s">
        <v>458</v>
      </c>
      <c r="AH60" s="152"/>
      <c r="AI60" s="362" t="s">
        <v>910</v>
      </c>
      <c r="AJ60" s="362"/>
      <c r="AK60" s="362"/>
      <c r="AL60" s="362"/>
      <c r="AM60" s="362"/>
      <c r="AN60" s="362"/>
      <c r="AO60" s="362"/>
      <c r="AP60" s="362"/>
      <c r="AQ60" s="362"/>
      <c r="AR60" s="362"/>
      <c r="AS60" s="362"/>
      <c r="AT60" s="362"/>
      <c r="AU60" s="362"/>
      <c r="AV60" s="362"/>
      <c r="AW60" s="362"/>
      <c r="AX60" s="362"/>
      <c r="AY60" s="362"/>
      <c r="AZ60" s="362"/>
      <c r="BA60" s="362"/>
    </row>
    <row r="61" spans="7:53" ht="18.75" customHeight="1" x14ac:dyDescent="0.4">
      <c r="G61" s="506"/>
      <c r="H61" s="506"/>
      <c r="I61" s="506"/>
      <c r="J61" s="506"/>
      <c r="K61" s="506"/>
      <c r="L61" s="506"/>
      <c r="M61" s="506"/>
      <c r="N61" s="506"/>
      <c r="O61" s="506"/>
      <c r="P61" s="506"/>
      <c r="Q61" s="507"/>
      <c r="R61" s="507"/>
      <c r="S61" s="507"/>
      <c r="T61" s="507"/>
      <c r="U61" s="507"/>
      <c r="V61" s="507"/>
      <c r="W61" s="507"/>
      <c r="X61" s="507"/>
      <c r="Y61" s="507"/>
      <c r="Z61" s="390"/>
      <c r="AA61" s="390"/>
      <c r="AB61" s="390"/>
      <c r="AC61" s="390"/>
      <c r="AD61" s="390"/>
      <c r="AE61" s="390"/>
      <c r="AF61" s="390"/>
      <c r="AG61" s="152"/>
      <c r="AH61" s="152"/>
      <c r="AI61" s="362"/>
      <c r="AJ61" s="362"/>
      <c r="AK61" s="362"/>
      <c r="AL61" s="362"/>
      <c r="AM61" s="362"/>
      <c r="AN61" s="362"/>
      <c r="AO61" s="362"/>
      <c r="AP61" s="362"/>
      <c r="AQ61" s="362"/>
      <c r="AR61" s="362"/>
      <c r="AS61" s="362"/>
      <c r="AT61" s="362"/>
      <c r="AU61" s="362"/>
      <c r="AV61" s="362"/>
      <c r="AW61" s="362"/>
      <c r="AX61" s="362"/>
      <c r="AY61" s="362"/>
      <c r="AZ61" s="362"/>
      <c r="BA61" s="362"/>
    </row>
    <row r="62" spans="7:53" ht="18.75" customHeight="1" x14ac:dyDescent="0.4">
      <c r="G62" s="506"/>
      <c r="H62" s="506"/>
      <c r="I62" s="506"/>
      <c r="J62" s="506"/>
      <c r="K62" s="506"/>
      <c r="L62" s="506"/>
      <c r="M62" s="506"/>
      <c r="N62" s="506"/>
      <c r="O62" s="506"/>
      <c r="P62" s="506"/>
      <c r="Q62" s="507"/>
      <c r="R62" s="507"/>
      <c r="S62" s="507"/>
      <c r="T62" s="507"/>
      <c r="U62" s="507"/>
      <c r="V62" s="507"/>
      <c r="W62" s="507"/>
      <c r="X62" s="507"/>
      <c r="Y62" s="507"/>
      <c r="Z62" s="390"/>
      <c r="AA62" s="390"/>
      <c r="AB62" s="390"/>
      <c r="AC62" s="390"/>
      <c r="AD62" s="390"/>
      <c r="AE62" s="390"/>
      <c r="AF62" s="390"/>
      <c r="AG62" s="152"/>
      <c r="AH62" s="152"/>
      <c r="AI62" s="362"/>
      <c r="AJ62" s="362"/>
      <c r="AK62" s="362"/>
      <c r="AL62" s="362"/>
      <c r="AM62" s="362"/>
      <c r="AN62" s="362"/>
      <c r="AO62" s="362"/>
      <c r="AP62" s="362"/>
      <c r="AQ62" s="362"/>
      <c r="AR62" s="362"/>
      <c r="AS62" s="362"/>
      <c r="AT62" s="362"/>
      <c r="AU62" s="362"/>
      <c r="AV62" s="362"/>
      <c r="AW62" s="362"/>
      <c r="AX62" s="362"/>
      <c r="AY62" s="362"/>
      <c r="AZ62" s="362"/>
      <c r="BA62" s="362"/>
    </row>
    <row r="63" spans="7:53" ht="18.75" customHeight="1" x14ac:dyDescent="0.4">
      <c r="G63" s="506"/>
      <c r="H63" s="506"/>
      <c r="I63" s="506"/>
      <c r="J63" s="506"/>
      <c r="K63" s="506"/>
      <c r="L63" s="506"/>
      <c r="M63" s="506"/>
      <c r="N63" s="506"/>
      <c r="O63" s="506"/>
      <c r="P63" s="506"/>
      <c r="Q63" s="507"/>
      <c r="R63" s="507"/>
      <c r="S63" s="507"/>
      <c r="T63" s="507"/>
      <c r="U63" s="507"/>
      <c r="V63" s="507"/>
      <c r="W63" s="507"/>
      <c r="X63" s="507"/>
      <c r="Y63" s="507"/>
      <c r="Z63" s="382" t="s">
        <v>462</v>
      </c>
      <c r="AA63" s="384"/>
      <c r="AB63" s="382" t="s">
        <v>259</v>
      </c>
      <c r="AC63" s="384"/>
      <c r="AD63" s="384"/>
      <c r="AE63" s="384"/>
      <c r="AF63" s="383"/>
      <c r="AG63" s="385" t="s">
        <v>259</v>
      </c>
      <c r="AH63" s="386"/>
      <c r="AI63" s="512" t="s">
        <v>258</v>
      </c>
      <c r="AJ63" s="512"/>
      <c r="AK63" s="512"/>
      <c r="AL63" s="512"/>
      <c r="AM63" s="512"/>
      <c r="AN63" s="512"/>
      <c r="AO63" s="512"/>
      <c r="AP63" s="512"/>
      <c r="AQ63" s="512"/>
      <c r="AR63" s="512"/>
      <c r="AS63" s="512"/>
      <c r="AT63" s="512"/>
      <c r="AU63" s="512"/>
      <c r="AV63" s="512"/>
      <c r="AW63" s="512"/>
      <c r="AX63" s="512"/>
      <c r="AY63" s="512"/>
      <c r="AZ63" s="512"/>
      <c r="BA63" s="512"/>
    </row>
    <row r="64" spans="7:53" ht="18.75" customHeight="1" x14ac:dyDescent="0.4">
      <c r="G64" s="538" t="s">
        <v>911</v>
      </c>
      <c r="H64" s="538"/>
      <c r="I64" s="538"/>
      <c r="J64" s="538"/>
      <c r="K64" s="538"/>
      <c r="L64" s="538"/>
      <c r="M64" s="538"/>
      <c r="N64" s="538"/>
      <c r="O64" s="538"/>
      <c r="P64" s="538"/>
      <c r="Q64" s="507" t="s">
        <v>912</v>
      </c>
      <c r="R64" s="507"/>
      <c r="S64" s="507"/>
      <c r="T64" s="507"/>
      <c r="U64" s="507"/>
      <c r="V64" s="507"/>
      <c r="W64" s="507"/>
      <c r="X64" s="507"/>
      <c r="Y64" s="507"/>
      <c r="Z64" s="281" t="s">
        <v>2</v>
      </c>
      <c r="AA64" s="282"/>
      <c r="AB64" s="254" t="s">
        <v>913</v>
      </c>
      <c r="AC64" s="258"/>
      <c r="AD64" s="258"/>
      <c r="AE64" s="258"/>
      <c r="AF64" s="255"/>
      <c r="AG64" s="248" t="s">
        <v>442</v>
      </c>
      <c r="AH64" s="250"/>
      <c r="AI64" s="528" t="s">
        <v>914</v>
      </c>
      <c r="AJ64" s="529"/>
      <c r="AK64" s="529"/>
      <c r="AL64" s="529"/>
      <c r="AM64" s="529"/>
      <c r="AN64" s="529"/>
      <c r="AO64" s="529"/>
      <c r="AP64" s="529"/>
      <c r="AQ64" s="529"/>
      <c r="AR64" s="529"/>
      <c r="AS64" s="529"/>
      <c r="AT64" s="529"/>
      <c r="AU64" s="529"/>
      <c r="AV64" s="529"/>
      <c r="AW64" s="529"/>
      <c r="AX64" s="529"/>
      <c r="AY64" s="529"/>
      <c r="AZ64" s="529"/>
      <c r="BA64" s="530"/>
    </row>
    <row r="65" spans="7:53" ht="18.75" customHeight="1" x14ac:dyDescent="0.4">
      <c r="G65" s="538"/>
      <c r="H65" s="538"/>
      <c r="I65" s="538"/>
      <c r="J65" s="538"/>
      <c r="K65" s="538"/>
      <c r="L65" s="538"/>
      <c r="M65" s="538"/>
      <c r="N65" s="538"/>
      <c r="O65" s="538"/>
      <c r="P65" s="538"/>
      <c r="Q65" s="507"/>
      <c r="R65" s="507"/>
      <c r="S65" s="507"/>
      <c r="T65" s="507"/>
      <c r="U65" s="507"/>
      <c r="V65" s="507"/>
      <c r="W65" s="507"/>
      <c r="X65" s="507"/>
      <c r="Y65" s="507"/>
      <c r="Z65" s="283"/>
      <c r="AA65" s="284"/>
      <c r="AB65" s="256"/>
      <c r="AC65" s="259"/>
      <c r="AD65" s="259"/>
      <c r="AE65" s="259"/>
      <c r="AF65" s="257"/>
      <c r="AG65" s="251"/>
      <c r="AH65" s="253"/>
      <c r="AI65" s="539"/>
      <c r="AJ65" s="540"/>
      <c r="AK65" s="540"/>
      <c r="AL65" s="540"/>
      <c r="AM65" s="540"/>
      <c r="AN65" s="540"/>
      <c r="AO65" s="540"/>
      <c r="AP65" s="540"/>
      <c r="AQ65" s="540"/>
      <c r="AR65" s="540"/>
      <c r="AS65" s="540"/>
      <c r="AT65" s="540"/>
      <c r="AU65" s="540"/>
      <c r="AV65" s="540"/>
      <c r="AW65" s="540"/>
      <c r="AX65" s="540"/>
      <c r="AY65" s="540"/>
      <c r="AZ65" s="540"/>
      <c r="BA65" s="541"/>
    </row>
    <row r="66" spans="7:53" ht="18.75" customHeight="1" x14ac:dyDescent="0.4">
      <c r="G66" s="538"/>
      <c r="H66" s="538"/>
      <c r="I66" s="538"/>
      <c r="J66" s="538"/>
      <c r="K66" s="538"/>
      <c r="L66" s="538"/>
      <c r="M66" s="538"/>
      <c r="N66" s="538"/>
      <c r="O66" s="538"/>
      <c r="P66" s="538"/>
      <c r="Q66" s="507"/>
      <c r="R66" s="507"/>
      <c r="S66" s="507"/>
      <c r="T66" s="507"/>
      <c r="U66" s="507"/>
      <c r="V66" s="507"/>
      <c r="W66" s="507"/>
      <c r="X66" s="507"/>
      <c r="Y66" s="507"/>
      <c r="Z66" s="293" t="s">
        <v>791</v>
      </c>
      <c r="AA66" s="295"/>
      <c r="AB66" s="382" t="s">
        <v>259</v>
      </c>
      <c r="AC66" s="384"/>
      <c r="AD66" s="384"/>
      <c r="AE66" s="384"/>
      <c r="AF66" s="383"/>
      <c r="AG66" s="385" t="s">
        <v>259</v>
      </c>
      <c r="AH66" s="386"/>
      <c r="AI66" s="512" t="s">
        <v>258</v>
      </c>
      <c r="AJ66" s="512"/>
      <c r="AK66" s="512"/>
      <c r="AL66" s="512"/>
      <c r="AM66" s="512"/>
      <c r="AN66" s="512"/>
      <c r="AO66" s="512"/>
      <c r="AP66" s="512"/>
      <c r="AQ66" s="512"/>
      <c r="AR66" s="512"/>
      <c r="AS66" s="512"/>
      <c r="AT66" s="512"/>
      <c r="AU66" s="512"/>
      <c r="AV66" s="512"/>
      <c r="AW66" s="512"/>
      <c r="AX66" s="512"/>
      <c r="AY66" s="512"/>
      <c r="AZ66" s="512"/>
      <c r="BA66" s="512"/>
    </row>
    <row r="67" spans="7:53" ht="18.75" customHeight="1" x14ac:dyDescent="0.4">
      <c r="G67" s="385" t="str">
        <f>"予約 (" &amp; HEX2DEC("100") - HEX2DEC("10") &amp; "Bytes)"</f>
        <v>予約 (240Bytes)</v>
      </c>
      <c r="H67" s="452"/>
      <c r="I67" s="452"/>
      <c r="J67" s="452"/>
      <c r="K67" s="452"/>
      <c r="L67" s="452"/>
      <c r="M67" s="452"/>
      <c r="N67" s="452"/>
      <c r="O67" s="452"/>
      <c r="P67" s="452"/>
      <c r="Q67" s="452"/>
      <c r="R67" s="452"/>
      <c r="S67" s="452"/>
      <c r="T67" s="452"/>
      <c r="U67" s="452"/>
      <c r="V67" s="452"/>
      <c r="W67" s="452"/>
      <c r="X67" s="452"/>
      <c r="Y67" s="452"/>
      <c r="Z67" s="452"/>
      <c r="AA67" s="452"/>
      <c r="AB67" s="452"/>
      <c r="AC67" s="452"/>
      <c r="AD67" s="452"/>
      <c r="AE67" s="452"/>
      <c r="AF67" s="452"/>
      <c r="AG67" s="452"/>
      <c r="AH67" s="452"/>
      <c r="AI67" s="452"/>
      <c r="AJ67" s="452"/>
      <c r="AK67" s="452"/>
      <c r="AL67" s="452"/>
      <c r="AM67" s="452"/>
      <c r="AN67" s="452"/>
      <c r="AO67" s="452"/>
      <c r="AP67" s="452"/>
      <c r="AQ67" s="452"/>
      <c r="AR67" s="452"/>
      <c r="AS67" s="452"/>
      <c r="AT67" s="452"/>
      <c r="AU67" s="452"/>
      <c r="AV67" s="452"/>
      <c r="AW67" s="452"/>
      <c r="AX67" s="452"/>
      <c r="AY67" s="452"/>
      <c r="AZ67" s="452"/>
      <c r="BA67" s="386"/>
    </row>
    <row r="68" spans="7:53" x14ac:dyDescent="0.4">
      <c r="Q68" s="1"/>
    </row>
    <row r="69" spans="7:53" ht="18.75" customHeight="1" x14ac:dyDescent="0.4"/>
    <row r="70" spans="7:53" x14ac:dyDescent="0.4">
      <c r="G70" s="504" t="s">
        <v>915</v>
      </c>
      <c r="H70" s="504"/>
      <c r="I70" s="504"/>
      <c r="J70" s="504"/>
      <c r="K70" s="504"/>
      <c r="L70" s="504"/>
      <c r="M70" s="504"/>
      <c r="N70" s="504"/>
      <c r="O70" s="504"/>
      <c r="P70" s="504"/>
      <c r="Q70" s="504"/>
      <c r="R70" s="504"/>
      <c r="S70" s="504"/>
      <c r="T70" s="504"/>
      <c r="U70" s="504"/>
      <c r="V70" s="504"/>
      <c r="W70" s="504"/>
      <c r="X70" s="504"/>
      <c r="Y70" s="504"/>
      <c r="Z70" s="504"/>
      <c r="AA70" s="504"/>
      <c r="AB70" s="504"/>
      <c r="AC70" s="504"/>
      <c r="AD70" s="504"/>
      <c r="AE70" s="504"/>
      <c r="AF70" s="504"/>
      <c r="AG70" s="504"/>
      <c r="AH70" s="504"/>
      <c r="AI70" s="504"/>
      <c r="AJ70" s="504"/>
      <c r="AK70" s="504"/>
      <c r="AL70" s="504"/>
      <c r="AM70" s="504"/>
      <c r="AN70" s="504"/>
      <c r="AO70" s="504"/>
      <c r="AP70" s="504"/>
      <c r="AQ70" s="504"/>
      <c r="AR70" s="504"/>
      <c r="AS70" s="504"/>
      <c r="AT70" s="504"/>
      <c r="AU70" s="504"/>
      <c r="AV70" s="504"/>
      <c r="AW70" s="504"/>
      <c r="AX70" s="504"/>
      <c r="AY70" s="504"/>
      <c r="AZ70" s="504"/>
      <c r="BA70" s="504"/>
    </row>
    <row r="71" spans="7:53" ht="18.75" customHeight="1" x14ac:dyDescent="0.4">
      <c r="G71" s="504" t="s">
        <v>433</v>
      </c>
      <c r="H71" s="504"/>
      <c r="I71" s="504"/>
      <c r="J71" s="504"/>
      <c r="K71" s="504"/>
      <c r="L71" s="504"/>
      <c r="M71" s="504"/>
      <c r="N71" s="504"/>
      <c r="O71" s="504"/>
      <c r="P71" s="504"/>
      <c r="Q71" s="504" t="s">
        <v>1</v>
      </c>
      <c r="R71" s="504"/>
      <c r="S71" s="504"/>
      <c r="T71" s="504"/>
      <c r="U71" s="504"/>
      <c r="V71" s="504"/>
      <c r="W71" s="504"/>
      <c r="X71" s="504"/>
      <c r="Y71" s="504"/>
      <c r="Z71" s="525" t="s">
        <v>434</v>
      </c>
      <c r="AA71" s="240"/>
      <c r="AB71" s="523" t="s">
        <v>435</v>
      </c>
      <c r="AC71" s="524"/>
      <c r="AD71" s="524"/>
      <c r="AE71" s="524"/>
      <c r="AF71" s="525"/>
      <c r="AG71" s="526" t="s">
        <v>436</v>
      </c>
      <c r="AH71" s="526"/>
      <c r="AI71" s="537" t="s">
        <v>437</v>
      </c>
      <c r="AJ71" s="537"/>
      <c r="AK71" s="537"/>
      <c r="AL71" s="537"/>
      <c r="AM71" s="537"/>
      <c r="AN71" s="537"/>
      <c r="AO71" s="537"/>
      <c r="AP71" s="537"/>
      <c r="AQ71" s="537"/>
      <c r="AR71" s="537"/>
      <c r="AS71" s="537"/>
      <c r="AT71" s="537"/>
      <c r="AU71" s="537"/>
      <c r="AV71" s="537"/>
      <c r="AW71" s="537"/>
      <c r="AX71" s="537"/>
      <c r="AY71" s="537"/>
      <c r="AZ71" s="537"/>
      <c r="BA71" s="537"/>
    </row>
    <row r="72" spans="7:53" x14ac:dyDescent="0.4">
      <c r="G72" s="533" t="s">
        <v>916</v>
      </c>
      <c r="H72" s="534"/>
      <c r="I72" s="534"/>
      <c r="J72" s="534"/>
      <c r="K72" s="534"/>
      <c r="L72" s="534"/>
      <c r="M72" s="534"/>
      <c r="N72" s="534"/>
      <c r="O72" s="534"/>
      <c r="P72" s="534"/>
      <c r="Q72" s="549" t="s">
        <v>917</v>
      </c>
      <c r="R72" s="550"/>
      <c r="S72" s="550"/>
      <c r="T72" s="550"/>
      <c r="U72" s="550"/>
      <c r="V72" s="550"/>
      <c r="W72" s="550"/>
      <c r="X72" s="550"/>
      <c r="Y72" s="551"/>
      <c r="Z72" s="390" t="s">
        <v>443</v>
      </c>
      <c r="AA72" s="390"/>
      <c r="AB72" s="152" t="s">
        <v>918</v>
      </c>
      <c r="AC72" s="152"/>
      <c r="AD72" s="152"/>
      <c r="AE72" s="152"/>
      <c r="AF72" s="152"/>
      <c r="AG72" s="272" t="s">
        <v>442</v>
      </c>
      <c r="AH72" s="274"/>
      <c r="AI72" s="362" t="s">
        <v>919</v>
      </c>
      <c r="AJ72" s="362"/>
      <c r="AK72" s="362"/>
      <c r="AL72" s="362"/>
      <c r="AM72" s="362"/>
      <c r="AN72" s="362"/>
      <c r="AO72" s="362"/>
      <c r="AP72" s="362"/>
      <c r="AQ72" s="362"/>
      <c r="AR72" s="362"/>
      <c r="AS72" s="362"/>
      <c r="AT72" s="362"/>
      <c r="AU72" s="362"/>
      <c r="AV72" s="362"/>
      <c r="AW72" s="362"/>
      <c r="AX72" s="362"/>
      <c r="AY72" s="362"/>
      <c r="AZ72" s="362"/>
      <c r="BA72" s="362"/>
    </row>
    <row r="73" spans="7:53" ht="18.75" customHeight="1" x14ac:dyDescent="0.4">
      <c r="G73" s="533"/>
      <c r="H73" s="534"/>
      <c r="I73" s="534"/>
      <c r="J73" s="534"/>
      <c r="K73" s="534"/>
      <c r="L73" s="534"/>
      <c r="M73" s="534"/>
      <c r="N73" s="534"/>
      <c r="O73" s="534"/>
      <c r="P73" s="534"/>
      <c r="Q73" s="549"/>
      <c r="R73" s="550"/>
      <c r="S73" s="550"/>
      <c r="T73" s="550"/>
      <c r="U73" s="550"/>
      <c r="V73" s="550"/>
      <c r="W73" s="550"/>
      <c r="X73" s="550"/>
      <c r="Y73" s="551"/>
      <c r="Z73" s="390"/>
      <c r="AA73" s="390"/>
      <c r="AB73" s="152"/>
      <c r="AC73" s="152"/>
      <c r="AD73" s="152"/>
      <c r="AE73" s="152"/>
      <c r="AF73" s="152"/>
      <c r="AG73" s="275"/>
      <c r="AH73" s="277"/>
      <c r="AI73" s="362"/>
      <c r="AJ73" s="362"/>
      <c r="AK73" s="362"/>
      <c r="AL73" s="362"/>
      <c r="AM73" s="362"/>
      <c r="AN73" s="362"/>
      <c r="AO73" s="362"/>
      <c r="AP73" s="362"/>
      <c r="AQ73" s="362"/>
      <c r="AR73" s="362"/>
      <c r="AS73" s="362"/>
      <c r="AT73" s="362"/>
      <c r="AU73" s="362"/>
      <c r="AV73" s="362"/>
      <c r="AW73" s="362"/>
      <c r="AX73" s="362"/>
      <c r="AY73" s="362"/>
      <c r="AZ73" s="362"/>
      <c r="BA73" s="362"/>
    </row>
    <row r="74" spans="7:53" ht="18.75" customHeight="1" x14ac:dyDescent="0.4">
      <c r="G74" s="533"/>
      <c r="H74" s="534"/>
      <c r="I74" s="534"/>
      <c r="J74" s="534"/>
      <c r="K74" s="534"/>
      <c r="L74" s="534"/>
      <c r="M74" s="534"/>
      <c r="N74" s="534"/>
      <c r="O74" s="534"/>
      <c r="P74" s="534"/>
      <c r="Q74" s="549"/>
      <c r="R74" s="550"/>
      <c r="S74" s="550"/>
      <c r="T74" s="550"/>
      <c r="U74" s="550"/>
      <c r="V74" s="550"/>
      <c r="W74" s="550"/>
      <c r="X74" s="550"/>
      <c r="Y74" s="551"/>
      <c r="Z74" s="390" t="s">
        <v>445</v>
      </c>
      <c r="AA74" s="390"/>
      <c r="AB74" s="152" t="s">
        <v>920</v>
      </c>
      <c r="AC74" s="152"/>
      <c r="AD74" s="152"/>
      <c r="AE74" s="152"/>
      <c r="AF74" s="152"/>
      <c r="AG74" s="275"/>
      <c r="AH74" s="277"/>
      <c r="AI74" s="362" t="s">
        <v>921</v>
      </c>
      <c r="AJ74" s="362"/>
      <c r="AK74" s="362"/>
      <c r="AL74" s="362"/>
      <c r="AM74" s="362"/>
      <c r="AN74" s="362"/>
      <c r="AO74" s="362"/>
      <c r="AP74" s="362"/>
      <c r="AQ74" s="362"/>
      <c r="AR74" s="362"/>
      <c r="AS74" s="362"/>
      <c r="AT74" s="362"/>
      <c r="AU74" s="362"/>
      <c r="AV74" s="362"/>
      <c r="AW74" s="362"/>
      <c r="AX74" s="362"/>
      <c r="AY74" s="362"/>
      <c r="AZ74" s="362"/>
      <c r="BA74" s="362"/>
    </row>
    <row r="75" spans="7:53" ht="18.75" customHeight="1" x14ac:dyDescent="0.4">
      <c r="G75" s="533"/>
      <c r="H75" s="534"/>
      <c r="I75" s="534"/>
      <c r="J75" s="534"/>
      <c r="K75" s="534"/>
      <c r="L75" s="534"/>
      <c r="M75" s="534"/>
      <c r="N75" s="534"/>
      <c r="O75" s="534"/>
      <c r="P75" s="534"/>
      <c r="Q75" s="549"/>
      <c r="R75" s="550"/>
      <c r="S75" s="550"/>
      <c r="T75" s="550"/>
      <c r="U75" s="550"/>
      <c r="V75" s="550"/>
      <c r="W75" s="550"/>
      <c r="X75" s="550"/>
      <c r="Y75" s="551"/>
      <c r="Z75" s="390"/>
      <c r="AA75" s="390"/>
      <c r="AB75" s="152"/>
      <c r="AC75" s="152"/>
      <c r="AD75" s="152"/>
      <c r="AE75" s="152"/>
      <c r="AF75" s="152"/>
      <c r="AG75" s="275"/>
      <c r="AH75" s="277"/>
      <c r="AI75" s="362"/>
      <c r="AJ75" s="362"/>
      <c r="AK75" s="362"/>
      <c r="AL75" s="362"/>
      <c r="AM75" s="362"/>
      <c r="AN75" s="362"/>
      <c r="AO75" s="362"/>
      <c r="AP75" s="362"/>
      <c r="AQ75" s="362"/>
      <c r="AR75" s="362"/>
      <c r="AS75" s="362"/>
      <c r="AT75" s="362"/>
      <c r="AU75" s="362"/>
      <c r="AV75" s="362"/>
      <c r="AW75" s="362"/>
      <c r="AX75" s="362"/>
      <c r="AY75" s="362"/>
      <c r="AZ75" s="362"/>
      <c r="BA75" s="362"/>
    </row>
    <row r="76" spans="7:53" ht="18.75" customHeight="1" x14ac:dyDescent="0.4">
      <c r="G76" s="533"/>
      <c r="H76" s="534"/>
      <c r="I76" s="534"/>
      <c r="J76" s="534"/>
      <c r="K76" s="534"/>
      <c r="L76" s="534"/>
      <c r="M76" s="534"/>
      <c r="N76" s="534"/>
      <c r="O76" s="534"/>
      <c r="P76" s="534"/>
      <c r="Q76" s="549"/>
      <c r="R76" s="550"/>
      <c r="S76" s="550"/>
      <c r="T76" s="550"/>
      <c r="U76" s="550"/>
      <c r="V76" s="550"/>
      <c r="W76" s="550"/>
      <c r="X76" s="550"/>
      <c r="Y76" s="551"/>
      <c r="Z76" s="390" t="s">
        <v>446</v>
      </c>
      <c r="AA76" s="390"/>
      <c r="AB76" s="152" t="s">
        <v>922</v>
      </c>
      <c r="AC76" s="152"/>
      <c r="AD76" s="152"/>
      <c r="AE76" s="152"/>
      <c r="AF76" s="152"/>
      <c r="AG76" s="275"/>
      <c r="AH76" s="277"/>
      <c r="AI76" s="362" t="s">
        <v>923</v>
      </c>
      <c r="AJ76" s="362"/>
      <c r="AK76" s="362"/>
      <c r="AL76" s="362"/>
      <c r="AM76" s="362"/>
      <c r="AN76" s="362"/>
      <c r="AO76" s="362"/>
      <c r="AP76" s="362"/>
      <c r="AQ76" s="362"/>
      <c r="AR76" s="362"/>
      <c r="AS76" s="362"/>
      <c r="AT76" s="362"/>
      <c r="AU76" s="362"/>
      <c r="AV76" s="362"/>
      <c r="AW76" s="362"/>
      <c r="AX76" s="362"/>
      <c r="AY76" s="362"/>
      <c r="AZ76" s="362"/>
      <c r="BA76" s="362"/>
    </row>
    <row r="77" spans="7:53" ht="18.75" customHeight="1" x14ac:dyDescent="0.4">
      <c r="G77" s="533"/>
      <c r="H77" s="534"/>
      <c r="I77" s="534"/>
      <c r="J77" s="534"/>
      <c r="K77" s="534"/>
      <c r="L77" s="534"/>
      <c r="M77" s="534"/>
      <c r="N77" s="534"/>
      <c r="O77" s="534"/>
      <c r="P77" s="534"/>
      <c r="Q77" s="549"/>
      <c r="R77" s="550"/>
      <c r="S77" s="550"/>
      <c r="T77" s="550"/>
      <c r="U77" s="550"/>
      <c r="V77" s="550"/>
      <c r="W77" s="550"/>
      <c r="X77" s="550"/>
      <c r="Y77" s="551"/>
      <c r="Z77" s="390"/>
      <c r="AA77" s="390"/>
      <c r="AB77" s="152"/>
      <c r="AC77" s="152"/>
      <c r="AD77" s="152"/>
      <c r="AE77" s="152"/>
      <c r="AF77" s="152"/>
      <c r="AG77" s="275"/>
      <c r="AH77" s="277"/>
      <c r="AI77" s="362"/>
      <c r="AJ77" s="362"/>
      <c r="AK77" s="362"/>
      <c r="AL77" s="362"/>
      <c r="AM77" s="362"/>
      <c r="AN77" s="362"/>
      <c r="AO77" s="362"/>
      <c r="AP77" s="362"/>
      <c r="AQ77" s="362"/>
      <c r="AR77" s="362"/>
      <c r="AS77" s="362"/>
      <c r="AT77" s="362"/>
      <c r="AU77" s="362"/>
      <c r="AV77" s="362"/>
      <c r="AW77" s="362"/>
      <c r="AX77" s="362"/>
      <c r="AY77" s="362"/>
      <c r="AZ77" s="362"/>
      <c r="BA77" s="362"/>
    </row>
    <row r="78" spans="7:53" ht="18.75" customHeight="1" x14ac:dyDescent="0.4">
      <c r="G78" s="533"/>
      <c r="H78" s="534"/>
      <c r="I78" s="534"/>
      <c r="J78" s="534"/>
      <c r="K78" s="534"/>
      <c r="L78" s="534"/>
      <c r="M78" s="534"/>
      <c r="N78" s="534"/>
      <c r="O78" s="534"/>
      <c r="P78" s="534"/>
      <c r="Q78" s="549"/>
      <c r="R78" s="550"/>
      <c r="S78" s="550"/>
      <c r="T78" s="550"/>
      <c r="U78" s="550"/>
      <c r="V78" s="550"/>
      <c r="W78" s="550"/>
      <c r="X78" s="550"/>
      <c r="Y78" s="551"/>
      <c r="Z78" s="254" t="s">
        <v>448</v>
      </c>
      <c r="AA78" s="255"/>
      <c r="AB78" s="248" t="s">
        <v>1178</v>
      </c>
      <c r="AC78" s="249"/>
      <c r="AD78" s="249"/>
      <c r="AE78" s="249"/>
      <c r="AF78" s="250"/>
      <c r="AG78" s="275"/>
      <c r="AH78" s="277"/>
      <c r="AI78" s="362" t="s">
        <v>1179</v>
      </c>
      <c r="AJ78" s="362"/>
      <c r="AK78" s="362"/>
      <c r="AL78" s="362"/>
      <c r="AM78" s="362"/>
      <c r="AN78" s="362"/>
      <c r="AO78" s="362"/>
      <c r="AP78" s="362"/>
      <c r="AQ78" s="362"/>
      <c r="AR78" s="362"/>
      <c r="AS78" s="362"/>
      <c r="AT78" s="362"/>
      <c r="AU78" s="362"/>
      <c r="AV78" s="362"/>
      <c r="AW78" s="362"/>
      <c r="AX78" s="362"/>
      <c r="AY78" s="362"/>
      <c r="AZ78" s="362"/>
      <c r="BA78" s="362"/>
    </row>
    <row r="79" spans="7:53" ht="18.75" customHeight="1" x14ac:dyDescent="0.4">
      <c r="G79" s="533"/>
      <c r="H79" s="534"/>
      <c r="I79" s="534"/>
      <c r="J79" s="534"/>
      <c r="K79" s="534"/>
      <c r="L79" s="534"/>
      <c r="M79" s="534"/>
      <c r="N79" s="534"/>
      <c r="O79" s="534"/>
      <c r="P79" s="534"/>
      <c r="Q79" s="549"/>
      <c r="R79" s="550"/>
      <c r="S79" s="550"/>
      <c r="T79" s="550"/>
      <c r="U79" s="550"/>
      <c r="V79" s="550"/>
      <c r="W79" s="550"/>
      <c r="X79" s="550"/>
      <c r="Y79" s="551"/>
      <c r="Z79" s="256"/>
      <c r="AA79" s="257"/>
      <c r="AB79" s="251"/>
      <c r="AC79" s="252"/>
      <c r="AD79" s="252"/>
      <c r="AE79" s="252"/>
      <c r="AF79" s="253"/>
      <c r="AG79" s="275"/>
      <c r="AH79" s="277"/>
      <c r="AI79" s="362"/>
      <c r="AJ79" s="362"/>
      <c r="AK79" s="362"/>
      <c r="AL79" s="362"/>
      <c r="AM79" s="362"/>
      <c r="AN79" s="362"/>
      <c r="AO79" s="362"/>
      <c r="AP79" s="362"/>
      <c r="AQ79" s="362"/>
      <c r="AR79" s="362"/>
      <c r="AS79" s="362"/>
      <c r="AT79" s="362"/>
      <c r="AU79" s="362"/>
      <c r="AV79" s="362"/>
      <c r="AW79" s="362"/>
      <c r="AX79" s="362"/>
      <c r="AY79" s="362"/>
      <c r="AZ79" s="362"/>
      <c r="BA79" s="362"/>
    </row>
    <row r="80" spans="7:53" ht="18.75" customHeight="1" x14ac:dyDescent="0.4">
      <c r="G80" s="533"/>
      <c r="H80" s="534"/>
      <c r="I80" s="534"/>
      <c r="J80" s="534"/>
      <c r="K80" s="534"/>
      <c r="L80" s="534"/>
      <c r="M80" s="534"/>
      <c r="N80" s="534"/>
      <c r="O80" s="534"/>
      <c r="P80" s="534"/>
      <c r="Q80" s="549"/>
      <c r="R80" s="550"/>
      <c r="S80" s="550"/>
      <c r="T80" s="550"/>
      <c r="U80" s="550"/>
      <c r="V80" s="550"/>
      <c r="W80" s="550"/>
      <c r="X80" s="550"/>
      <c r="Y80" s="551"/>
      <c r="Z80" s="360"/>
      <c r="AA80" s="361"/>
      <c r="AB80" s="460"/>
      <c r="AC80" s="461"/>
      <c r="AD80" s="461"/>
      <c r="AE80" s="461"/>
      <c r="AF80" s="462"/>
      <c r="AG80" s="278"/>
      <c r="AH80" s="280"/>
      <c r="AI80" s="362"/>
      <c r="AJ80" s="362"/>
      <c r="AK80" s="362"/>
      <c r="AL80" s="362"/>
      <c r="AM80" s="362"/>
      <c r="AN80" s="362"/>
      <c r="AO80" s="362"/>
      <c r="AP80" s="362"/>
      <c r="AQ80" s="362"/>
      <c r="AR80" s="362"/>
      <c r="AS80" s="362"/>
      <c r="AT80" s="362"/>
      <c r="AU80" s="362"/>
      <c r="AV80" s="362"/>
      <c r="AW80" s="362"/>
      <c r="AX80" s="362"/>
      <c r="AY80" s="362"/>
      <c r="AZ80" s="362"/>
      <c r="BA80" s="362"/>
    </row>
    <row r="81" spans="7:53" x14ac:dyDescent="0.4">
      <c r="G81" s="535"/>
      <c r="H81" s="536"/>
      <c r="I81" s="536"/>
      <c r="J81" s="536"/>
      <c r="K81" s="536"/>
      <c r="L81" s="536"/>
      <c r="M81" s="536"/>
      <c r="N81" s="536"/>
      <c r="O81" s="536"/>
      <c r="P81" s="536"/>
      <c r="Q81" s="546"/>
      <c r="R81" s="547"/>
      <c r="S81" s="547"/>
      <c r="T81" s="547"/>
      <c r="U81" s="547"/>
      <c r="V81" s="547"/>
      <c r="W81" s="547"/>
      <c r="X81" s="547"/>
      <c r="Y81" s="548"/>
      <c r="Z81" s="382" t="s">
        <v>892</v>
      </c>
      <c r="AA81" s="384"/>
      <c r="AB81" s="382" t="s">
        <v>259</v>
      </c>
      <c r="AC81" s="384"/>
      <c r="AD81" s="384"/>
      <c r="AE81" s="384"/>
      <c r="AF81" s="383"/>
      <c r="AG81" s="385" t="s">
        <v>259</v>
      </c>
      <c r="AH81" s="386"/>
      <c r="AI81" s="512" t="s">
        <v>258</v>
      </c>
      <c r="AJ81" s="512"/>
      <c r="AK81" s="512"/>
      <c r="AL81" s="512"/>
      <c r="AM81" s="512"/>
      <c r="AN81" s="512"/>
      <c r="AO81" s="512"/>
      <c r="AP81" s="512"/>
      <c r="AQ81" s="512"/>
      <c r="AR81" s="512"/>
      <c r="AS81" s="512"/>
      <c r="AT81" s="512"/>
      <c r="AU81" s="512"/>
      <c r="AV81" s="512"/>
      <c r="AW81" s="512"/>
      <c r="AX81" s="512"/>
      <c r="AY81" s="512"/>
      <c r="AZ81" s="512"/>
      <c r="BA81" s="512"/>
    </row>
    <row r="82" spans="7:53" x14ac:dyDescent="0.4">
      <c r="G82" s="542" t="s">
        <v>924</v>
      </c>
      <c r="H82" s="532"/>
      <c r="I82" s="532"/>
      <c r="J82" s="532"/>
      <c r="K82" s="532"/>
      <c r="L82" s="532"/>
      <c r="M82" s="532"/>
      <c r="N82" s="532"/>
      <c r="O82" s="532"/>
      <c r="P82" s="532"/>
      <c r="Q82" s="543" t="s">
        <v>925</v>
      </c>
      <c r="R82" s="544"/>
      <c r="S82" s="544"/>
      <c r="T82" s="544"/>
      <c r="U82" s="544"/>
      <c r="V82" s="544"/>
      <c r="W82" s="544"/>
      <c r="X82" s="544"/>
      <c r="Y82" s="545"/>
      <c r="Z82" s="248" t="s">
        <v>439</v>
      </c>
      <c r="AA82" s="249"/>
      <c r="AB82" s="248" t="s">
        <v>926</v>
      </c>
      <c r="AC82" s="249"/>
      <c r="AD82" s="249"/>
      <c r="AE82" s="249"/>
      <c r="AF82" s="250"/>
      <c r="AG82" s="248" t="s">
        <v>442</v>
      </c>
      <c r="AH82" s="250"/>
      <c r="AI82" s="362" t="s">
        <v>927</v>
      </c>
      <c r="AJ82" s="362"/>
      <c r="AK82" s="362"/>
      <c r="AL82" s="362"/>
      <c r="AM82" s="362"/>
      <c r="AN82" s="362"/>
      <c r="AO82" s="362"/>
      <c r="AP82" s="362"/>
      <c r="AQ82" s="362"/>
      <c r="AR82" s="362"/>
      <c r="AS82" s="362"/>
      <c r="AT82" s="362"/>
      <c r="AU82" s="362"/>
      <c r="AV82" s="362"/>
      <c r="AW82" s="362"/>
      <c r="AX82" s="362"/>
      <c r="AY82" s="362"/>
      <c r="AZ82" s="362"/>
      <c r="BA82" s="362"/>
    </row>
    <row r="83" spans="7:53" x14ac:dyDescent="0.4">
      <c r="G83" s="535"/>
      <c r="H83" s="536"/>
      <c r="I83" s="536"/>
      <c r="J83" s="536"/>
      <c r="K83" s="536"/>
      <c r="L83" s="536"/>
      <c r="M83" s="536"/>
      <c r="N83" s="536"/>
      <c r="O83" s="536"/>
      <c r="P83" s="536"/>
      <c r="Q83" s="546"/>
      <c r="R83" s="547"/>
      <c r="S83" s="547"/>
      <c r="T83" s="547"/>
      <c r="U83" s="547"/>
      <c r="V83" s="547"/>
      <c r="W83" s="547"/>
      <c r="X83" s="547"/>
      <c r="Y83" s="548"/>
      <c r="Z83" s="460"/>
      <c r="AA83" s="461"/>
      <c r="AB83" s="460"/>
      <c r="AC83" s="461"/>
      <c r="AD83" s="461"/>
      <c r="AE83" s="461"/>
      <c r="AF83" s="462"/>
      <c r="AG83" s="460"/>
      <c r="AH83" s="462"/>
      <c r="AI83" s="362"/>
      <c r="AJ83" s="362"/>
      <c r="AK83" s="362"/>
      <c r="AL83" s="362"/>
      <c r="AM83" s="362"/>
      <c r="AN83" s="362"/>
      <c r="AO83" s="362"/>
      <c r="AP83" s="362"/>
      <c r="AQ83" s="362"/>
      <c r="AR83" s="362"/>
      <c r="AS83" s="362"/>
      <c r="AT83" s="362"/>
      <c r="AU83" s="362"/>
      <c r="AV83" s="362"/>
      <c r="AW83" s="362"/>
      <c r="AX83" s="362"/>
      <c r="AY83" s="362"/>
      <c r="AZ83" s="362"/>
      <c r="BA83" s="362"/>
    </row>
    <row r="84" spans="7:53" x14ac:dyDescent="0.4">
      <c r="G84" s="531" t="s">
        <v>809</v>
      </c>
      <c r="H84" s="532"/>
      <c r="I84" s="532"/>
      <c r="J84" s="532"/>
      <c r="K84" s="532"/>
      <c r="L84" s="532"/>
      <c r="M84" s="532"/>
      <c r="N84" s="532"/>
      <c r="O84" s="532"/>
      <c r="P84" s="532"/>
      <c r="Q84" s="543" t="s">
        <v>928</v>
      </c>
      <c r="R84" s="544"/>
      <c r="S84" s="544"/>
      <c r="T84" s="544"/>
      <c r="U84" s="544"/>
      <c r="V84" s="544"/>
      <c r="W84" s="544"/>
      <c r="X84" s="544"/>
      <c r="Y84" s="545"/>
      <c r="Z84" s="248" t="s">
        <v>439</v>
      </c>
      <c r="AA84" s="249"/>
      <c r="AB84" s="248" t="s">
        <v>929</v>
      </c>
      <c r="AC84" s="249"/>
      <c r="AD84" s="249"/>
      <c r="AE84" s="249"/>
      <c r="AF84" s="250"/>
      <c r="AG84" s="248" t="s">
        <v>442</v>
      </c>
      <c r="AH84" s="250"/>
      <c r="AI84" s="362" t="s">
        <v>930</v>
      </c>
      <c r="AJ84" s="362"/>
      <c r="AK84" s="362"/>
      <c r="AL84" s="362"/>
      <c r="AM84" s="362"/>
      <c r="AN84" s="362"/>
      <c r="AO84" s="362"/>
      <c r="AP84" s="362"/>
      <c r="AQ84" s="362"/>
      <c r="AR84" s="362"/>
      <c r="AS84" s="362"/>
      <c r="AT84" s="362"/>
      <c r="AU84" s="362"/>
      <c r="AV84" s="362"/>
      <c r="AW84" s="362"/>
      <c r="AX84" s="362"/>
      <c r="AY84" s="362"/>
      <c r="AZ84" s="362"/>
      <c r="BA84" s="362"/>
    </row>
    <row r="85" spans="7:53" x14ac:dyDescent="0.4">
      <c r="G85" s="535"/>
      <c r="H85" s="536"/>
      <c r="I85" s="536"/>
      <c r="J85" s="536"/>
      <c r="K85" s="536"/>
      <c r="L85" s="536"/>
      <c r="M85" s="536"/>
      <c r="N85" s="536"/>
      <c r="O85" s="536"/>
      <c r="P85" s="536"/>
      <c r="Q85" s="546"/>
      <c r="R85" s="547"/>
      <c r="S85" s="547"/>
      <c r="T85" s="547"/>
      <c r="U85" s="547"/>
      <c r="V85" s="547"/>
      <c r="W85" s="547"/>
      <c r="X85" s="547"/>
      <c r="Y85" s="548"/>
      <c r="Z85" s="460"/>
      <c r="AA85" s="461"/>
      <c r="AB85" s="460"/>
      <c r="AC85" s="461"/>
      <c r="AD85" s="461"/>
      <c r="AE85" s="461"/>
      <c r="AF85" s="462"/>
      <c r="AG85" s="460"/>
      <c r="AH85" s="462"/>
      <c r="AI85" s="362"/>
      <c r="AJ85" s="362"/>
      <c r="AK85" s="362"/>
      <c r="AL85" s="362"/>
      <c r="AM85" s="362"/>
      <c r="AN85" s="362"/>
      <c r="AO85" s="362"/>
      <c r="AP85" s="362"/>
      <c r="AQ85" s="362"/>
      <c r="AR85" s="362"/>
      <c r="AS85" s="362"/>
      <c r="AT85" s="362"/>
      <c r="AU85" s="362"/>
      <c r="AV85" s="362"/>
      <c r="AW85" s="362"/>
      <c r="AX85" s="362"/>
      <c r="AY85" s="362"/>
      <c r="AZ85" s="362"/>
      <c r="BA85" s="362"/>
    </row>
    <row r="86" spans="7:53" x14ac:dyDescent="0.4">
      <c r="G86" s="531" t="s">
        <v>931</v>
      </c>
      <c r="H86" s="532"/>
      <c r="I86" s="532"/>
      <c r="J86" s="532"/>
      <c r="K86" s="532"/>
      <c r="L86" s="532"/>
      <c r="M86" s="532"/>
      <c r="N86" s="532"/>
      <c r="O86" s="532"/>
      <c r="P86" s="532"/>
      <c r="Q86" s="543" t="s">
        <v>932</v>
      </c>
      <c r="R86" s="544"/>
      <c r="S86" s="544"/>
      <c r="T86" s="544"/>
      <c r="U86" s="544"/>
      <c r="V86" s="544"/>
      <c r="W86" s="544"/>
      <c r="X86" s="544"/>
      <c r="Y86" s="545"/>
      <c r="Z86" s="248" t="s">
        <v>439</v>
      </c>
      <c r="AA86" s="250"/>
      <c r="AB86" s="248" t="s">
        <v>933</v>
      </c>
      <c r="AC86" s="249"/>
      <c r="AD86" s="249"/>
      <c r="AE86" s="249"/>
      <c r="AF86" s="250"/>
      <c r="AG86" s="272" t="s">
        <v>442</v>
      </c>
      <c r="AH86" s="274"/>
      <c r="AI86" s="260" t="s">
        <v>934</v>
      </c>
      <c r="AJ86" s="261"/>
      <c r="AK86" s="261"/>
      <c r="AL86" s="261"/>
      <c r="AM86" s="261"/>
      <c r="AN86" s="261"/>
      <c r="AO86" s="261"/>
      <c r="AP86" s="261"/>
      <c r="AQ86" s="261"/>
      <c r="AR86" s="261"/>
      <c r="AS86" s="261"/>
      <c r="AT86" s="261"/>
      <c r="AU86" s="261"/>
      <c r="AV86" s="261"/>
      <c r="AW86" s="261"/>
      <c r="AX86" s="261"/>
      <c r="AY86" s="261"/>
      <c r="AZ86" s="261"/>
      <c r="BA86" s="262"/>
    </row>
    <row r="87" spans="7:53" x14ac:dyDescent="0.4">
      <c r="G87" s="535"/>
      <c r="H87" s="536"/>
      <c r="I87" s="536"/>
      <c r="J87" s="536"/>
      <c r="K87" s="536"/>
      <c r="L87" s="536"/>
      <c r="M87" s="536"/>
      <c r="N87" s="536"/>
      <c r="O87" s="536"/>
      <c r="P87" s="536"/>
      <c r="Q87" s="546"/>
      <c r="R87" s="547"/>
      <c r="S87" s="547"/>
      <c r="T87" s="547"/>
      <c r="U87" s="547"/>
      <c r="V87" s="547"/>
      <c r="W87" s="547"/>
      <c r="X87" s="547"/>
      <c r="Y87" s="548"/>
      <c r="Z87" s="460"/>
      <c r="AA87" s="462"/>
      <c r="AB87" s="460"/>
      <c r="AC87" s="461"/>
      <c r="AD87" s="461"/>
      <c r="AE87" s="461"/>
      <c r="AF87" s="462"/>
      <c r="AG87" s="278"/>
      <c r="AH87" s="280"/>
      <c r="AI87" s="472"/>
      <c r="AJ87" s="473"/>
      <c r="AK87" s="473"/>
      <c r="AL87" s="473"/>
      <c r="AM87" s="473"/>
      <c r="AN87" s="473"/>
      <c r="AO87" s="473"/>
      <c r="AP87" s="473"/>
      <c r="AQ87" s="473"/>
      <c r="AR87" s="473"/>
      <c r="AS87" s="473"/>
      <c r="AT87" s="473"/>
      <c r="AU87" s="473"/>
      <c r="AV87" s="473"/>
      <c r="AW87" s="473"/>
      <c r="AX87" s="473"/>
      <c r="AY87" s="473"/>
      <c r="AZ87" s="473"/>
      <c r="BA87" s="474"/>
    </row>
    <row r="88" spans="7:53" x14ac:dyDescent="0.4">
      <c r="G88" s="552" t="s">
        <v>935</v>
      </c>
      <c r="H88" s="553"/>
      <c r="I88" s="553"/>
      <c r="J88" s="553"/>
      <c r="K88" s="553"/>
      <c r="L88" s="553"/>
      <c r="M88" s="553"/>
      <c r="N88" s="553"/>
      <c r="O88" s="553"/>
      <c r="P88" s="553"/>
      <c r="Q88" s="554" t="s">
        <v>936</v>
      </c>
      <c r="R88" s="502"/>
      <c r="S88" s="502"/>
      <c r="T88" s="502"/>
      <c r="U88" s="502"/>
      <c r="V88" s="502"/>
      <c r="W88" s="502"/>
      <c r="X88" s="502"/>
      <c r="Y88" s="503"/>
      <c r="Z88" s="136" t="s">
        <v>439</v>
      </c>
      <c r="AA88" s="137"/>
      <c r="AB88" s="136" t="s">
        <v>937</v>
      </c>
      <c r="AC88" s="137"/>
      <c r="AD88" s="137"/>
      <c r="AE88" s="137"/>
      <c r="AF88" s="138"/>
      <c r="AG88" s="555" t="s">
        <v>441</v>
      </c>
      <c r="AH88" s="556"/>
      <c r="AI88" s="362" t="s">
        <v>938</v>
      </c>
      <c r="AJ88" s="362"/>
      <c r="AK88" s="362"/>
      <c r="AL88" s="362"/>
      <c r="AM88" s="362"/>
      <c r="AN88" s="362"/>
      <c r="AO88" s="362"/>
      <c r="AP88" s="362"/>
      <c r="AQ88" s="362"/>
      <c r="AR88" s="362"/>
      <c r="AS88" s="362"/>
      <c r="AT88" s="362"/>
      <c r="AU88" s="362"/>
      <c r="AV88" s="362"/>
      <c r="AW88" s="362"/>
      <c r="AX88" s="362"/>
      <c r="AY88" s="362"/>
      <c r="AZ88" s="362"/>
      <c r="BA88" s="362"/>
    </row>
    <row r="89" spans="7:53" x14ac:dyDescent="0.4">
      <c r="G89" s="311" t="s">
        <v>939</v>
      </c>
      <c r="H89" s="506"/>
      <c r="I89" s="506"/>
      <c r="J89" s="506"/>
      <c r="K89" s="506"/>
      <c r="L89" s="506"/>
      <c r="M89" s="506"/>
      <c r="N89" s="506"/>
      <c r="O89" s="506"/>
      <c r="P89" s="506"/>
      <c r="Q89" s="507" t="s">
        <v>940</v>
      </c>
      <c r="R89" s="507"/>
      <c r="S89" s="507"/>
      <c r="T89" s="507"/>
      <c r="U89" s="507"/>
      <c r="V89" s="507"/>
      <c r="W89" s="507"/>
      <c r="X89" s="507"/>
      <c r="Y89" s="507"/>
      <c r="Z89" s="152" t="s">
        <v>439</v>
      </c>
      <c r="AA89" s="152"/>
      <c r="AB89" s="152" t="s">
        <v>941</v>
      </c>
      <c r="AC89" s="152"/>
      <c r="AD89" s="152"/>
      <c r="AE89" s="152"/>
      <c r="AF89" s="152"/>
      <c r="AG89" s="152" t="s">
        <v>442</v>
      </c>
      <c r="AH89" s="152"/>
      <c r="AI89" s="506" t="s">
        <v>942</v>
      </c>
      <c r="AJ89" s="506"/>
      <c r="AK89" s="506"/>
      <c r="AL89" s="506"/>
      <c r="AM89" s="506"/>
      <c r="AN89" s="506"/>
      <c r="AO89" s="506"/>
      <c r="AP89" s="506"/>
      <c r="AQ89" s="506"/>
      <c r="AR89" s="506"/>
      <c r="AS89" s="506"/>
      <c r="AT89" s="506"/>
      <c r="AU89" s="506"/>
      <c r="AV89" s="506"/>
      <c r="AW89" s="506"/>
      <c r="AX89" s="506"/>
      <c r="AY89" s="506"/>
      <c r="AZ89" s="506"/>
      <c r="BA89" s="506"/>
    </row>
    <row r="90" spans="7:53" x14ac:dyDescent="0.4">
      <c r="G90" s="385" t="str">
        <f>"予約 (" &amp; HEX2DEC("1000") - HEX2DEC("18") &amp; "Bytes)"</f>
        <v>予約 (4072Bytes)</v>
      </c>
      <c r="H90" s="452"/>
      <c r="I90" s="452"/>
      <c r="J90" s="452"/>
      <c r="K90" s="452"/>
      <c r="L90" s="452"/>
      <c r="M90" s="452"/>
      <c r="N90" s="452"/>
      <c r="O90" s="452"/>
      <c r="P90" s="452"/>
      <c r="Q90" s="452"/>
      <c r="R90" s="452"/>
      <c r="S90" s="452"/>
      <c r="T90" s="452"/>
      <c r="U90" s="452"/>
      <c r="V90" s="452"/>
      <c r="W90" s="452"/>
      <c r="X90" s="452"/>
      <c r="Y90" s="452"/>
      <c r="Z90" s="452"/>
      <c r="AA90" s="452"/>
      <c r="AB90" s="452"/>
      <c r="AC90" s="452"/>
      <c r="AD90" s="452"/>
      <c r="AE90" s="452"/>
      <c r="AF90" s="452"/>
      <c r="AG90" s="452"/>
      <c r="AH90" s="452"/>
      <c r="AI90" s="452"/>
      <c r="AJ90" s="452"/>
      <c r="AK90" s="452"/>
      <c r="AL90" s="452"/>
      <c r="AM90" s="452"/>
      <c r="AN90" s="452"/>
      <c r="AO90" s="452"/>
      <c r="AP90" s="452"/>
      <c r="AQ90" s="452"/>
      <c r="AR90" s="452"/>
      <c r="AS90" s="452"/>
      <c r="AT90" s="452"/>
      <c r="AU90" s="452"/>
      <c r="AV90" s="452"/>
      <c r="AW90" s="452"/>
      <c r="AX90" s="452"/>
      <c r="AY90" s="452"/>
      <c r="AZ90" s="452"/>
      <c r="BA90" s="386"/>
    </row>
    <row r="91" spans="7:53" x14ac:dyDescent="0.4">
      <c r="G91" s="557" t="s">
        <v>943</v>
      </c>
      <c r="H91" s="558"/>
      <c r="I91" s="558"/>
      <c r="J91" s="558"/>
      <c r="K91" s="558"/>
      <c r="L91" s="558"/>
      <c r="M91" s="558"/>
      <c r="N91" s="558"/>
      <c r="O91" s="558"/>
      <c r="P91" s="558"/>
      <c r="Q91" s="559" t="s">
        <v>944</v>
      </c>
      <c r="R91" s="559"/>
      <c r="S91" s="559"/>
      <c r="T91" s="559"/>
      <c r="U91" s="559"/>
      <c r="V91" s="559"/>
      <c r="W91" s="559"/>
      <c r="X91" s="559"/>
      <c r="Y91" s="559"/>
      <c r="Z91" s="560" t="s">
        <v>439</v>
      </c>
      <c r="AA91" s="560"/>
      <c r="AB91" s="561" t="s">
        <v>945</v>
      </c>
      <c r="AC91" s="561"/>
      <c r="AD91" s="561"/>
      <c r="AE91" s="561"/>
      <c r="AF91" s="561"/>
      <c r="AG91" s="560" t="s">
        <v>442</v>
      </c>
      <c r="AH91" s="560"/>
      <c r="AI91" s="562" t="s">
        <v>946</v>
      </c>
      <c r="AJ91" s="562"/>
      <c r="AK91" s="562"/>
      <c r="AL91" s="562"/>
      <c r="AM91" s="562"/>
      <c r="AN91" s="562"/>
      <c r="AO91" s="562"/>
      <c r="AP91" s="562"/>
      <c r="AQ91" s="562"/>
      <c r="AR91" s="562"/>
      <c r="AS91" s="562"/>
      <c r="AT91" s="562"/>
      <c r="AU91" s="562"/>
      <c r="AV91" s="562"/>
      <c r="AW91" s="562"/>
      <c r="AX91" s="562"/>
      <c r="AY91" s="562"/>
      <c r="AZ91" s="562"/>
      <c r="BA91" s="562"/>
    </row>
    <row r="92" spans="7:53" x14ac:dyDescent="0.4">
      <c r="G92" s="558"/>
      <c r="H92" s="558"/>
      <c r="I92" s="558"/>
      <c r="J92" s="558"/>
      <c r="K92" s="558"/>
      <c r="L92" s="558"/>
      <c r="M92" s="558"/>
      <c r="N92" s="558"/>
      <c r="O92" s="558"/>
      <c r="P92" s="558"/>
      <c r="Q92" s="559"/>
      <c r="R92" s="559"/>
      <c r="S92" s="559"/>
      <c r="T92" s="559"/>
      <c r="U92" s="559"/>
      <c r="V92" s="559"/>
      <c r="W92" s="559"/>
      <c r="X92" s="559"/>
      <c r="Y92" s="559"/>
      <c r="Z92" s="560"/>
      <c r="AA92" s="560"/>
      <c r="AB92" s="561"/>
      <c r="AC92" s="561"/>
      <c r="AD92" s="561"/>
      <c r="AE92" s="561"/>
      <c r="AF92" s="561"/>
      <c r="AG92" s="560"/>
      <c r="AH92" s="560"/>
      <c r="AI92" s="562"/>
      <c r="AJ92" s="562"/>
      <c r="AK92" s="562"/>
      <c r="AL92" s="562"/>
      <c r="AM92" s="562"/>
      <c r="AN92" s="562"/>
      <c r="AO92" s="562"/>
      <c r="AP92" s="562"/>
      <c r="AQ92" s="562"/>
      <c r="AR92" s="562"/>
      <c r="AS92" s="562"/>
      <c r="AT92" s="562"/>
      <c r="AU92" s="562"/>
      <c r="AV92" s="562"/>
      <c r="AW92" s="562"/>
      <c r="AX92" s="562"/>
      <c r="AY92" s="562"/>
      <c r="AZ92" s="562"/>
      <c r="BA92" s="562"/>
    </row>
    <row r="93" spans="7:53" x14ac:dyDescent="0.4">
      <c r="G93" s="557" t="s">
        <v>947</v>
      </c>
      <c r="H93" s="558"/>
      <c r="I93" s="558"/>
      <c r="J93" s="558"/>
      <c r="K93" s="558"/>
      <c r="L93" s="558"/>
      <c r="M93" s="558"/>
      <c r="N93" s="558"/>
      <c r="O93" s="558"/>
      <c r="P93" s="558"/>
      <c r="Q93" s="559" t="s">
        <v>948</v>
      </c>
      <c r="R93" s="559"/>
      <c r="S93" s="559"/>
      <c r="T93" s="559"/>
      <c r="U93" s="559"/>
      <c r="V93" s="559"/>
      <c r="W93" s="559"/>
      <c r="X93" s="559"/>
      <c r="Y93" s="559"/>
      <c r="Z93" s="560" t="s">
        <v>439</v>
      </c>
      <c r="AA93" s="560"/>
      <c r="AB93" s="561" t="s">
        <v>949</v>
      </c>
      <c r="AC93" s="561"/>
      <c r="AD93" s="561"/>
      <c r="AE93" s="561"/>
      <c r="AF93" s="561"/>
      <c r="AG93" s="560" t="s">
        <v>442</v>
      </c>
      <c r="AH93" s="560"/>
      <c r="AI93" s="562" t="s">
        <v>950</v>
      </c>
      <c r="AJ93" s="562"/>
      <c r="AK93" s="562"/>
      <c r="AL93" s="562"/>
      <c r="AM93" s="562"/>
      <c r="AN93" s="562"/>
      <c r="AO93" s="562"/>
      <c r="AP93" s="562"/>
      <c r="AQ93" s="562"/>
      <c r="AR93" s="562"/>
      <c r="AS93" s="562"/>
      <c r="AT93" s="562"/>
      <c r="AU93" s="562"/>
      <c r="AV93" s="562"/>
      <c r="AW93" s="562"/>
      <c r="AX93" s="562"/>
      <c r="AY93" s="562"/>
      <c r="AZ93" s="562"/>
      <c r="BA93" s="562"/>
    </row>
    <row r="94" spans="7:53" x14ac:dyDescent="0.4">
      <c r="G94" s="558"/>
      <c r="H94" s="558"/>
      <c r="I94" s="558"/>
      <c r="J94" s="558"/>
      <c r="K94" s="558"/>
      <c r="L94" s="558"/>
      <c r="M94" s="558"/>
      <c r="N94" s="558"/>
      <c r="O94" s="558"/>
      <c r="P94" s="558"/>
      <c r="Q94" s="559"/>
      <c r="R94" s="559"/>
      <c r="S94" s="559"/>
      <c r="T94" s="559"/>
      <c r="U94" s="559"/>
      <c r="V94" s="559"/>
      <c r="W94" s="559"/>
      <c r="X94" s="559"/>
      <c r="Y94" s="559"/>
      <c r="Z94" s="560"/>
      <c r="AA94" s="560"/>
      <c r="AB94" s="561"/>
      <c r="AC94" s="561"/>
      <c r="AD94" s="561"/>
      <c r="AE94" s="561"/>
      <c r="AF94" s="561"/>
      <c r="AG94" s="560"/>
      <c r="AH94" s="560"/>
      <c r="AI94" s="562"/>
      <c r="AJ94" s="562"/>
      <c r="AK94" s="562"/>
      <c r="AL94" s="562"/>
      <c r="AM94" s="562"/>
      <c r="AN94" s="562"/>
      <c r="AO94" s="562"/>
      <c r="AP94" s="562"/>
      <c r="AQ94" s="562"/>
      <c r="AR94" s="562"/>
      <c r="AS94" s="562"/>
      <c r="AT94" s="562"/>
      <c r="AU94" s="562"/>
      <c r="AV94" s="562"/>
      <c r="AW94" s="562"/>
      <c r="AX94" s="562"/>
      <c r="AY94" s="562"/>
      <c r="AZ94" s="562"/>
      <c r="BA94" s="562"/>
    </row>
    <row r="95" spans="7:53" x14ac:dyDescent="0.4">
      <c r="G95" s="561" t="s">
        <v>0</v>
      </c>
      <c r="H95" s="561"/>
      <c r="I95" s="561"/>
      <c r="J95" s="561"/>
      <c r="K95" s="561"/>
      <c r="L95" s="561"/>
      <c r="M95" s="561"/>
      <c r="N95" s="561"/>
      <c r="O95" s="561"/>
      <c r="P95" s="561"/>
      <c r="Q95" s="559" t="s">
        <v>0</v>
      </c>
      <c r="R95" s="559"/>
      <c r="S95" s="559"/>
      <c r="T95" s="559"/>
      <c r="U95" s="559"/>
      <c r="V95" s="559"/>
      <c r="W95" s="559"/>
      <c r="X95" s="559"/>
      <c r="Y95" s="559"/>
      <c r="Z95" s="560" t="s">
        <v>0</v>
      </c>
      <c r="AA95" s="560"/>
      <c r="AB95" s="561" t="s">
        <v>0</v>
      </c>
      <c r="AC95" s="561"/>
      <c r="AD95" s="561"/>
      <c r="AE95" s="561"/>
      <c r="AF95" s="561"/>
      <c r="AG95" s="560" t="s">
        <v>0</v>
      </c>
      <c r="AH95" s="560"/>
      <c r="AI95" s="562" t="s">
        <v>0</v>
      </c>
      <c r="AJ95" s="562"/>
      <c r="AK95" s="562"/>
      <c r="AL95" s="562"/>
      <c r="AM95" s="562"/>
      <c r="AN95" s="562"/>
      <c r="AO95" s="562"/>
      <c r="AP95" s="562"/>
      <c r="AQ95" s="562"/>
      <c r="AR95" s="562"/>
      <c r="AS95" s="562"/>
      <c r="AT95" s="562"/>
      <c r="AU95" s="562"/>
      <c r="AV95" s="562"/>
      <c r="AW95" s="562"/>
      <c r="AX95" s="562"/>
      <c r="AY95" s="562"/>
      <c r="AZ95" s="562"/>
      <c r="BA95" s="562"/>
    </row>
    <row r="96" spans="7:53" x14ac:dyDescent="0.4">
      <c r="G96" s="561"/>
      <c r="H96" s="561"/>
      <c r="I96" s="561"/>
      <c r="J96" s="561"/>
      <c r="K96" s="561"/>
      <c r="L96" s="561"/>
      <c r="M96" s="561"/>
      <c r="N96" s="561"/>
      <c r="O96" s="561"/>
      <c r="P96" s="561"/>
      <c r="Q96" s="559"/>
      <c r="R96" s="559"/>
      <c r="S96" s="559"/>
      <c r="T96" s="559"/>
      <c r="U96" s="559"/>
      <c r="V96" s="559"/>
      <c r="W96" s="559"/>
      <c r="X96" s="559"/>
      <c r="Y96" s="559"/>
      <c r="Z96" s="560"/>
      <c r="AA96" s="560"/>
      <c r="AB96" s="561"/>
      <c r="AC96" s="561"/>
      <c r="AD96" s="561"/>
      <c r="AE96" s="561"/>
      <c r="AF96" s="561"/>
      <c r="AG96" s="560"/>
      <c r="AH96" s="560"/>
      <c r="AI96" s="562"/>
      <c r="AJ96" s="562"/>
      <c r="AK96" s="562"/>
      <c r="AL96" s="562"/>
      <c r="AM96" s="562"/>
      <c r="AN96" s="562"/>
      <c r="AO96" s="562"/>
      <c r="AP96" s="562"/>
      <c r="AQ96" s="562"/>
      <c r="AR96" s="562"/>
      <c r="AS96" s="562"/>
      <c r="AT96" s="562"/>
      <c r="AU96" s="562"/>
      <c r="AV96" s="562"/>
      <c r="AW96" s="562"/>
      <c r="AX96" s="562"/>
      <c r="AY96" s="562"/>
      <c r="AZ96" s="562"/>
      <c r="BA96" s="562"/>
    </row>
    <row r="97" spans="7:53" x14ac:dyDescent="0.4">
      <c r="G97" s="557" t="s">
        <v>951</v>
      </c>
      <c r="H97" s="558"/>
      <c r="I97" s="558"/>
      <c r="J97" s="558"/>
      <c r="K97" s="558"/>
      <c r="L97" s="558"/>
      <c r="M97" s="558"/>
      <c r="N97" s="558"/>
      <c r="O97" s="558"/>
      <c r="P97" s="558"/>
      <c r="Q97" s="559" t="s">
        <v>952</v>
      </c>
      <c r="R97" s="559"/>
      <c r="S97" s="559"/>
      <c r="T97" s="559"/>
      <c r="U97" s="559"/>
      <c r="V97" s="559"/>
      <c r="W97" s="559"/>
      <c r="X97" s="559"/>
      <c r="Y97" s="559"/>
      <c r="Z97" s="560" t="s">
        <v>439</v>
      </c>
      <c r="AA97" s="560"/>
      <c r="AB97" s="561" t="s">
        <v>953</v>
      </c>
      <c r="AC97" s="561"/>
      <c r="AD97" s="561"/>
      <c r="AE97" s="561"/>
      <c r="AF97" s="561"/>
      <c r="AG97" s="560" t="s">
        <v>442</v>
      </c>
      <c r="AH97" s="560"/>
      <c r="AI97" s="563" t="s">
        <v>954</v>
      </c>
      <c r="AJ97" s="563"/>
      <c r="AK97" s="563"/>
      <c r="AL97" s="563"/>
      <c r="AM97" s="563"/>
      <c r="AN97" s="563"/>
      <c r="AO97" s="563"/>
      <c r="AP97" s="563"/>
      <c r="AQ97" s="563"/>
      <c r="AR97" s="563"/>
      <c r="AS97" s="563"/>
      <c r="AT97" s="563"/>
      <c r="AU97" s="563"/>
      <c r="AV97" s="563"/>
      <c r="AW97" s="563"/>
      <c r="AX97" s="563"/>
      <c r="AY97" s="563"/>
      <c r="AZ97" s="563"/>
      <c r="BA97" s="563"/>
    </row>
    <row r="98" spans="7:53" x14ac:dyDescent="0.4">
      <c r="G98" s="558"/>
      <c r="H98" s="558"/>
      <c r="I98" s="558"/>
      <c r="J98" s="558"/>
      <c r="K98" s="558"/>
      <c r="L98" s="558"/>
      <c r="M98" s="558"/>
      <c r="N98" s="558"/>
      <c r="O98" s="558"/>
      <c r="P98" s="558"/>
      <c r="Q98" s="559"/>
      <c r="R98" s="559"/>
      <c r="S98" s="559"/>
      <c r="T98" s="559"/>
      <c r="U98" s="559"/>
      <c r="V98" s="559"/>
      <c r="W98" s="559"/>
      <c r="X98" s="559"/>
      <c r="Y98" s="559"/>
      <c r="Z98" s="560"/>
      <c r="AA98" s="560"/>
      <c r="AB98" s="561"/>
      <c r="AC98" s="561"/>
      <c r="AD98" s="561"/>
      <c r="AE98" s="561"/>
      <c r="AF98" s="561"/>
      <c r="AG98" s="560"/>
      <c r="AH98" s="560"/>
      <c r="AI98" s="563"/>
      <c r="AJ98" s="563"/>
      <c r="AK98" s="563"/>
      <c r="AL98" s="563"/>
      <c r="AM98" s="563"/>
      <c r="AN98" s="563"/>
      <c r="AO98" s="563"/>
      <c r="AP98" s="563"/>
      <c r="AQ98" s="563"/>
      <c r="AR98" s="563"/>
      <c r="AS98" s="563"/>
      <c r="AT98" s="563"/>
      <c r="AU98" s="563"/>
      <c r="AV98" s="563"/>
      <c r="AW98" s="563"/>
      <c r="AX98" s="563"/>
      <c r="AY98" s="563"/>
      <c r="AZ98" s="563"/>
      <c r="BA98" s="563"/>
    </row>
    <row r="99" spans="7:53" x14ac:dyDescent="0.4">
      <c r="G99" s="385" t="str">
        <f>"予約 (" &amp; HEX2DEC("5000") - HEX2DEC("2000") &amp; "Bytes)"</f>
        <v>予約 (12288Bytes)</v>
      </c>
      <c r="H99" s="452"/>
      <c r="I99" s="452"/>
      <c r="J99" s="452"/>
      <c r="K99" s="452"/>
      <c r="L99" s="452"/>
      <c r="M99" s="452"/>
      <c r="N99" s="452"/>
      <c r="O99" s="452"/>
      <c r="P99" s="452"/>
      <c r="Q99" s="452"/>
      <c r="R99" s="452"/>
      <c r="S99" s="452"/>
      <c r="T99" s="452"/>
      <c r="U99" s="452"/>
      <c r="V99" s="452"/>
      <c r="W99" s="452"/>
      <c r="X99" s="452"/>
      <c r="Y99" s="452"/>
      <c r="Z99" s="452"/>
      <c r="AA99" s="452"/>
      <c r="AB99" s="452"/>
      <c r="AC99" s="452"/>
      <c r="AD99" s="452"/>
      <c r="AE99" s="452"/>
      <c r="AF99" s="452"/>
      <c r="AG99" s="452"/>
      <c r="AH99" s="452"/>
      <c r="AI99" s="452"/>
      <c r="AJ99" s="452"/>
      <c r="AK99" s="452"/>
      <c r="AL99" s="452"/>
      <c r="AM99" s="452"/>
      <c r="AN99" s="452"/>
      <c r="AO99" s="452"/>
      <c r="AP99" s="452"/>
      <c r="AQ99" s="452"/>
      <c r="AR99" s="452"/>
      <c r="AS99" s="452"/>
      <c r="AT99" s="452"/>
      <c r="AU99" s="452"/>
      <c r="AV99" s="452"/>
      <c r="AW99" s="452"/>
      <c r="AX99" s="452"/>
      <c r="AY99" s="452"/>
      <c r="AZ99" s="452"/>
      <c r="BA99" s="386"/>
    </row>
    <row r="100" spans="7:53" x14ac:dyDescent="0.4">
      <c r="G100" s="564" t="s">
        <v>955</v>
      </c>
      <c r="H100" s="564"/>
      <c r="I100" s="564"/>
      <c r="J100" s="564"/>
      <c r="K100" s="564"/>
      <c r="L100" s="564"/>
      <c r="M100" s="564"/>
      <c r="N100" s="564"/>
      <c r="O100" s="564"/>
      <c r="P100" s="564"/>
      <c r="Q100" s="565" t="s">
        <v>956</v>
      </c>
      <c r="R100" s="565"/>
      <c r="S100" s="565"/>
      <c r="T100" s="565"/>
      <c r="U100" s="565"/>
      <c r="V100" s="565"/>
      <c r="W100" s="565"/>
      <c r="X100" s="565"/>
      <c r="Y100" s="565"/>
      <c r="Z100" s="152" t="s">
        <v>439</v>
      </c>
      <c r="AA100" s="152"/>
      <c r="AB100" s="507" t="s">
        <v>957</v>
      </c>
      <c r="AC100" s="507"/>
      <c r="AD100" s="507"/>
      <c r="AE100" s="507"/>
      <c r="AF100" s="507"/>
      <c r="AG100" s="152" t="s">
        <v>442</v>
      </c>
      <c r="AH100" s="152"/>
      <c r="AI100" s="362" t="s">
        <v>958</v>
      </c>
      <c r="AJ100" s="506"/>
      <c r="AK100" s="506"/>
      <c r="AL100" s="506"/>
      <c r="AM100" s="506"/>
      <c r="AN100" s="506"/>
      <c r="AO100" s="506"/>
      <c r="AP100" s="506"/>
      <c r="AQ100" s="506"/>
      <c r="AR100" s="506"/>
      <c r="AS100" s="506"/>
      <c r="AT100" s="506"/>
      <c r="AU100" s="506"/>
      <c r="AV100" s="506"/>
      <c r="AW100" s="506"/>
      <c r="AX100" s="506"/>
      <c r="AY100" s="506"/>
      <c r="AZ100" s="506"/>
      <c r="BA100" s="506"/>
    </row>
    <row r="101" spans="7:53" x14ac:dyDescent="0.4">
      <c r="G101" s="564"/>
      <c r="H101" s="564"/>
      <c r="I101" s="564"/>
      <c r="J101" s="564"/>
      <c r="K101" s="564"/>
      <c r="L101" s="564"/>
      <c r="M101" s="564"/>
      <c r="N101" s="564"/>
      <c r="O101" s="564"/>
      <c r="P101" s="564"/>
      <c r="Q101" s="565"/>
      <c r="R101" s="565"/>
      <c r="S101" s="565"/>
      <c r="T101" s="565"/>
      <c r="U101" s="565"/>
      <c r="V101" s="565"/>
      <c r="W101" s="565"/>
      <c r="X101" s="565"/>
      <c r="Y101" s="565"/>
      <c r="Z101" s="152"/>
      <c r="AA101" s="152"/>
      <c r="AB101" s="507"/>
      <c r="AC101" s="507"/>
      <c r="AD101" s="507"/>
      <c r="AE101" s="507"/>
      <c r="AF101" s="507"/>
      <c r="AG101" s="152"/>
      <c r="AH101" s="152"/>
      <c r="AI101" s="506"/>
      <c r="AJ101" s="506"/>
      <c r="AK101" s="506"/>
      <c r="AL101" s="506"/>
      <c r="AM101" s="506"/>
      <c r="AN101" s="506"/>
      <c r="AO101" s="506"/>
      <c r="AP101" s="506"/>
      <c r="AQ101" s="506"/>
      <c r="AR101" s="506"/>
      <c r="AS101" s="506"/>
      <c r="AT101" s="506"/>
      <c r="AU101" s="506"/>
      <c r="AV101" s="506"/>
      <c r="AW101" s="506"/>
      <c r="AX101" s="506"/>
      <c r="AY101" s="506"/>
      <c r="AZ101" s="506"/>
      <c r="BA101" s="506"/>
    </row>
    <row r="102" spans="7:53" x14ac:dyDescent="0.4">
      <c r="G102" s="564" t="s">
        <v>959</v>
      </c>
      <c r="H102" s="564"/>
      <c r="I102" s="564"/>
      <c r="J102" s="564"/>
      <c r="K102" s="564"/>
      <c r="L102" s="564"/>
      <c r="M102" s="564"/>
      <c r="N102" s="564"/>
      <c r="O102" s="564"/>
      <c r="P102" s="564"/>
      <c r="Q102" s="543" t="s">
        <v>960</v>
      </c>
      <c r="R102" s="544"/>
      <c r="S102" s="544"/>
      <c r="T102" s="544"/>
      <c r="U102" s="544"/>
      <c r="V102" s="544"/>
      <c r="W102" s="544"/>
      <c r="X102" s="544"/>
      <c r="Y102" s="545"/>
      <c r="Z102" s="248" t="s">
        <v>439</v>
      </c>
      <c r="AA102" s="250"/>
      <c r="AB102" s="543" t="s">
        <v>961</v>
      </c>
      <c r="AC102" s="544"/>
      <c r="AD102" s="544"/>
      <c r="AE102" s="544"/>
      <c r="AF102" s="545"/>
      <c r="AG102" s="248" t="s">
        <v>442</v>
      </c>
      <c r="AH102" s="250"/>
      <c r="AI102" s="362" t="s">
        <v>962</v>
      </c>
      <c r="AJ102" s="506"/>
      <c r="AK102" s="506"/>
      <c r="AL102" s="506"/>
      <c r="AM102" s="506"/>
      <c r="AN102" s="506"/>
      <c r="AO102" s="506"/>
      <c r="AP102" s="506"/>
      <c r="AQ102" s="506"/>
      <c r="AR102" s="506"/>
      <c r="AS102" s="506"/>
      <c r="AT102" s="506"/>
      <c r="AU102" s="506"/>
      <c r="AV102" s="506"/>
      <c r="AW102" s="506"/>
      <c r="AX102" s="506"/>
      <c r="AY102" s="506"/>
      <c r="AZ102" s="506"/>
      <c r="BA102" s="506"/>
    </row>
    <row r="103" spans="7:53" x14ac:dyDescent="0.4">
      <c r="G103" s="564"/>
      <c r="H103" s="564"/>
      <c r="I103" s="564"/>
      <c r="J103" s="564"/>
      <c r="K103" s="564"/>
      <c r="L103" s="564"/>
      <c r="M103" s="564"/>
      <c r="N103" s="564"/>
      <c r="O103" s="564"/>
      <c r="P103" s="564"/>
      <c r="Q103" s="546"/>
      <c r="R103" s="547"/>
      <c r="S103" s="547"/>
      <c r="T103" s="547"/>
      <c r="U103" s="547"/>
      <c r="V103" s="547"/>
      <c r="W103" s="547"/>
      <c r="X103" s="547"/>
      <c r="Y103" s="548"/>
      <c r="Z103" s="460"/>
      <c r="AA103" s="462"/>
      <c r="AB103" s="546"/>
      <c r="AC103" s="547"/>
      <c r="AD103" s="547"/>
      <c r="AE103" s="547"/>
      <c r="AF103" s="548"/>
      <c r="AG103" s="460"/>
      <c r="AH103" s="462"/>
      <c r="AI103" s="506"/>
      <c r="AJ103" s="506"/>
      <c r="AK103" s="506"/>
      <c r="AL103" s="506"/>
      <c r="AM103" s="506"/>
      <c r="AN103" s="506"/>
      <c r="AO103" s="506"/>
      <c r="AP103" s="506"/>
      <c r="AQ103" s="506"/>
      <c r="AR103" s="506"/>
      <c r="AS103" s="506"/>
      <c r="AT103" s="506"/>
      <c r="AU103" s="506"/>
      <c r="AV103" s="506"/>
      <c r="AW103" s="506"/>
      <c r="AX103" s="506"/>
      <c r="AY103" s="506"/>
      <c r="AZ103" s="506"/>
      <c r="BA103" s="506"/>
    </row>
    <row r="104" spans="7:53" x14ac:dyDescent="0.4">
      <c r="G104" s="507" t="s">
        <v>0</v>
      </c>
      <c r="H104" s="507"/>
      <c r="I104" s="507"/>
      <c r="J104" s="507"/>
      <c r="K104" s="507"/>
      <c r="L104" s="507"/>
      <c r="M104" s="507"/>
      <c r="N104" s="507"/>
      <c r="O104" s="507"/>
      <c r="P104" s="507"/>
      <c r="Q104" s="565" t="s">
        <v>0</v>
      </c>
      <c r="R104" s="565"/>
      <c r="S104" s="565"/>
      <c r="T104" s="565"/>
      <c r="U104" s="565"/>
      <c r="V104" s="565"/>
      <c r="W104" s="565"/>
      <c r="X104" s="565"/>
      <c r="Y104" s="565"/>
      <c r="Z104" s="152" t="s">
        <v>0</v>
      </c>
      <c r="AA104" s="152"/>
      <c r="AB104" s="507" t="s">
        <v>0</v>
      </c>
      <c r="AC104" s="507"/>
      <c r="AD104" s="507"/>
      <c r="AE104" s="507"/>
      <c r="AF104" s="507"/>
      <c r="AG104" s="152" t="s">
        <v>0</v>
      </c>
      <c r="AH104" s="152"/>
      <c r="AI104" s="152" t="s">
        <v>0</v>
      </c>
      <c r="AJ104" s="152"/>
      <c r="AK104" s="152"/>
      <c r="AL104" s="152"/>
      <c r="AM104" s="152"/>
      <c r="AN104" s="152"/>
      <c r="AO104" s="152"/>
      <c r="AP104" s="152"/>
      <c r="AQ104" s="152"/>
      <c r="AR104" s="152"/>
      <c r="AS104" s="152"/>
      <c r="AT104" s="152"/>
      <c r="AU104" s="152"/>
      <c r="AV104" s="152"/>
      <c r="AW104" s="152"/>
      <c r="AX104" s="152"/>
      <c r="AY104" s="152"/>
      <c r="AZ104" s="152"/>
      <c r="BA104" s="152"/>
    </row>
    <row r="105" spans="7:53" x14ac:dyDescent="0.4">
      <c r="G105" s="507"/>
      <c r="H105" s="507"/>
      <c r="I105" s="507"/>
      <c r="J105" s="507"/>
      <c r="K105" s="507"/>
      <c r="L105" s="507"/>
      <c r="M105" s="507"/>
      <c r="N105" s="507"/>
      <c r="O105" s="507"/>
      <c r="P105" s="507"/>
      <c r="Q105" s="565"/>
      <c r="R105" s="565"/>
      <c r="S105" s="565"/>
      <c r="T105" s="565"/>
      <c r="U105" s="565"/>
      <c r="V105" s="565"/>
      <c r="W105" s="565"/>
      <c r="X105" s="565"/>
      <c r="Y105" s="565"/>
      <c r="Z105" s="152"/>
      <c r="AA105" s="152"/>
      <c r="AB105" s="507"/>
      <c r="AC105" s="507"/>
      <c r="AD105" s="507"/>
      <c r="AE105" s="507"/>
      <c r="AF105" s="507"/>
      <c r="AG105" s="152"/>
      <c r="AH105" s="152"/>
      <c r="AI105" s="152"/>
      <c r="AJ105" s="152"/>
      <c r="AK105" s="152"/>
      <c r="AL105" s="152"/>
      <c r="AM105" s="152"/>
      <c r="AN105" s="152"/>
      <c r="AO105" s="152"/>
      <c r="AP105" s="152"/>
      <c r="AQ105" s="152"/>
      <c r="AR105" s="152"/>
      <c r="AS105" s="152"/>
      <c r="AT105" s="152"/>
      <c r="AU105" s="152"/>
      <c r="AV105" s="152"/>
      <c r="AW105" s="152"/>
      <c r="AX105" s="152"/>
      <c r="AY105" s="152"/>
      <c r="AZ105" s="152"/>
      <c r="BA105" s="152"/>
    </row>
    <row r="106" spans="7:53" x14ac:dyDescent="0.4">
      <c r="G106" s="564" t="s">
        <v>963</v>
      </c>
      <c r="H106" s="564"/>
      <c r="I106" s="564"/>
      <c r="J106" s="564"/>
      <c r="K106" s="564"/>
      <c r="L106" s="564"/>
      <c r="M106" s="564"/>
      <c r="N106" s="564"/>
      <c r="O106" s="564"/>
      <c r="P106" s="564"/>
      <c r="Q106" s="543" t="s">
        <v>964</v>
      </c>
      <c r="R106" s="544"/>
      <c r="S106" s="544"/>
      <c r="T106" s="544"/>
      <c r="U106" s="544"/>
      <c r="V106" s="544"/>
      <c r="W106" s="544"/>
      <c r="X106" s="544"/>
      <c r="Y106" s="545"/>
      <c r="Z106" s="248" t="s">
        <v>439</v>
      </c>
      <c r="AA106" s="250"/>
      <c r="AB106" s="543" t="s">
        <v>965</v>
      </c>
      <c r="AC106" s="544"/>
      <c r="AD106" s="544"/>
      <c r="AE106" s="544"/>
      <c r="AF106" s="545"/>
      <c r="AG106" s="248" t="s">
        <v>442</v>
      </c>
      <c r="AH106" s="250"/>
      <c r="AI106" s="260" t="s">
        <v>966</v>
      </c>
      <c r="AJ106" s="532"/>
      <c r="AK106" s="532"/>
      <c r="AL106" s="532"/>
      <c r="AM106" s="532"/>
      <c r="AN106" s="532"/>
      <c r="AO106" s="532"/>
      <c r="AP106" s="532"/>
      <c r="AQ106" s="532"/>
      <c r="AR106" s="532"/>
      <c r="AS106" s="532"/>
      <c r="AT106" s="532"/>
      <c r="AU106" s="532"/>
      <c r="AV106" s="532"/>
      <c r="AW106" s="532"/>
      <c r="AX106" s="532"/>
      <c r="AY106" s="532"/>
      <c r="AZ106" s="532"/>
      <c r="BA106" s="566"/>
    </row>
    <row r="107" spans="7:53" x14ac:dyDescent="0.4">
      <c r="G107" s="564"/>
      <c r="H107" s="564"/>
      <c r="I107" s="564"/>
      <c r="J107" s="564"/>
      <c r="K107" s="564"/>
      <c r="L107" s="564"/>
      <c r="M107" s="564"/>
      <c r="N107" s="564"/>
      <c r="O107" s="564"/>
      <c r="P107" s="564"/>
      <c r="Q107" s="546"/>
      <c r="R107" s="547"/>
      <c r="S107" s="547"/>
      <c r="T107" s="547"/>
      <c r="U107" s="547"/>
      <c r="V107" s="547"/>
      <c r="W107" s="547"/>
      <c r="X107" s="547"/>
      <c r="Y107" s="548"/>
      <c r="Z107" s="460"/>
      <c r="AA107" s="462"/>
      <c r="AB107" s="546"/>
      <c r="AC107" s="547"/>
      <c r="AD107" s="547"/>
      <c r="AE107" s="547"/>
      <c r="AF107" s="548"/>
      <c r="AG107" s="460"/>
      <c r="AH107" s="462"/>
      <c r="AI107" s="535"/>
      <c r="AJ107" s="536"/>
      <c r="AK107" s="536"/>
      <c r="AL107" s="536"/>
      <c r="AM107" s="536"/>
      <c r="AN107" s="536"/>
      <c r="AO107" s="536"/>
      <c r="AP107" s="536"/>
      <c r="AQ107" s="536"/>
      <c r="AR107" s="536"/>
      <c r="AS107" s="536"/>
      <c r="AT107" s="536"/>
      <c r="AU107" s="536"/>
      <c r="AV107" s="536"/>
      <c r="AW107" s="536"/>
      <c r="AX107" s="536"/>
      <c r="AY107" s="536"/>
      <c r="AZ107" s="536"/>
      <c r="BA107" s="567"/>
    </row>
    <row r="108" spans="7:53" x14ac:dyDescent="0.4">
      <c r="G108" s="385" t="str">
        <f>"予約 (" &amp; HEX2DEC("9000") - HEX2DEC("6000") &amp; "Bytes)"</f>
        <v>予約 (12288Bytes)</v>
      </c>
      <c r="H108" s="452"/>
      <c r="I108" s="452"/>
      <c r="J108" s="452"/>
      <c r="K108" s="452"/>
      <c r="L108" s="452"/>
      <c r="M108" s="452"/>
      <c r="N108" s="452"/>
      <c r="O108" s="452"/>
      <c r="P108" s="452"/>
      <c r="Q108" s="452"/>
      <c r="R108" s="452"/>
      <c r="S108" s="452"/>
      <c r="T108" s="452"/>
      <c r="U108" s="452"/>
      <c r="V108" s="452"/>
      <c r="W108" s="452"/>
      <c r="X108" s="452"/>
      <c r="Y108" s="452"/>
      <c r="Z108" s="452"/>
      <c r="AA108" s="452"/>
      <c r="AB108" s="452"/>
      <c r="AC108" s="452"/>
      <c r="AD108" s="452"/>
      <c r="AE108" s="452"/>
      <c r="AF108" s="452"/>
      <c r="AG108" s="452"/>
      <c r="AH108" s="452"/>
      <c r="AI108" s="452"/>
      <c r="AJ108" s="452"/>
      <c r="AK108" s="452"/>
      <c r="AL108" s="452"/>
      <c r="AM108" s="452"/>
      <c r="AN108" s="452"/>
      <c r="AO108" s="452"/>
      <c r="AP108" s="452"/>
      <c r="AQ108" s="452"/>
      <c r="AR108" s="452"/>
      <c r="AS108" s="452"/>
      <c r="AT108" s="452"/>
      <c r="AU108" s="452"/>
      <c r="AV108" s="452"/>
      <c r="AW108" s="452"/>
      <c r="AX108" s="452"/>
      <c r="AY108" s="452"/>
      <c r="AZ108" s="452"/>
      <c r="BA108" s="386"/>
    </row>
    <row r="109" spans="7:53" x14ac:dyDescent="0.4">
      <c r="G109" s="568" t="s">
        <v>967</v>
      </c>
      <c r="H109" s="569"/>
      <c r="I109" s="569"/>
      <c r="J109" s="569"/>
      <c r="K109" s="569"/>
      <c r="L109" s="569"/>
      <c r="M109" s="569"/>
      <c r="N109" s="569"/>
      <c r="O109" s="569"/>
      <c r="P109" s="569"/>
      <c r="Q109" s="572" t="s">
        <v>968</v>
      </c>
      <c r="R109" s="573"/>
      <c r="S109" s="573"/>
      <c r="T109" s="573"/>
      <c r="U109" s="573"/>
      <c r="V109" s="573"/>
      <c r="W109" s="573"/>
      <c r="X109" s="573"/>
      <c r="Y109" s="574"/>
      <c r="Z109" s="578" t="s">
        <v>969</v>
      </c>
      <c r="AA109" s="579"/>
      <c r="AB109" s="572" t="s">
        <v>970</v>
      </c>
      <c r="AC109" s="573"/>
      <c r="AD109" s="573"/>
      <c r="AE109" s="573"/>
      <c r="AF109" s="574"/>
      <c r="AG109" s="578" t="s">
        <v>442</v>
      </c>
      <c r="AH109" s="579"/>
      <c r="AI109" s="580" t="s">
        <v>971</v>
      </c>
      <c r="AJ109" s="569"/>
      <c r="AK109" s="569"/>
      <c r="AL109" s="569"/>
      <c r="AM109" s="569"/>
      <c r="AN109" s="569"/>
      <c r="AO109" s="569"/>
      <c r="AP109" s="569"/>
      <c r="AQ109" s="569"/>
      <c r="AR109" s="569"/>
      <c r="AS109" s="569"/>
      <c r="AT109" s="569"/>
      <c r="AU109" s="569"/>
      <c r="AV109" s="569"/>
      <c r="AW109" s="569"/>
      <c r="AX109" s="569"/>
      <c r="AY109" s="569"/>
      <c r="AZ109" s="569"/>
      <c r="BA109" s="581"/>
    </row>
    <row r="110" spans="7:53" x14ac:dyDescent="0.4">
      <c r="G110" s="570"/>
      <c r="H110" s="571"/>
      <c r="I110" s="571"/>
      <c r="J110" s="571"/>
      <c r="K110" s="571"/>
      <c r="L110" s="571"/>
      <c r="M110" s="571"/>
      <c r="N110" s="571"/>
      <c r="O110" s="571"/>
      <c r="P110" s="571"/>
      <c r="Q110" s="575"/>
      <c r="R110" s="576"/>
      <c r="S110" s="576"/>
      <c r="T110" s="576"/>
      <c r="U110" s="576"/>
      <c r="V110" s="576"/>
      <c r="W110" s="576"/>
      <c r="X110" s="576"/>
      <c r="Y110" s="577"/>
      <c r="Z110" s="582" t="s">
        <v>540</v>
      </c>
      <c r="AA110" s="583"/>
      <c r="AB110" s="584" t="s">
        <v>259</v>
      </c>
      <c r="AC110" s="585"/>
      <c r="AD110" s="585"/>
      <c r="AE110" s="585"/>
      <c r="AF110" s="586"/>
      <c r="AG110" s="385" t="s">
        <v>259</v>
      </c>
      <c r="AH110" s="386"/>
      <c r="AI110" s="387" t="s">
        <v>258</v>
      </c>
      <c r="AJ110" s="388"/>
      <c r="AK110" s="388"/>
      <c r="AL110" s="388"/>
      <c r="AM110" s="388"/>
      <c r="AN110" s="388"/>
      <c r="AO110" s="388"/>
      <c r="AP110" s="388"/>
      <c r="AQ110" s="388"/>
      <c r="AR110" s="388"/>
      <c r="AS110" s="388"/>
      <c r="AT110" s="388"/>
      <c r="AU110" s="388"/>
      <c r="AV110" s="388"/>
      <c r="AW110" s="388"/>
      <c r="AX110" s="388"/>
      <c r="AY110" s="388"/>
      <c r="AZ110" s="388"/>
      <c r="BA110" s="389"/>
    </row>
    <row r="111" spans="7:53" x14ac:dyDescent="0.4">
      <c r="G111" s="562" t="s">
        <v>972</v>
      </c>
      <c r="H111" s="562"/>
      <c r="I111" s="562"/>
      <c r="J111" s="562"/>
      <c r="K111" s="562"/>
      <c r="L111" s="562"/>
      <c r="M111" s="562"/>
      <c r="N111" s="562"/>
      <c r="O111" s="562"/>
      <c r="P111" s="562"/>
      <c r="Q111" s="561" t="s">
        <v>973</v>
      </c>
      <c r="R111" s="561"/>
      <c r="S111" s="561"/>
      <c r="T111" s="561"/>
      <c r="U111" s="561"/>
      <c r="V111" s="561"/>
      <c r="W111" s="561"/>
      <c r="X111" s="561"/>
      <c r="Y111" s="561"/>
      <c r="Z111" s="560" t="s">
        <v>439</v>
      </c>
      <c r="AA111" s="560"/>
      <c r="AB111" s="561" t="s">
        <v>974</v>
      </c>
      <c r="AC111" s="561"/>
      <c r="AD111" s="561"/>
      <c r="AE111" s="561"/>
      <c r="AF111" s="561"/>
      <c r="AG111" s="560" t="s">
        <v>442</v>
      </c>
      <c r="AH111" s="560"/>
      <c r="AI111" s="589" t="s">
        <v>975</v>
      </c>
      <c r="AJ111" s="558"/>
      <c r="AK111" s="558"/>
      <c r="AL111" s="558"/>
      <c r="AM111" s="558"/>
      <c r="AN111" s="558"/>
      <c r="AO111" s="558"/>
      <c r="AP111" s="558"/>
      <c r="AQ111" s="558"/>
      <c r="AR111" s="558"/>
      <c r="AS111" s="558"/>
      <c r="AT111" s="558"/>
      <c r="AU111" s="558"/>
      <c r="AV111" s="558"/>
      <c r="AW111" s="558"/>
      <c r="AX111" s="558"/>
      <c r="AY111" s="558"/>
      <c r="AZ111" s="558"/>
      <c r="BA111" s="558"/>
    </row>
    <row r="112" spans="7:53" x14ac:dyDescent="0.4">
      <c r="G112" s="562"/>
      <c r="H112" s="562"/>
      <c r="I112" s="562"/>
      <c r="J112" s="562"/>
      <c r="K112" s="562"/>
      <c r="L112" s="562"/>
      <c r="M112" s="562"/>
      <c r="N112" s="562"/>
      <c r="O112" s="562"/>
      <c r="P112" s="562"/>
      <c r="Q112" s="561"/>
      <c r="R112" s="561"/>
      <c r="S112" s="561"/>
      <c r="T112" s="561"/>
      <c r="U112" s="561"/>
      <c r="V112" s="561"/>
      <c r="W112" s="561"/>
      <c r="X112" s="561"/>
      <c r="Y112" s="561"/>
      <c r="Z112" s="560"/>
      <c r="AA112" s="560"/>
      <c r="AB112" s="561"/>
      <c r="AC112" s="561"/>
      <c r="AD112" s="561"/>
      <c r="AE112" s="561"/>
      <c r="AF112" s="561"/>
      <c r="AG112" s="560"/>
      <c r="AH112" s="560"/>
      <c r="AI112" s="589"/>
      <c r="AJ112" s="558"/>
      <c r="AK112" s="558"/>
      <c r="AL112" s="558"/>
      <c r="AM112" s="558"/>
      <c r="AN112" s="558"/>
      <c r="AO112" s="558"/>
      <c r="AP112" s="558"/>
      <c r="AQ112" s="558"/>
      <c r="AR112" s="558"/>
      <c r="AS112" s="558"/>
      <c r="AT112" s="558"/>
      <c r="AU112" s="558"/>
      <c r="AV112" s="558"/>
      <c r="AW112" s="558"/>
      <c r="AX112" s="558"/>
      <c r="AY112" s="558"/>
      <c r="AZ112" s="558"/>
      <c r="BA112" s="558"/>
    </row>
    <row r="113" spans="7:53" x14ac:dyDescent="0.4">
      <c r="G113" s="562" t="s">
        <v>976</v>
      </c>
      <c r="H113" s="562"/>
      <c r="I113" s="562"/>
      <c r="J113" s="562"/>
      <c r="K113" s="562"/>
      <c r="L113" s="562"/>
      <c r="M113" s="562"/>
      <c r="N113" s="562"/>
      <c r="O113" s="562"/>
      <c r="P113" s="562"/>
      <c r="Q113" s="561" t="s">
        <v>977</v>
      </c>
      <c r="R113" s="561"/>
      <c r="S113" s="561"/>
      <c r="T113" s="561"/>
      <c r="U113" s="561"/>
      <c r="V113" s="561"/>
      <c r="W113" s="561"/>
      <c r="X113" s="561"/>
      <c r="Y113" s="561"/>
      <c r="Z113" s="560" t="s">
        <v>439</v>
      </c>
      <c r="AA113" s="560"/>
      <c r="AB113" s="561" t="s">
        <v>978</v>
      </c>
      <c r="AC113" s="561"/>
      <c r="AD113" s="561"/>
      <c r="AE113" s="561"/>
      <c r="AF113" s="561"/>
      <c r="AG113" s="560" t="s">
        <v>442</v>
      </c>
      <c r="AH113" s="560"/>
      <c r="AI113" s="587" t="s">
        <v>979</v>
      </c>
      <c r="AJ113" s="562"/>
      <c r="AK113" s="562"/>
      <c r="AL113" s="562"/>
      <c r="AM113" s="562"/>
      <c r="AN113" s="562"/>
      <c r="AO113" s="562"/>
      <c r="AP113" s="562"/>
      <c r="AQ113" s="562"/>
      <c r="AR113" s="562"/>
      <c r="AS113" s="562"/>
      <c r="AT113" s="562"/>
      <c r="AU113" s="562"/>
      <c r="AV113" s="562"/>
      <c r="AW113" s="562"/>
      <c r="AX113" s="562"/>
      <c r="AY113" s="562"/>
      <c r="AZ113" s="562"/>
      <c r="BA113" s="562"/>
    </row>
    <row r="114" spans="7:53" x14ac:dyDescent="0.4">
      <c r="G114" s="562"/>
      <c r="H114" s="562"/>
      <c r="I114" s="562"/>
      <c r="J114" s="562"/>
      <c r="K114" s="562"/>
      <c r="L114" s="562"/>
      <c r="M114" s="562"/>
      <c r="N114" s="562"/>
      <c r="O114" s="562"/>
      <c r="P114" s="562"/>
      <c r="Q114" s="561"/>
      <c r="R114" s="561"/>
      <c r="S114" s="561"/>
      <c r="T114" s="561"/>
      <c r="U114" s="561"/>
      <c r="V114" s="561"/>
      <c r="W114" s="561"/>
      <c r="X114" s="561"/>
      <c r="Y114" s="561"/>
      <c r="Z114" s="560"/>
      <c r="AA114" s="560"/>
      <c r="AB114" s="561"/>
      <c r="AC114" s="561"/>
      <c r="AD114" s="561"/>
      <c r="AE114" s="561"/>
      <c r="AF114" s="561"/>
      <c r="AG114" s="560"/>
      <c r="AH114" s="560"/>
      <c r="AI114" s="588"/>
      <c r="AJ114" s="562"/>
      <c r="AK114" s="562"/>
      <c r="AL114" s="562"/>
      <c r="AM114" s="562"/>
      <c r="AN114" s="562"/>
      <c r="AO114" s="562"/>
      <c r="AP114" s="562"/>
      <c r="AQ114" s="562"/>
      <c r="AR114" s="562"/>
      <c r="AS114" s="562"/>
      <c r="AT114" s="562"/>
      <c r="AU114" s="562"/>
      <c r="AV114" s="562"/>
      <c r="AW114" s="562"/>
      <c r="AX114" s="562"/>
      <c r="AY114" s="562"/>
      <c r="AZ114" s="562"/>
      <c r="BA114" s="562"/>
    </row>
    <row r="115" spans="7:53" x14ac:dyDescent="0.4">
      <c r="G115" s="590" t="s">
        <v>980</v>
      </c>
      <c r="H115" s="569"/>
      <c r="I115" s="569"/>
      <c r="J115" s="569"/>
      <c r="K115" s="569"/>
      <c r="L115" s="569"/>
      <c r="M115" s="569"/>
      <c r="N115" s="569"/>
      <c r="O115" s="569"/>
      <c r="P115" s="569"/>
      <c r="Q115" s="572" t="s">
        <v>981</v>
      </c>
      <c r="R115" s="573"/>
      <c r="S115" s="573"/>
      <c r="T115" s="573"/>
      <c r="U115" s="573"/>
      <c r="V115" s="573"/>
      <c r="W115" s="573"/>
      <c r="X115" s="573"/>
      <c r="Y115" s="574"/>
      <c r="Z115" s="578" t="s">
        <v>439</v>
      </c>
      <c r="AA115" s="579"/>
      <c r="AB115" s="598" t="s">
        <v>982</v>
      </c>
      <c r="AC115" s="573"/>
      <c r="AD115" s="573"/>
      <c r="AE115" s="573"/>
      <c r="AF115" s="574"/>
      <c r="AG115" s="578" t="s">
        <v>442</v>
      </c>
      <c r="AH115" s="579"/>
      <c r="AI115" s="599" t="s">
        <v>983</v>
      </c>
      <c r="AJ115" s="600"/>
      <c r="AK115" s="600"/>
      <c r="AL115" s="600"/>
      <c r="AM115" s="600"/>
      <c r="AN115" s="600"/>
      <c r="AO115" s="600"/>
      <c r="AP115" s="600"/>
      <c r="AQ115" s="600"/>
      <c r="AR115" s="600"/>
      <c r="AS115" s="600"/>
      <c r="AT115" s="600"/>
      <c r="AU115" s="600"/>
      <c r="AV115" s="600"/>
      <c r="AW115" s="600"/>
      <c r="AX115" s="600"/>
      <c r="AY115" s="600"/>
      <c r="AZ115" s="600"/>
      <c r="BA115" s="601"/>
    </row>
    <row r="116" spans="7:53" x14ac:dyDescent="0.4">
      <c r="G116" s="591"/>
      <c r="H116" s="592"/>
      <c r="I116" s="592"/>
      <c r="J116" s="592"/>
      <c r="K116" s="592"/>
      <c r="L116" s="592"/>
      <c r="M116" s="592"/>
      <c r="N116" s="592"/>
      <c r="O116" s="592"/>
      <c r="P116" s="592"/>
      <c r="Q116" s="593"/>
      <c r="R116" s="594"/>
      <c r="S116" s="594"/>
      <c r="T116" s="594"/>
      <c r="U116" s="594"/>
      <c r="V116" s="594"/>
      <c r="W116" s="594"/>
      <c r="X116" s="594"/>
      <c r="Y116" s="595"/>
      <c r="Z116" s="596"/>
      <c r="AA116" s="597"/>
      <c r="AB116" s="593"/>
      <c r="AC116" s="594"/>
      <c r="AD116" s="594"/>
      <c r="AE116" s="594"/>
      <c r="AF116" s="595"/>
      <c r="AG116" s="596"/>
      <c r="AH116" s="597"/>
      <c r="AI116" s="602"/>
      <c r="AJ116" s="603"/>
      <c r="AK116" s="603"/>
      <c r="AL116" s="603"/>
      <c r="AM116" s="603"/>
      <c r="AN116" s="603"/>
      <c r="AO116" s="603"/>
      <c r="AP116" s="603"/>
      <c r="AQ116" s="603"/>
      <c r="AR116" s="603"/>
      <c r="AS116" s="603"/>
      <c r="AT116" s="603"/>
      <c r="AU116" s="603"/>
      <c r="AV116" s="603"/>
      <c r="AW116" s="603"/>
      <c r="AX116" s="603"/>
      <c r="AY116" s="603"/>
      <c r="AZ116" s="603"/>
      <c r="BA116" s="604"/>
    </row>
    <row r="117" spans="7:53" x14ac:dyDescent="0.4">
      <c r="G117" s="591"/>
      <c r="H117" s="592"/>
      <c r="I117" s="592"/>
      <c r="J117" s="592"/>
      <c r="K117" s="592"/>
      <c r="L117" s="592"/>
      <c r="M117" s="592"/>
      <c r="N117" s="592"/>
      <c r="O117" s="592"/>
      <c r="P117" s="592"/>
      <c r="Q117" s="593"/>
      <c r="R117" s="594"/>
      <c r="S117" s="594"/>
      <c r="T117" s="594"/>
      <c r="U117" s="594"/>
      <c r="V117" s="594"/>
      <c r="W117" s="594"/>
      <c r="X117" s="594"/>
      <c r="Y117" s="595"/>
      <c r="Z117" s="596"/>
      <c r="AA117" s="597"/>
      <c r="AB117" s="593"/>
      <c r="AC117" s="594"/>
      <c r="AD117" s="594"/>
      <c r="AE117" s="594"/>
      <c r="AF117" s="595"/>
      <c r="AG117" s="596"/>
      <c r="AH117" s="597"/>
      <c r="AI117" s="602"/>
      <c r="AJ117" s="603"/>
      <c r="AK117" s="603"/>
      <c r="AL117" s="603"/>
      <c r="AM117" s="603"/>
      <c r="AN117" s="603"/>
      <c r="AO117" s="603"/>
      <c r="AP117" s="603"/>
      <c r="AQ117" s="603"/>
      <c r="AR117" s="603"/>
      <c r="AS117" s="603"/>
      <c r="AT117" s="603"/>
      <c r="AU117" s="603"/>
      <c r="AV117" s="603"/>
      <c r="AW117" s="603"/>
      <c r="AX117" s="603"/>
      <c r="AY117" s="603"/>
      <c r="AZ117" s="603"/>
      <c r="BA117" s="604"/>
    </row>
    <row r="118" spans="7:53" ht="18.75" customHeight="1" x14ac:dyDescent="0.4">
      <c r="G118" s="591"/>
      <c r="H118" s="592"/>
      <c r="I118" s="592"/>
      <c r="J118" s="592"/>
      <c r="K118" s="592"/>
      <c r="L118" s="592"/>
      <c r="M118" s="592"/>
      <c r="N118" s="592"/>
      <c r="O118" s="592"/>
      <c r="P118" s="592"/>
      <c r="Q118" s="593"/>
      <c r="R118" s="594"/>
      <c r="S118" s="594"/>
      <c r="T118" s="594"/>
      <c r="U118" s="594"/>
      <c r="V118" s="594"/>
      <c r="W118" s="594"/>
      <c r="X118" s="594"/>
      <c r="Y118" s="595"/>
      <c r="Z118" s="596"/>
      <c r="AA118" s="597"/>
      <c r="AB118" s="593"/>
      <c r="AC118" s="594"/>
      <c r="AD118" s="594"/>
      <c r="AE118" s="594"/>
      <c r="AF118" s="595"/>
      <c r="AG118" s="596"/>
      <c r="AH118" s="597"/>
      <c r="AI118" s="602"/>
      <c r="AJ118" s="603"/>
      <c r="AK118" s="603"/>
      <c r="AL118" s="603"/>
      <c r="AM118" s="603"/>
      <c r="AN118" s="603"/>
      <c r="AO118" s="603"/>
      <c r="AP118" s="603"/>
      <c r="AQ118" s="603"/>
      <c r="AR118" s="603"/>
      <c r="AS118" s="603"/>
      <c r="AT118" s="603"/>
      <c r="AU118" s="603"/>
      <c r="AV118" s="603"/>
      <c r="AW118" s="603"/>
      <c r="AX118" s="603"/>
      <c r="AY118" s="603"/>
      <c r="AZ118" s="603"/>
      <c r="BA118" s="604"/>
    </row>
    <row r="119" spans="7:53" x14ac:dyDescent="0.4">
      <c r="G119" s="590" t="s">
        <v>984</v>
      </c>
      <c r="H119" s="569"/>
      <c r="I119" s="569"/>
      <c r="J119" s="569"/>
      <c r="K119" s="569"/>
      <c r="L119" s="569"/>
      <c r="M119" s="569"/>
      <c r="N119" s="569"/>
      <c r="O119" s="569"/>
      <c r="P119" s="569"/>
      <c r="Q119" s="572" t="s">
        <v>985</v>
      </c>
      <c r="R119" s="573"/>
      <c r="S119" s="573"/>
      <c r="T119" s="573"/>
      <c r="U119" s="573"/>
      <c r="V119" s="573"/>
      <c r="W119" s="573"/>
      <c r="X119" s="573"/>
      <c r="Y119" s="574"/>
      <c r="Z119" s="578" t="s">
        <v>439</v>
      </c>
      <c r="AA119" s="579"/>
      <c r="AB119" s="598" t="s">
        <v>986</v>
      </c>
      <c r="AC119" s="573"/>
      <c r="AD119" s="573"/>
      <c r="AE119" s="573"/>
      <c r="AF119" s="574"/>
      <c r="AG119" s="578" t="s">
        <v>442</v>
      </c>
      <c r="AH119" s="579"/>
      <c r="AI119" s="599" t="s">
        <v>987</v>
      </c>
      <c r="AJ119" s="600"/>
      <c r="AK119" s="600"/>
      <c r="AL119" s="600"/>
      <c r="AM119" s="600"/>
      <c r="AN119" s="600"/>
      <c r="AO119" s="600"/>
      <c r="AP119" s="600"/>
      <c r="AQ119" s="600"/>
      <c r="AR119" s="600"/>
      <c r="AS119" s="600"/>
      <c r="AT119" s="600"/>
      <c r="AU119" s="600"/>
      <c r="AV119" s="600"/>
      <c r="AW119" s="600"/>
      <c r="AX119" s="600"/>
      <c r="AY119" s="600"/>
      <c r="AZ119" s="600"/>
      <c r="BA119" s="601"/>
    </row>
    <row r="120" spans="7:53" x14ac:dyDescent="0.4">
      <c r="G120" s="591"/>
      <c r="H120" s="592"/>
      <c r="I120" s="592"/>
      <c r="J120" s="592"/>
      <c r="K120" s="592"/>
      <c r="L120" s="592"/>
      <c r="M120" s="592"/>
      <c r="N120" s="592"/>
      <c r="O120" s="592"/>
      <c r="P120" s="592"/>
      <c r="Q120" s="593"/>
      <c r="R120" s="594"/>
      <c r="S120" s="594"/>
      <c r="T120" s="594"/>
      <c r="U120" s="594"/>
      <c r="V120" s="594"/>
      <c r="W120" s="594"/>
      <c r="X120" s="594"/>
      <c r="Y120" s="595"/>
      <c r="Z120" s="596"/>
      <c r="AA120" s="597"/>
      <c r="AB120" s="593"/>
      <c r="AC120" s="594"/>
      <c r="AD120" s="594"/>
      <c r="AE120" s="594"/>
      <c r="AF120" s="595"/>
      <c r="AG120" s="596"/>
      <c r="AH120" s="597"/>
      <c r="AI120" s="602"/>
      <c r="AJ120" s="603"/>
      <c r="AK120" s="603"/>
      <c r="AL120" s="603"/>
      <c r="AM120" s="603"/>
      <c r="AN120" s="603"/>
      <c r="AO120" s="603"/>
      <c r="AP120" s="603"/>
      <c r="AQ120" s="603"/>
      <c r="AR120" s="603"/>
      <c r="AS120" s="603"/>
      <c r="AT120" s="603"/>
      <c r="AU120" s="603"/>
      <c r="AV120" s="603"/>
      <c r="AW120" s="603"/>
      <c r="AX120" s="603"/>
      <c r="AY120" s="603"/>
      <c r="AZ120" s="603"/>
      <c r="BA120" s="604"/>
    </row>
    <row r="121" spans="7:53" x14ac:dyDescent="0.4">
      <c r="G121" s="591"/>
      <c r="H121" s="592"/>
      <c r="I121" s="592"/>
      <c r="J121" s="592"/>
      <c r="K121" s="592"/>
      <c r="L121" s="592"/>
      <c r="M121" s="592"/>
      <c r="N121" s="592"/>
      <c r="O121" s="592"/>
      <c r="P121" s="592"/>
      <c r="Q121" s="593"/>
      <c r="R121" s="594"/>
      <c r="S121" s="594"/>
      <c r="T121" s="594"/>
      <c r="U121" s="594"/>
      <c r="V121" s="594"/>
      <c r="W121" s="594"/>
      <c r="X121" s="594"/>
      <c r="Y121" s="595"/>
      <c r="Z121" s="596"/>
      <c r="AA121" s="597"/>
      <c r="AB121" s="593"/>
      <c r="AC121" s="594"/>
      <c r="AD121" s="594"/>
      <c r="AE121" s="594"/>
      <c r="AF121" s="595"/>
      <c r="AG121" s="596"/>
      <c r="AH121" s="597"/>
      <c r="AI121" s="602"/>
      <c r="AJ121" s="603"/>
      <c r="AK121" s="603"/>
      <c r="AL121" s="603"/>
      <c r="AM121" s="603"/>
      <c r="AN121" s="603"/>
      <c r="AO121" s="603"/>
      <c r="AP121" s="603"/>
      <c r="AQ121" s="603"/>
      <c r="AR121" s="603"/>
      <c r="AS121" s="603"/>
      <c r="AT121" s="603"/>
      <c r="AU121" s="603"/>
      <c r="AV121" s="603"/>
      <c r="AW121" s="603"/>
      <c r="AX121" s="603"/>
      <c r="AY121" s="603"/>
      <c r="AZ121" s="603"/>
      <c r="BA121" s="604"/>
    </row>
    <row r="122" spans="7:53" ht="18.75" customHeight="1" x14ac:dyDescent="0.4">
      <c r="G122" s="591"/>
      <c r="H122" s="592"/>
      <c r="I122" s="592"/>
      <c r="J122" s="592"/>
      <c r="K122" s="592"/>
      <c r="L122" s="592"/>
      <c r="M122" s="592"/>
      <c r="N122" s="592"/>
      <c r="O122" s="592"/>
      <c r="P122" s="592"/>
      <c r="Q122" s="593"/>
      <c r="R122" s="594"/>
      <c r="S122" s="594"/>
      <c r="T122" s="594"/>
      <c r="U122" s="594"/>
      <c r="V122" s="594"/>
      <c r="W122" s="594"/>
      <c r="X122" s="594"/>
      <c r="Y122" s="595"/>
      <c r="Z122" s="596"/>
      <c r="AA122" s="597"/>
      <c r="AB122" s="593"/>
      <c r="AC122" s="594"/>
      <c r="AD122" s="594"/>
      <c r="AE122" s="594"/>
      <c r="AF122" s="595"/>
      <c r="AG122" s="596"/>
      <c r="AH122" s="597"/>
      <c r="AI122" s="602"/>
      <c r="AJ122" s="603"/>
      <c r="AK122" s="603"/>
      <c r="AL122" s="603"/>
      <c r="AM122" s="603"/>
      <c r="AN122" s="603"/>
      <c r="AO122" s="603"/>
      <c r="AP122" s="603"/>
      <c r="AQ122" s="603"/>
      <c r="AR122" s="603"/>
      <c r="AS122" s="603"/>
      <c r="AT122" s="603"/>
      <c r="AU122" s="603"/>
      <c r="AV122" s="603"/>
      <c r="AW122" s="603"/>
      <c r="AX122" s="603"/>
      <c r="AY122" s="603"/>
      <c r="AZ122" s="603"/>
      <c r="BA122" s="604"/>
    </row>
    <row r="123" spans="7:53" x14ac:dyDescent="0.4">
      <c r="G123" s="385" t="str">
        <f>"予約 (" &amp; HEX2DEC("A000") - HEX2DEC("9014") &amp; "Bytes)"</f>
        <v>予約 (4076Bytes)</v>
      </c>
      <c r="H123" s="452"/>
      <c r="I123" s="452"/>
      <c r="J123" s="452"/>
      <c r="K123" s="452"/>
      <c r="L123" s="452"/>
      <c r="M123" s="452"/>
      <c r="N123" s="452"/>
      <c r="O123" s="452"/>
      <c r="P123" s="452"/>
      <c r="Q123" s="452"/>
      <c r="R123" s="452"/>
      <c r="S123" s="452"/>
      <c r="T123" s="452"/>
      <c r="U123" s="452"/>
      <c r="V123" s="452"/>
      <c r="W123" s="452"/>
      <c r="X123" s="452"/>
      <c r="Y123" s="452"/>
      <c r="Z123" s="452"/>
      <c r="AA123" s="452"/>
      <c r="AB123" s="452"/>
      <c r="AC123" s="452"/>
      <c r="AD123" s="452"/>
      <c r="AE123" s="452"/>
      <c r="AF123" s="452"/>
      <c r="AG123" s="452"/>
      <c r="AH123" s="452"/>
      <c r="AI123" s="452"/>
      <c r="AJ123" s="452"/>
      <c r="AK123" s="452"/>
      <c r="AL123" s="452"/>
      <c r="AM123" s="452"/>
      <c r="AN123" s="452"/>
      <c r="AO123" s="452"/>
      <c r="AP123" s="452"/>
      <c r="AQ123" s="452"/>
      <c r="AR123" s="452"/>
      <c r="AS123" s="452"/>
      <c r="AT123" s="452"/>
      <c r="AU123" s="452"/>
      <c r="AV123" s="452"/>
      <c r="AW123" s="452"/>
      <c r="AX123" s="452"/>
      <c r="AY123" s="452"/>
      <c r="AZ123" s="452"/>
      <c r="BA123" s="386"/>
    </row>
  </sheetData>
  <mergeCells count="312">
    <mergeCell ref="G123:BA123"/>
    <mergeCell ref="G119:P122"/>
    <mergeCell ref="Q119:Y122"/>
    <mergeCell ref="Z119:AA122"/>
    <mergeCell ref="AB119:AF122"/>
    <mergeCell ref="AG119:AH122"/>
    <mergeCell ref="AI119:BA122"/>
    <mergeCell ref="G115:P118"/>
    <mergeCell ref="Q115:Y118"/>
    <mergeCell ref="Z115:AA118"/>
    <mergeCell ref="AB115:AF118"/>
    <mergeCell ref="AG115:AH118"/>
    <mergeCell ref="AI115:BA118"/>
    <mergeCell ref="G113:P114"/>
    <mergeCell ref="Q113:Y114"/>
    <mergeCell ref="Z113:AA114"/>
    <mergeCell ref="AB113:AF114"/>
    <mergeCell ref="AG113:AH114"/>
    <mergeCell ref="AI113:BA114"/>
    <mergeCell ref="AI110:BA110"/>
    <mergeCell ref="G111:P112"/>
    <mergeCell ref="Q111:Y112"/>
    <mergeCell ref="Z111:AA112"/>
    <mergeCell ref="AB111:AF112"/>
    <mergeCell ref="AG111:AH112"/>
    <mergeCell ref="AI111:BA112"/>
    <mergeCell ref="G108:BA108"/>
    <mergeCell ref="G109:P110"/>
    <mergeCell ref="Q109:Y110"/>
    <mergeCell ref="Z109:AA109"/>
    <mergeCell ref="AB109:AF109"/>
    <mergeCell ref="AG109:AH109"/>
    <mergeCell ref="AI109:BA109"/>
    <mergeCell ref="Z110:AA110"/>
    <mergeCell ref="AB110:AF110"/>
    <mergeCell ref="AG110:AH110"/>
    <mergeCell ref="G106:P107"/>
    <mergeCell ref="Q106:Y107"/>
    <mergeCell ref="Z106:AA107"/>
    <mergeCell ref="AB106:AF107"/>
    <mergeCell ref="AG106:AH107"/>
    <mergeCell ref="AI106:BA107"/>
    <mergeCell ref="G104:P105"/>
    <mergeCell ref="Q104:Y105"/>
    <mergeCell ref="Z104:AA105"/>
    <mergeCell ref="AB104:AF105"/>
    <mergeCell ref="AG104:AH105"/>
    <mergeCell ref="AI104:BA105"/>
    <mergeCell ref="G102:P103"/>
    <mergeCell ref="Q102:Y103"/>
    <mergeCell ref="Z102:AA103"/>
    <mergeCell ref="AB102:AF103"/>
    <mergeCell ref="AG102:AH103"/>
    <mergeCell ref="AI102:BA103"/>
    <mergeCell ref="G99:BA99"/>
    <mergeCell ref="G100:P101"/>
    <mergeCell ref="Q100:Y101"/>
    <mergeCell ref="Z100:AA101"/>
    <mergeCell ref="AB100:AF101"/>
    <mergeCell ref="AG100:AH101"/>
    <mergeCell ref="AI100:BA101"/>
    <mergeCell ref="G97:P98"/>
    <mergeCell ref="Q97:Y98"/>
    <mergeCell ref="Z97:AA98"/>
    <mergeCell ref="AB97:AF98"/>
    <mergeCell ref="AG97:AH98"/>
    <mergeCell ref="AI97:BA98"/>
    <mergeCell ref="G95:P96"/>
    <mergeCell ref="Q95:Y96"/>
    <mergeCell ref="Z95:AA96"/>
    <mergeCell ref="AB95:AF96"/>
    <mergeCell ref="AG95:AH96"/>
    <mergeCell ref="AI95:BA96"/>
    <mergeCell ref="G93:P94"/>
    <mergeCell ref="Q93:Y94"/>
    <mergeCell ref="Z93:AA94"/>
    <mergeCell ref="AB93:AF94"/>
    <mergeCell ref="AG93:AH94"/>
    <mergeCell ref="AI93:BA94"/>
    <mergeCell ref="G90:BA90"/>
    <mergeCell ref="G91:P92"/>
    <mergeCell ref="Q91:Y92"/>
    <mergeCell ref="Z91:AA92"/>
    <mergeCell ref="AB91:AF92"/>
    <mergeCell ref="AG91:AH92"/>
    <mergeCell ref="AI91:BA92"/>
    <mergeCell ref="G89:P89"/>
    <mergeCell ref="Q89:Y89"/>
    <mergeCell ref="Z89:AA89"/>
    <mergeCell ref="AB89:AF89"/>
    <mergeCell ref="AG89:AH89"/>
    <mergeCell ref="AI89:BA89"/>
    <mergeCell ref="G88:P88"/>
    <mergeCell ref="Q88:Y88"/>
    <mergeCell ref="Z88:AA88"/>
    <mergeCell ref="AB88:AF88"/>
    <mergeCell ref="AG88:AH88"/>
    <mergeCell ref="AI88:BA88"/>
    <mergeCell ref="G86:P87"/>
    <mergeCell ref="Q86:Y87"/>
    <mergeCell ref="Z86:AA87"/>
    <mergeCell ref="AB86:AF87"/>
    <mergeCell ref="AG86:AH87"/>
    <mergeCell ref="AI86:BA87"/>
    <mergeCell ref="G84:P85"/>
    <mergeCell ref="Q84:Y85"/>
    <mergeCell ref="Z84:AA85"/>
    <mergeCell ref="AB84:AF85"/>
    <mergeCell ref="AG84:AH85"/>
    <mergeCell ref="AI84:BA85"/>
    <mergeCell ref="G82:P83"/>
    <mergeCell ref="Q82:Y83"/>
    <mergeCell ref="Z82:AA83"/>
    <mergeCell ref="AB82:AF83"/>
    <mergeCell ref="AG82:AH83"/>
    <mergeCell ref="AI82:BA83"/>
    <mergeCell ref="AB76:AF77"/>
    <mergeCell ref="AI76:BA77"/>
    <mergeCell ref="Z81:AA81"/>
    <mergeCell ref="AB81:AF81"/>
    <mergeCell ref="AG81:AH81"/>
    <mergeCell ref="AI81:BA81"/>
    <mergeCell ref="G72:P81"/>
    <mergeCell ref="Q72:Y81"/>
    <mergeCell ref="Z72:AA73"/>
    <mergeCell ref="AB72:AF73"/>
    <mergeCell ref="AI72:BA73"/>
    <mergeCell ref="Z74:AA75"/>
    <mergeCell ref="AB74:AF75"/>
    <mergeCell ref="AI74:BA75"/>
    <mergeCell ref="Z76:AA77"/>
    <mergeCell ref="AI78:BA80"/>
    <mergeCell ref="AB78:AF80"/>
    <mergeCell ref="AG72:AH80"/>
    <mergeCell ref="G70:BA70"/>
    <mergeCell ref="G71:P71"/>
    <mergeCell ref="Q71:Y71"/>
    <mergeCell ref="Z71:AA71"/>
    <mergeCell ref="AB71:AF71"/>
    <mergeCell ref="AG71:AH71"/>
    <mergeCell ref="AI71:BA71"/>
    <mergeCell ref="G64:P66"/>
    <mergeCell ref="Q64:Y66"/>
    <mergeCell ref="Z64:AA65"/>
    <mergeCell ref="AB64:AF65"/>
    <mergeCell ref="AG64:AH65"/>
    <mergeCell ref="AI64:BA65"/>
    <mergeCell ref="Z66:AA66"/>
    <mergeCell ref="AB66:AF66"/>
    <mergeCell ref="AG66:AH66"/>
    <mergeCell ref="AI66:BA66"/>
    <mergeCell ref="Z63:AA63"/>
    <mergeCell ref="AB63:AF63"/>
    <mergeCell ref="AG63:AH63"/>
    <mergeCell ref="AI63:BA63"/>
    <mergeCell ref="Z56:AA56"/>
    <mergeCell ref="AB56:AF56"/>
    <mergeCell ref="AG56:AH56"/>
    <mergeCell ref="AI56:BA56"/>
    <mergeCell ref="G67:BA67"/>
    <mergeCell ref="G49:P56"/>
    <mergeCell ref="Q49:Y56"/>
    <mergeCell ref="Z49:AA50"/>
    <mergeCell ref="AB49:AF50"/>
    <mergeCell ref="AG49:AH50"/>
    <mergeCell ref="AI49:BA50"/>
    <mergeCell ref="G57:P63"/>
    <mergeCell ref="Q57:Y63"/>
    <mergeCell ref="Z57:AA59"/>
    <mergeCell ref="AB57:AF59"/>
    <mergeCell ref="AG57:AH59"/>
    <mergeCell ref="AI57:BA59"/>
    <mergeCell ref="Z51:AA52"/>
    <mergeCell ref="AB51:AF52"/>
    <mergeCell ref="AG51:AH52"/>
    <mergeCell ref="AI51:BA52"/>
    <mergeCell ref="Z53:AA55"/>
    <mergeCell ref="AB53:AF55"/>
    <mergeCell ref="AG53:AH55"/>
    <mergeCell ref="AI53:BA55"/>
    <mergeCell ref="Z60:AA62"/>
    <mergeCell ref="AB60:AF62"/>
    <mergeCell ref="AG60:AH62"/>
    <mergeCell ref="AI60:BA62"/>
    <mergeCell ref="Z46:AA46"/>
    <mergeCell ref="AB46:AF46"/>
    <mergeCell ref="AG46:AH46"/>
    <mergeCell ref="AI46:BA46"/>
    <mergeCell ref="Z47:AA47"/>
    <mergeCell ref="AB47:AF47"/>
    <mergeCell ref="AG47:AH47"/>
    <mergeCell ref="AI47:BA47"/>
    <mergeCell ref="G43:P48"/>
    <mergeCell ref="Q43:Y48"/>
    <mergeCell ref="Z43:AA44"/>
    <mergeCell ref="AB43:AF44"/>
    <mergeCell ref="AG43:AH44"/>
    <mergeCell ref="AI43:BA44"/>
    <mergeCell ref="Z45:AA45"/>
    <mergeCell ref="AB45:AF45"/>
    <mergeCell ref="AG45:AH45"/>
    <mergeCell ref="AI45:BA45"/>
    <mergeCell ref="Z48:AA48"/>
    <mergeCell ref="AB48:AF48"/>
    <mergeCell ref="AG48:AH48"/>
    <mergeCell ref="AI48:BA48"/>
    <mergeCell ref="G42:P42"/>
    <mergeCell ref="Q42:Y42"/>
    <mergeCell ref="Z42:AA42"/>
    <mergeCell ref="AB42:AF42"/>
    <mergeCell ref="AG42:AH42"/>
    <mergeCell ref="AI42:BA42"/>
    <mergeCell ref="Z37:AA37"/>
    <mergeCell ref="AB37:AF37"/>
    <mergeCell ref="AG37:AH37"/>
    <mergeCell ref="AI37:BA37"/>
    <mergeCell ref="G38:BA38"/>
    <mergeCell ref="G41:BA41"/>
    <mergeCell ref="Z34:AA34"/>
    <mergeCell ref="AB34:AF34"/>
    <mergeCell ref="AG34:AH34"/>
    <mergeCell ref="AI34:BA34"/>
    <mergeCell ref="Z35:AA36"/>
    <mergeCell ref="AB35:AF36"/>
    <mergeCell ref="AG35:AH36"/>
    <mergeCell ref="AI35:BA36"/>
    <mergeCell ref="G30:P37"/>
    <mergeCell ref="Q30:Y37"/>
    <mergeCell ref="Z30:AA31"/>
    <mergeCell ref="AB30:AF31"/>
    <mergeCell ref="AG30:AH31"/>
    <mergeCell ref="AI30:BA31"/>
    <mergeCell ref="Z32:AA33"/>
    <mergeCell ref="AB32:AF33"/>
    <mergeCell ref="AG32:AH33"/>
    <mergeCell ref="AI32:BA33"/>
    <mergeCell ref="G26:P29"/>
    <mergeCell ref="Q26:Y29"/>
    <mergeCell ref="Z26:AA28"/>
    <mergeCell ref="AB26:AF28"/>
    <mergeCell ref="AG26:AH28"/>
    <mergeCell ref="AI26:BA28"/>
    <mergeCell ref="Z29:AA29"/>
    <mergeCell ref="AB29:AF29"/>
    <mergeCell ref="AG29:AH29"/>
    <mergeCell ref="AI29:BA29"/>
    <mergeCell ref="G25:P25"/>
    <mergeCell ref="Q25:Y25"/>
    <mergeCell ref="Z25:AA25"/>
    <mergeCell ref="AB25:AF25"/>
    <mergeCell ref="AG25:AH25"/>
    <mergeCell ref="AI25:BA25"/>
    <mergeCell ref="G23:BA23"/>
    <mergeCell ref="G24:P24"/>
    <mergeCell ref="Q24:Y24"/>
    <mergeCell ref="Z24:AA24"/>
    <mergeCell ref="AB24:AF24"/>
    <mergeCell ref="AG24:AH24"/>
    <mergeCell ref="AI24:BA24"/>
    <mergeCell ref="G20:M20"/>
    <mergeCell ref="N20:T20"/>
    <mergeCell ref="U20:W20"/>
    <mergeCell ref="G19:M19"/>
    <mergeCell ref="N19:T19"/>
    <mergeCell ref="U19:W19"/>
    <mergeCell ref="G18:M18"/>
    <mergeCell ref="N18:T18"/>
    <mergeCell ref="U18:W18"/>
    <mergeCell ref="G17:M17"/>
    <mergeCell ref="N17:T17"/>
    <mergeCell ref="U17:W17"/>
    <mergeCell ref="G16:M16"/>
    <mergeCell ref="N16:T16"/>
    <mergeCell ref="U16:W16"/>
    <mergeCell ref="G15:M15"/>
    <mergeCell ref="N15:T15"/>
    <mergeCell ref="U15:W15"/>
    <mergeCell ref="N9:T9"/>
    <mergeCell ref="U9:W9"/>
    <mergeCell ref="G14:M14"/>
    <mergeCell ref="N14:T14"/>
    <mergeCell ref="U14:W14"/>
    <mergeCell ref="G13:M13"/>
    <mergeCell ref="N13:T13"/>
    <mergeCell ref="U13:W13"/>
    <mergeCell ref="G12:M12"/>
    <mergeCell ref="N12:T12"/>
    <mergeCell ref="U12:W12"/>
    <mergeCell ref="Z78:AA80"/>
    <mergeCell ref="G5:M5"/>
    <mergeCell ref="N5:T5"/>
    <mergeCell ref="U5:W5"/>
    <mergeCell ref="G3:M3"/>
    <mergeCell ref="G4:M4"/>
    <mergeCell ref="N4:T4"/>
    <mergeCell ref="U4:W4"/>
    <mergeCell ref="G8:M8"/>
    <mergeCell ref="N8:T8"/>
    <mergeCell ref="U8:W8"/>
    <mergeCell ref="G6:M6"/>
    <mergeCell ref="N6:T6"/>
    <mergeCell ref="U6:W6"/>
    <mergeCell ref="G7:M7"/>
    <mergeCell ref="N7:T7"/>
    <mergeCell ref="U7:W7"/>
    <mergeCell ref="G11:M11"/>
    <mergeCell ref="N11:T11"/>
    <mergeCell ref="U11:W11"/>
    <mergeCell ref="G10:M10"/>
    <mergeCell ref="N10:T10"/>
    <mergeCell ref="U10:W10"/>
    <mergeCell ref="G9:M9"/>
  </mergeCells>
  <phoneticPr fontId="1"/>
  <pageMargins left="0.7" right="0.7" top="0.75" bottom="0.75" header="0.3" footer="0.3"/>
  <pageSetup paperSize="9" orientation="portrait" horizontalDpi="1200" verticalDpi="1200"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11</vt:i4>
      </vt:variant>
    </vt:vector>
  </HeadingPairs>
  <TitlesOfParts>
    <vt:vector size="11" baseType="lpstr">
      <vt:lpstr>概略図</vt:lpstr>
      <vt:lpstr>状態遷移図</vt:lpstr>
      <vt:lpstr>UDPパケット</vt:lpstr>
      <vt:lpstr>アドレッシング</vt:lpstr>
      <vt:lpstr>データレイアウト</vt:lpstr>
      <vt:lpstr>ユーザ定義波形</vt:lpstr>
      <vt:lpstr>キャプチャ区間</vt:lpstr>
      <vt:lpstr>AWG-Capture接続</vt:lpstr>
      <vt:lpstr>Dout レジスタ</vt:lpstr>
      <vt:lpstr>AWG レジスタ</vt:lpstr>
      <vt:lpstr>キャプチャレジスタ</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keisuke koike</dc:creator>
  <cp:lastModifiedBy>Koike</cp:lastModifiedBy>
  <dcterms:created xsi:type="dcterms:W3CDTF">2022-05-02T06:06:30Z</dcterms:created>
  <dcterms:modified xsi:type="dcterms:W3CDTF">2025-12-22T08:15:19Z</dcterms:modified>
</cp:coreProperties>
</file>