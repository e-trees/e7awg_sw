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D:\document\e-trees\Q-LEAP\e7awg_porting\e7awg_sw_simple_multi\manuals\zcu216\hw\figures\"/>
    </mc:Choice>
  </mc:AlternateContent>
  <xr:revisionPtr revIDLastSave="0" documentId="13_ncr:1_{DC0E79A6-26A0-47F0-B96B-ABA6353E132F}" xr6:coauthVersionLast="47" xr6:coauthVersionMax="47" xr10:uidLastSave="{00000000-0000-0000-0000-000000000000}"/>
  <bookViews>
    <workbookView xWindow="16935" yWindow="480" windowWidth="21195" windowHeight="19200" tabRatio="685" xr2:uid="{8801B8C6-3D98-4B0B-A0B5-1E828D53B5C6}"/>
  </bookViews>
  <sheets>
    <sheet name="概略図" sheetId="1" r:id="rId1"/>
    <sheet name="状態遷移図" sheetId="2" r:id="rId2"/>
    <sheet name="UDPパケット" sheetId="11" r:id="rId3"/>
    <sheet name="HBM" sheetId="8" r:id="rId4"/>
    <sheet name="ユーザ定義波形" sheetId="13" r:id="rId5"/>
    <sheet name="オシロ" sheetId="14" r:id="rId6"/>
    <sheet name="レジスタマップ_dout_x34" sheetId="16" r:id="rId7"/>
    <sheet name="Sheet2" sheetId="17"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V85" i="11" l="1"/>
  <c r="R85" i="11"/>
  <c r="N85" i="11"/>
  <c r="J85" i="11"/>
  <c r="V71" i="11"/>
  <c r="R71" i="11"/>
  <c r="N71" i="11"/>
  <c r="J71" i="11"/>
  <c r="V56" i="11"/>
  <c r="R56" i="11"/>
  <c r="N56" i="11"/>
  <c r="J56" i="11"/>
  <c r="V48" i="11"/>
  <c r="R48" i="11"/>
  <c r="N48" i="11"/>
  <c r="J48" i="11"/>
  <c r="V40" i="11"/>
  <c r="R40" i="11"/>
  <c r="N40" i="11"/>
  <c r="J40" i="11"/>
  <c r="V26" i="11"/>
  <c r="R26" i="11"/>
  <c r="N26" i="11"/>
  <c r="J26" i="11"/>
  <c r="V11" i="11"/>
  <c r="R11" i="11"/>
  <c r="N11" i="11"/>
  <c r="J11" i="11"/>
  <c r="V3" i="11"/>
  <c r="R3" i="11"/>
  <c r="N3" i="11"/>
  <c r="J3" i="11"/>
  <c r="AL154" i="11" l="1"/>
  <c r="AH154" i="11"/>
  <c r="AD154" i="11"/>
  <c r="Z154" i="11"/>
  <c r="V154" i="11"/>
  <c r="R154" i="11"/>
  <c r="N154" i="11"/>
  <c r="J154" i="11"/>
  <c r="AL211" i="11" l="1"/>
  <c r="AH211" i="11"/>
  <c r="AD211" i="11"/>
  <c r="Z211" i="11"/>
  <c r="V211" i="11"/>
  <c r="R211" i="11"/>
  <c r="N211" i="11"/>
  <c r="J211" i="11"/>
  <c r="AL99" i="11"/>
  <c r="AH99" i="11"/>
  <c r="AD99" i="11"/>
  <c r="Z99" i="11"/>
  <c r="V99" i="11"/>
  <c r="R99" i="11"/>
  <c r="N99" i="11"/>
  <c r="J99" i="11"/>
  <c r="AL94" i="11"/>
  <c r="AH94" i="11"/>
  <c r="AD94" i="11"/>
  <c r="Z94" i="11"/>
  <c r="V94" i="11"/>
  <c r="R94" i="11"/>
  <c r="N94" i="11"/>
  <c r="J94" i="11"/>
</calcChain>
</file>

<file path=xl/sharedStrings.xml><?xml version="1.0" encoding="utf-8"?>
<sst xmlns="http://schemas.openxmlformats.org/spreadsheetml/2006/main" count="2097" uniqueCount="925">
  <si>
    <t>・・・</t>
    <phoneticPr fontId="1"/>
  </si>
  <si>
    <t>アドレス</t>
    <phoneticPr fontId="1"/>
  </si>
  <si>
    <t>[7:0]</t>
    <phoneticPr fontId="1"/>
  </si>
  <si>
    <t>[39:32]</t>
    <phoneticPr fontId="1"/>
  </si>
  <si>
    <t>[31:24]</t>
    <phoneticPr fontId="1"/>
  </si>
  <si>
    <t>[23:16]</t>
    <phoneticPr fontId="1"/>
  </si>
  <si>
    <t>[15:8]</t>
    <phoneticPr fontId="1"/>
  </si>
  <si>
    <t>Byte 0</t>
  </si>
  <si>
    <t>Byte 4</t>
    <phoneticPr fontId="1"/>
  </si>
  <si>
    <t>Byte 8</t>
    <phoneticPr fontId="1"/>
  </si>
  <si>
    <t>Byte 12</t>
    <phoneticPr fontId="1"/>
  </si>
  <si>
    <t>Q データ 3</t>
    <phoneticPr fontId="1"/>
  </si>
  <si>
    <t>I データ 3</t>
    <phoneticPr fontId="1"/>
  </si>
  <si>
    <t>Q データ 2</t>
    <phoneticPr fontId="1"/>
  </si>
  <si>
    <t>I データ 2</t>
    <phoneticPr fontId="1"/>
  </si>
  <si>
    <t>Q データ 1</t>
    <phoneticPr fontId="1"/>
  </si>
  <si>
    <t>I データ 1</t>
    <phoneticPr fontId="1"/>
  </si>
  <si>
    <t>Q データ 0</t>
    <phoneticPr fontId="1"/>
  </si>
  <si>
    <t>I データ 0</t>
    <phoneticPr fontId="1"/>
  </si>
  <si>
    <t>メモリアドレス</t>
    <phoneticPr fontId="1"/>
  </si>
  <si>
    <t>I データ 4</t>
    <phoneticPr fontId="1"/>
  </si>
  <si>
    <t>Q データ 4</t>
    <phoneticPr fontId="1"/>
  </si>
  <si>
    <t>I データ 5</t>
    <phoneticPr fontId="1"/>
  </si>
  <si>
    <t>Q データ 5</t>
    <phoneticPr fontId="1"/>
  </si>
  <si>
    <t>I データ 6</t>
    <phoneticPr fontId="1"/>
  </si>
  <si>
    <t>Q データ 6</t>
    <phoneticPr fontId="1"/>
  </si>
  <si>
    <t>I データ 7</t>
    <phoneticPr fontId="1"/>
  </si>
  <si>
    <t>Q データ 7</t>
    <phoneticPr fontId="1"/>
  </si>
  <si>
    <t>I データ 4*m</t>
    <phoneticPr fontId="1"/>
  </si>
  <si>
    <t>Q データ 4*m</t>
    <phoneticPr fontId="1"/>
  </si>
  <si>
    <t>I データ 4*m+1</t>
    <phoneticPr fontId="1"/>
  </si>
  <si>
    <t>Q データ 4*m+1</t>
    <phoneticPr fontId="1"/>
  </si>
  <si>
    <t>Q データ 4*m+2</t>
    <phoneticPr fontId="1"/>
  </si>
  <si>
    <t>I データ 4*m+2</t>
    <phoneticPr fontId="1"/>
  </si>
  <si>
    <t>I データ 4*m+3</t>
    <phoneticPr fontId="1"/>
  </si>
  <si>
    <t>Q データ 4*m+3</t>
    <phoneticPr fontId="1"/>
  </si>
  <si>
    <t>仮数部</t>
    <rPh sb="0" eb="3">
      <t>カスウブ</t>
    </rPh>
    <phoneticPr fontId="1"/>
  </si>
  <si>
    <t>指数部</t>
    <rPh sb="0" eb="2">
      <t>シスウ</t>
    </rPh>
    <rPh sb="2" eb="3">
      <t>ブ</t>
    </rPh>
    <phoneticPr fontId="1"/>
  </si>
  <si>
    <t>符号</t>
    <rPh sb="0" eb="2">
      <t>フゴウ</t>
    </rPh>
    <phoneticPr fontId="1"/>
  </si>
  <si>
    <t>単精度浮動小数点数</t>
    <rPh sb="0" eb="3">
      <t>タンセイド</t>
    </rPh>
    <rPh sb="3" eb="8">
      <t>フドウショウスウテン</t>
    </rPh>
    <rPh sb="8" eb="9">
      <t>スウ</t>
    </rPh>
    <phoneticPr fontId="1"/>
  </si>
  <si>
    <t>m</t>
    <phoneticPr fontId="1"/>
  </si>
  <si>
    <t>(Byte)</t>
    <phoneticPr fontId="1"/>
  </si>
  <si>
    <t>A</t>
    <phoneticPr fontId="1"/>
  </si>
  <si>
    <t>A+32</t>
    <phoneticPr fontId="1"/>
  </si>
  <si>
    <t>A+32*m</t>
    <phoneticPr fontId="1"/>
  </si>
  <si>
    <t>wait word</t>
    <phoneticPr fontId="1"/>
  </si>
  <si>
    <t>波形パート</t>
    <rPh sb="0" eb="2">
      <t>ハケイ</t>
    </rPh>
    <phoneticPr fontId="1"/>
  </si>
  <si>
    <t>ポストブランク</t>
    <phoneticPr fontId="1"/>
  </si>
  <si>
    <t>I データ 15</t>
    <phoneticPr fontId="1"/>
  </si>
  <si>
    <t>Q データ 15</t>
    <phoneticPr fontId="1"/>
  </si>
  <si>
    <t>符号付整数</t>
    <rPh sb="0" eb="3">
      <t>フゴウツキ</t>
    </rPh>
    <rPh sb="3" eb="5">
      <t>セイスウ</t>
    </rPh>
    <phoneticPr fontId="1"/>
  </si>
  <si>
    <t>LSB</t>
    <phoneticPr fontId="1"/>
  </si>
  <si>
    <t>MSB</t>
    <phoneticPr fontId="1"/>
  </si>
  <si>
    <t>[47:40]</t>
    <phoneticPr fontId="1"/>
  </si>
  <si>
    <t>[55:48]</t>
    <phoneticPr fontId="1"/>
  </si>
  <si>
    <t>[63:56]</t>
    <phoneticPr fontId="1"/>
  </si>
  <si>
    <t>[71:64]</t>
    <phoneticPr fontId="1"/>
  </si>
  <si>
    <t>[79:72]</t>
    <phoneticPr fontId="1"/>
  </si>
  <si>
    <t>[87:80]</t>
    <phoneticPr fontId="1"/>
  </si>
  <si>
    <t>[95:88]</t>
    <phoneticPr fontId="1"/>
  </si>
  <si>
    <t>[103:96]</t>
    <phoneticPr fontId="1"/>
  </si>
  <si>
    <t>[111:104]</t>
    <phoneticPr fontId="1"/>
  </si>
  <si>
    <t>[119:112]</t>
    <phoneticPr fontId="1"/>
  </si>
  <si>
    <t>[127:120]</t>
    <phoneticPr fontId="1"/>
  </si>
  <si>
    <t>[135:128]</t>
    <phoneticPr fontId="1"/>
  </si>
  <si>
    <t>[143:136]</t>
    <phoneticPr fontId="1"/>
  </si>
  <si>
    <t>[151:144]</t>
    <phoneticPr fontId="1"/>
  </si>
  <si>
    <t>[159:152]</t>
    <phoneticPr fontId="1"/>
  </si>
  <si>
    <t>[167:160]</t>
    <phoneticPr fontId="1"/>
  </si>
  <si>
    <t>[175:168]</t>
    <phoneticPr fontId="1"/>
  </si>
  <si>
    <t>[183:176]</t>
    <phoneticPr fontId="1"/>
  </si>
  <si>
    <t>[191:184]</t>
    <phoneticPr fontId="1"/>
  </si>
  <si>
    <t>[199:192]</t>
    <phoneticPr fontId="1"/>
  </si>
  <si>
    <t>[207:200]</t>
    <phoneticPr fontId="1"/>
  </si>
  <si>
    <t>[215:208]</t>
    <phoneticPr fontId="1"/>
  </si>
  <si>
    <t>[223:216]</t>
    <phoneticPr fontId="1"/>
  </si>
  <si>
    <t>[231:224]</t>
    <phoneticPr fontId="1"/>
  </si>
  <si>
    <t>[239:232]</t>
    <phoneticPr fontId="1"/>
  </si>
  <si>
    <t>[247:240]</t>
    <phoneticPr fontId="1"/>
  </si>
  <si>
    <t>[255:248]</t>
    <phoneticPr fontId="1"/>
  </si>
  <si>
    <t>Byte 16</t>
    <phoneticPr fontId="1"/>
  </si>
  <si>
    <t>Byte 24</t>
    <phoneticPr fontId="1"/>
  </si>
  <si>
    <t>Byte 32</t>
    <phoneticPr fontId="1"/>
  </si>
  <si>
    <t>Byte 40</t>
    <phoneticPr fontId="1"/>
  </si>
  <si>
    <t>Byte 48</t>
    <phoneticPr fontId="1"/>
  </si>
  <si>
    <t>Byte 56</t>
    <phoneticPr fontId="1"/>
  </si>
  <si>
    <t>Byte 64</t>
    <phoneticPr fontId="1"/>
  </si>
  <si>
    <t>ワード 0</t>
    <phoneticPr fontId="1"/>
  </si>
  <si>
    <t>ワード 1</t>
    <phoneticPr fontId="1"/>
  </si>
  <si>
    <t>ワード 2</t>
    <phoneticPr fontId="1"/>
  </si>
  <si>
    <t>レジスタ値 1</t>
    <phoneticPr fontId="1"/>
  </si>
  <si>
    <t>レジスタ値 2</t>
    <phoneticPr fontId="1"/>
  </si>
  <si>
    <t>ワードデータ 1</t>
    <phoneticPr fontId="1"/>
  </si>
  <si>
    <t>ワードデータ 2</t>
    <phoneticPr fontId="1"/>
  </si>
  <si>
    <t>AWG 0 波形データ</t>
    <rPh sb="6" eb="8">
      <t>ハケイ</t>
    </rPh>
    <phoneticPr fontId="1"/>
  </si>
  <si>
    <t>AWG 1 波形データ</t>
    <rPh sb="6" eb="8">
      <t>ハケイ</t>
    </rPh>
    <phoneticPr fontId="1"/>
  </si>
  <si>
    <t>AWG 2 波形データ</t>
    <rPh sb="6" eb="8">
      <t>ハケイ</t>
    </rPh>
    <phoneticPr fontId="1"/>
  </si>
  <si>
    <t>AWG 3 波形データ</t>
    <rPh sb="6" eb="8">
      <t>ハケイ</t>
    </rPh>
    <phoneticPr fontId="1"/>
  </si>
  <si>
    <t>AWG 4 波形データ</t>
    <rPh sb="6" eb="8">
      <t>ハケイ</t>
    </rPh>
    <phoneticPr fontId="1"/>
  </si>
  <si>
    <t>AWG 5 波形データ</t>
    <rPh sb="6" eb="8">
      <t>ハケイ</t>
    </rPh>
    <phoneticPr fontId="1"/>
  </si>
  <si>
    <t>AWG 6 波形データ</t>
    <rPh sb="6" eb="8">
      <t>ハケイ</t>
    </rPh>
    <phoneticPr fontId="1"/>
  </si>
  <si>
    <t>AWG 7 波形データ</t>
    <rPh sb="6" eb="8">
      <t>ハケイ</t>
    </rPh>
    <phoneticPr fontId="1"/>
  </si>
  <si>
    <t>～</t>
    <phoneticPr fontId="1"/>
  </si>
  <si>
    <t>領域</t>
    <rPh sb="0" eb="2">
      <t>リョウイキ</t>
    </rPh>
    <phoneticPr fontId="1"/>
  </si>
  <si>
    <t>四値化結果 0</t>
    <rPh sb="0" eb="3">
      <t>ヨンチカ</t>
    </rPh>
    <rPh sb="3" eb="5">
      <t>ケッカ</t>
    </rPh>
    <phoneticPr fontId="1"/>
  </si>
  <si>
    <t>四値化結果 1</t>
    <phoneticPr fontId="1"/>
  </si>
  <si>
    <t>四値化結果 127</t>
    <phoneticPr fontId="1"/>
  </si>
  <si>
    <t>四値化結果 128</t>
    <rPh sb="0" eb="3">
      <t>ヨンチカ</t>
    </rPh>
    <rPh sb="3" eb="5">
      <t>ケッカ</t>
    </rPh>
    <phoneticPr fontId="1"/>
  </si>
  <si>
    <t>四値化結果 129</t>
    <phoneticPr fontId="1"/>
  </si>
  <si>
    <t>四値化結果 255</t>
    <phoneticPr fontId="1"/>
  </si>
  <si>
    <t>四値化結果 128*m</t>
    <rPh sb="0" eb="3">
      <t>ヨンチカ</t>
    </rPh>
    <rPh sb="3" eb="5">
      <t>ケッカ</t>
    </rPh>
    <phoneticPr fontId="1"/>
  </si>
  <si>
    <t>四値化結果 128*m + 1</t>
    <rPh sb="0" eb="3">
      <t>ヨンチカ</t>
    </rPh>
    <rPh sb="3" eb="5">
      <t>ケッカ</t>
    </rPh>
    <phoneticPr fontId="1"/>
  </si>
  <si>
    <t>四値化結果 128*m + 127</t>
    <rPh sb="0" eb="3">
      <t>ヨンチカ</t>
    </rPh>
    <rPh sb="3" eb="5">
      <t>ケッカ</t>
    </rPh>
    <phoneticPr fontId="1"/>
  </si>
  <si>
    <t>符号無し整数</t>
    <rPh sb="0" eb="1">
      <t>フ</t>
    </rPh>
    <rPh sb="2" eb="3">
      <t>ナ</t>
    </rPh>
    <rPh sb="4" eb="6">
      <t>セイスウ</t>
    </rPh>
    <phoneticPr fontId="1"/>
  </si>
  <si>
    <t>アドレス [= A]</t>
    <phoneticPr fontId="1"/>
  </si>
  <si>
    <t>バイト数 [= B]</t>
    <rPh sb="3" eb="4">
      <t>スウ</t>
    </rPh>
    <phoneticPr fontId="1"/>
  </si>
  <si>
    <t>タイプ [= 10h]</t>
    <phoneticPr fontId="1"/>
  </si>
  <si>
    <t>タイプ [= 11h]</t>
    <phoneticPr fontId="1"/>
  </si>
  <si>
    <t>タイプ [= 12h]</t>
    <phoneticPr fontId="1"/>
  </si>
  <si>
    <t>タイプ [= 13h]</t>
    <phoneticPr fontId="1"/>
  </si>
  <si>
    <t>タイプ [= 00h]</t>
    <phoneticPr fontId="1"/>
  </si>
  <si>
    <t>タイプ [= 01h]</t>
    <phoneticPr fontId="1"/>
  </si>
  <si>
    <t>タイプ [= 02h]</t>
    <phoneticPr fontId="1"/>
  </si>
  <si>
    <t>タイプ [= 03h]</t>
    <phoneticPr fontId="1"/>
  </si>
  <si>
    <t>バイト数 [= 4N]</t>
    <rPh sb="3" eb="4">
      <t>スウ</t>
    </rPh>
    <phoneticPr fontId="1"/>
  </si>
  <si>
    <t>レジスタ値 N</t>
    <phoneticPr fontId="1"/>
  </si>
  <si>
    <t>ワードデータ N</t>
    <phoneticPr fontId="1"/>
  </si>
  <si>
    <t>バイト数</t>
    <rPh sb="3" eb="4">
      <t>スウ</t>
    </rPh>
    <phoneticPr fontId="1"/>
  </si>
  <si>
    <t>Byte (4N+4)</t>
    <phoneticPr fontId="1"/>
  </si>
  <si>
    <t>0x0000_0000</t>
    <phoneticPr fontId="1"/>
  </si>
  <si>
    <t>0x2000_0000</t>
    <phoneticPr fontId="1"/>
  </si>
  <si>
    <t>0x4000_0000</t>
    <phoneticPr fontId="1"/>
  </si>
  <si>
    <t>0x6000_0000</t>
    <phoneticPr fontId="1"/>
  </si>
  <si>
    <t>0x8000_0000</t>
    <phoneticPr fontId="1"/>
  </si>
  <si>
    <t>0xA000_0000</t>
    <phoneticPr fontId="1"/>
  </si>
  <si>
    <t>0xC000_0000</t>
    <phoneticPr fontId="1"/>
  </si>
  <si>
    <t>0xE000_0000</t>
    <phoneticPr fontId="1"/>
  </si>
  <si>
    <t>バイト数 [= 64N]</t>
    <rPh sb="3" eb="4">
      <t>スウ</t>
    </rPh>
    <phoneticPr fontId="1"/>
  </si>
  <si>
    <t>[263:256]</t>
    <phoneticPr fontId="1"/>
  </si>
  <si>
    <t>[271:264]</t>
    <phoneticPr fontId="1"/>
  </si>
  <si>
    <t>[279:272]</t>
    <phoneticPr fontId="1"/>
  </si>
  <si>
    <t>[287:280]</t>
    <phoneticPr fontId="1"/>
  </si>
  <si>
    <t>[295:288]</t>
    <phoneticPr fontId="1"/>
  </si>
  <si>
    <t>[303:296]</t>
    <phoneticPr fontId="1"/>
  </si>
  <si>
    <t>[311:304]</t>
    <phoneticPr fontId="1"/>
  </si>
  <si>
    <t>[319:312]</t>
    <phoneticPr fontId="1"/>
  </si>
  <si>
    <t>[327:320]</t>
    <phoneticPr fontId="1"/>
  </si>
  <si>
    <t>[335:328]</t>
    <phoneticPr fontId="1"/>
  </si>
  <si>
    <t>[343:336]</t>
    <phoneticPr fontId="1"/>
  </si>
  <si>
    <t>[351:344]</t>
    <phoneticPr fontId="1"/>
  </si>
  <si>
    <t>[359:352]</t>
    <phoneticPr fontId="1"/>
  </si>
  <si>
    <t>[367:360]</t>
    <phoneticPr fontId="1"/>
  </si>
  <si>
    <t>[375:368]</t>
    <phoneticPr fontId="1"/>
  </si>
  <si>
    <t>[383:376]</t>
    <phoneticPr fontId="1"/>
  </si>
  <si>
    <t>[391:384]</t>
    <phoneticPr fontId="1"/>
  </si>
  <si>
    <t>[399:392]</t>
    <phoneticPr fontId="1"/>
  </si>
  <si>
    <t>[407:400]</t>
    <phoneticPr fontId="1"/>
  </si>
  <si>
    <t>[415:408]</t>
    <phoneticPr fontId="1"/>
  </si>
  <si>
    <t>[423:416]</t>
    <phoneticPr fontId="1"/>
  </si>
  <si>
    <t>[431:424]</t>
    <phoneticPr fontId="1"/>
  </si>
  <si>
    <t>[439:432]</t>
    <phoneticPr fontId="1"/>
  </si>
  <si>
    <t>[447:440]</t>
    <phoneticPr fontId="1"/>
  </si>
  <si>
    <t>[455:448]</t>
    <phoneticPr fontId="1"/>
  </si>
  <si>
    <t>[463:456]</t>
    <phoneticPr fontId="1"/>
  </si>
  <si>
    <t>[471:464]</t>
    <phoneticPr fontId="1"/>
  </si>
  <si>
    <t>[479:472]</t>
    <phoneticPr fontId="1"/>
  </si>
  <si>
    <t>[487:480]</t>
    <phoneticPr fontId="1"/>
  </si>
  <si>
    <t>[495:488]</t>
    <phoneticPr fontId="1"/>
  </si>
  <si>
    <t>[503:496]</t>
    <phoneticPr fontId="1"/>
  </si>
  <si>
    <t>[511:504]</t>
    <phoneticPr fontId="1"/>
  </si>
  <si>
    <t>Byte 72</t>
    <phoneticPr fontId="1"/>
  </si>
  <si>
    <t>Byte 80</t>
    <phoneticPr fontId="1"/>
  </si>
  <si>
    <t>Byte 88</t>
    <phoneticPr fontId="1"/>
  </si>
  <si>
    <t>Byte 96</t>
    <phoneticPr fontId="1"/>
  </si>
  <si>
    <t>Byte 128</t>
    <phoneticPr fontId="1"/>
  </si>
  <si>
    <t>Byte 104</t>
    <phoneticPr fontId="1"/>
  </si>
  <si>
    <t>Byte 112</t>
    <phoneticPr fontId="1"/>
  </si>
  <si>
    <t>Byte 120</t>
    <phoneticPr fontId="1"/>
  </si>
  <si>
    <t>Byte (64N-24)</t>
    <phoneticPr fontId="1"/>
  </si>
  <si>
    <t>Byte 64N</t>
    <phoneticPr fontId="1"/>
  </si>
  <si>
    <t>Byte (64N-8)</t>
    <phoneticPr fontId="1"/>
  </si>
  <si>
    <t>Byte (64N-16)</t>
    <phoneticPr fontId="1"/>
  </si>
  <si>
    <t>Byte (64N-32)</t>
    <phoneticPr fontId="1"/>
  </si>
  <si>
    <t>Byte (64N-40)</t>
    <phoneticPr fontId="1"/>
  </si>
  <si>
    <t>Byte (64N-48)</t>
    <phoneticPr fontId="1"/>
  </si>
  <si>
    <t>Byte (64N-56)</t>
    <phoneticPr fontId="1"/>
  </si>
  <si>
    <t>I データ 16</t>
    <phoneticPr fontId="1"/>
  </si>
  <si>
    <t>Q データ 16</t>
    <phoneticPr fontId="1"/>
  </si>
  <si>
    <t>I データ 17</t>
    <phoneticPr fontId="1"/>
  </si>
  <si>
    <t>Q データ 17</t>
    <phoneticPr fontId="1"/>
  </si>
  <si>
    <t>I データ 16*m</t>
    <phoneticPr fontId="1"/>
  </si>
  <si>
    <t>Q データ 16*m</t>
    <phoneticPr fontId="1"/>
  </si>
  <si>
    <t>I データ 16*m+1</t>
    <phoneticPr fontId="1"/>
  </si>
  <si>
    <t>Q データ 16*m+1</t>
    <phoneticPr fontId="1"/>
  </si>
  <si>
    <t>I データ 16*m+15</t>
    <phoneticPr fontId="1"/>
  </si>
  <si>
    <t>Q データ 16*m+15</t>
    <phoneticPr fontId="1"/>
  </si>
  <si>
    <t>A+64</t>
    <phoneticPr fontId="1"/>
  </si>
  <si>
    <t>A+64*m</t>
    <phoneticPr fontId="1"/>
  </si>
  <si>
    <t>I データ 31</t>
    <phoneticPr fontId="1"/>
  </si>
  <si>
    <t>Q データ 31</t>
    <phoneticPr fontId="1"/>
  </si>
  <si>
    <t>波形サイクル</t>
    <rPh sb="0" eb="2">
      <t>ハケイ</t>
    </rPh>
    <phoneticPr fontId="1"/>
  </si>
  <si>
    <r>
      <t>S</t>
    </r>
    <r>
      <rPr>
        <vertAlign val="subscript"/>
        <sz val="11"/>
        <color theme="1"/>
        <rFont val="游ゴシック"/>
        <family val="3"/>
        <charset val="128"/>
        <scheme val="minor"/>
      </rPr>
      <t>0</t>
    </r>
    <phoneticPr fontId="1"/>
  </si>
  <si>
    <r>
      <t>S</t>
    </r>
    <r>
      <rPr>
        <vertAlign val="subscript"/>
        <sz val="11"/>
        <color theme="1"/>
        <rFont val="游ゴシック"/>
        <family val="3"/>
        <charset val="128"/>
        <scheme val="minor"/>
      </rPr>
      <t>1</t>
    </r>
    <phoneticPr fontId="1"/>
  </si>
  <si>
    <r>
      <t>S</t>
    </r>
    <r>
      <rPr>
        <vertAlign val="subscript"/>
        <sz val="11"/>
        <color theme="1"/>
        <rFont val="游ゴシック"/>
        <family val="3"/>
        <charset val="128"/>
        <scheme val="minor"/>
      </rPr>
      <t>7</t>
    </r>
    <phoneticPr fontId="1"/>
  </si>
  <si>
    <r>
      <t>S</t>
    </r>
    <r>
      <rPr>
        <vertAlign val="subscript"/>
        <sz val="11"/>
        <color theme="1"/>
        <rFont val="游ゴシック"/>
        <family val="3"/>
        <charset val="128"/>
        <scheme val="minor"/>
      </rPr>
      <t>8n+0</t>
    </r>
    <phoneticPr fontId="1"/>
  </si>
  <si>
    <r>
      <t>S</t>
    </r>
    <r>
      <rPr>
        <vertAlign val="subscript"/>
        <sz val="11"/>
        <color theme="1"/>
        <rFont val="游ゴシック"/>
        <family val="3"/>
        <charset val="128"/>
        <scheme val="minor"/>
      </rPr>
      <t>8n+1</t>
    </r>
    <phoneticPr fontId="1"/>
  </si>
  <si>
    <r>
      <t>S</t>
    </r>
    <r>
      <rPr>
        <vertAlign val="subscript"/>
        <sz val="11"/>
        <color theme="1"/>
        <rFont val="游ゴシック"/>
        <family val="3"/>
        <charset val="128"/>
        <scheme val="minor"/>
      </rPr>
      <t>8n+7</t>
    </r>
    <phoneticPr fontId="1"/>
  </si>
  <si>
    <r>
      <t>S</t>
    </r>
    <r>
      <rPr>
        <vertAlign val="subscript"/>
        <sz val="11"/>
        <color theme="1"/>
        <rFont val="游ゴシック"/>
        <family val="3"/>
        <charset val="128"/>
        <scheme val="minor"/>
      </rPr>
      <t>511</t>
    </r>
    <phoneticPr fontId="1"/>
  </si>
  <si>
    <r>
      <t>S</t>
    </r>
    <r>
      <rPr>
        <vertAlign val="subscript"/>
        <sz val="11"/>
        <color theme="1"/>
        <rFont val="游ゴシック"/>
        <family val="3"/>
        <charset val="128"/>
        <scheme val="minor"/>
      </rPr>
      <t>512n+0</t>
    </r>
    <phoneticPr fontId="1"/>
  </si>
  <si>
    <r>
      <t>S</t>
    </r>
    <r>
      <rPr>
        <vertAlign val="subscript"/>
        <sz val="11"/>
        <color theme="1"/>
        <rFont val="游ゴシック"/>
        <family val="3"/>
        <charset val="128"/>
        <scheme val="minor"/>
      </rPr>
      <t>512n+1</t>
    </r>
    <phoneticPr fontId="1"/>
  </si>
  <si>
    <r>
      <t>S</t>
    </r>
    <r>
      <rPr>
        <vertAlign val="subscript"/>
        <sz val="11"/>
        <color theme="1"/>
        <rFont val="游ゴシック"/>
        <family val="3"/>
        <charset val="128"/>
        <scheme val="minor"/>
      </rPr>
      <t>512n+511</t>
    </r>
    <phoneticPr fontId="1"/>
  </si>
  <si>
    <t>I データ</t>
    <phoneticPr fontId="1"/>
  </si>
  <si>
    <t>Q データ</t>
    <phoneticPr fontId="1"/>
  </si>
  <si>
    <t>出力値
(0x01)</t>
    <phoneticPr fontId="1"/>
  </si>
  <si>
    <t>出力値
(0x02)</t>
    <phoneticPr fontId="1"/>
  </si>
  <si>
    <t>出力値
(0x04)</t>
    <phoneticPr fontId="1"/>
  </si>
  <si>
    <t>パターン 1</t>
    <phoneticPr fontId="1"/>
  </si>
  <si>
    <t>出力値
(0x01)</t>
    <rPh sb="0" eb="3">
      <t>シュツリョクアタイ</t>
    </rPh>
    <phoneticPr fontId="1"/>
  </si>
  <si>
    <t>出力値
(0x02)</t>
    <rPh sb="0" eb="3">
      <t>シュツリョクアタイ</t>
    </rPh>
    <phoneticPr fontId="1"/>
  </si>
  <si>
    <t>パターン 2</t>
    <phoneticPr fontId="1"/>
  </si>
  <si>
    <t>出力値
(0x03)</t>
    <rPh sb="0" eb="3">
      <t>シュツリョクアタイ</t>
    </rPh>
    <phoneticPr fontId="1"/>
  </si>
  <si>
    <t>0 データ
(10 AWG ワード)</t>
    <phoneticPr fontId="1"/>
  </si>
  <si>
    <t>samples_0</t>
    <phoneticPr fontId="1"/>
  </si>
  <si>
    <t>samples_1</t>
    <phoneticPr fontId="1"/>
  </si>
  <si>
    <t>0 データ
(3 AWG ワード)</t>
    <phoneticPr fontId="1"/>
  </si>
  <si>
    <t>〇</t>
    <phoneticPr fontId="1"/>
  </si>
  <si>
    <t>基板</t>
    <rPh sb="0" eb="2">
      <t>キバン</t>
    </rPh>
    <phoneticPr fontId="1"/>
  </si>
  <si>
    <t>ディジタル値 0</t>
    <rPh sb="5" eb="6">
      <t>アタイ</t>
    </rPh>
    <phoneticPr fontId="1"/>
  </si>
  <si>
    <t>ディジタル値 2</t>
    <phoneticPr fontId="1"/>
  </si>
  <si>
    <t>ディジタル値 1</t>
    <rPh sb="5" eb="6">
      <t>アタイ</t>
    </rPh>
    <phoneticPr fontId="1"/>
  </si>
  <si>
    <t>ディジタル値 N</t>
    <rPh sb="5" eb="6">
      <t>アタイ</t>
    </rPh>
    <phoneticPr fontId="1"/>
  </si>
  <si>
    <t>タイプ [= 30h]</t>
    <phoneticPr fontId="1"/>
  </si>
  <si>
    <t>タイプ [= 31h]</t>
    <phoneticPr fontId="1"/>
  </si>
  <si>
    <t>タイプ [= 32h]</t>
    <phoneticPr fontId="1"/>
  </si>
  <si>
    <t>タイプ [= 33h]</t>
    <phoneticPr fontId="1"/>
  </si>
  <si>
    <t>0x0000</t>
    <phoneticPr fontId="1"/>
  </si>
  <si>
    <t>0x0080</t>
    <phoneticPr fontId="1"/>
  </si>
  <si>
    <t>0x0100</t>
    <phoneticPr fontId="1"/>
  </si>
  <si>
    <t>0x0180</t>
    <phoneticPr fontId="1"/>
  </si>
  <si>
    <t>0x0200</t>
    <phoneticPr fontId="1"/>
  </si>
  <si>
    <t>0x0280</t>
    <phoneticPr fontId="1"/>
  </si>
  <si>
    <t>0x0300</t>
    <phoneticPr fontId="1"/>
  </si>
  <si>
    <t>0x0380</t>
    <phoneticPr fontId="1"/>
  </si>
  <si>
    <t>0x0400</t>
    <phoneticPr fontId="1"/>
  </si>
  <si>
    <t>予約</t>
    <rPh sb="0" eb="2">
      <t>ヨヤク</t>
    </rPh>
    <phoneticPr fontId="1"/>
  </si>
  <si>
    <t>-</t>
    <phoneticPr fontId="1"/>
  </si>
  <si>
    <t>0x1000</t>
    <phoneticPr fontId="1"/>
  </si>
  <si>
    <t>デジタル出力 全体制御</t>
    <rPh sb="4" eb="6">
      <t>シュツリョク</t>
    </rPh>
    <rPh sb="7" eb="9">
      <t>ゼンタイ</t>
    </rPh>
    <rPh sb="9" eb="11">
      <t>セイギョ</t>
    </rPh>
    <phoneticPr fontId="1"/>
  </si>
  <si>
    <t>DIGITAL_OUT_REG_BASE</t>
    <phoneticPr fontId="1"/>
  </si>
  <si>
    <t>デジタル出力 0 制御</t>
    <rPh sb="4" eb="6">
      <t>シュツリョク</t>
    </rPh>
    <rPh sb="9" eb="11">
      <t>セイギョ</t>
    </rPh>
    <phoneticPr fontId="1"/>
  </si>
  <si>
    <t>DIGITAL_OUT_0_REG_BASE</t>
    <phoneticPr fontId="1"/>
  </si>
  <si>
    <t>デジタル出力 1 制御</t>
    <rPh sb="4" eb="6">
      <t>シュツリョク</t>
    </rPh>
    <rPh sb="9" eb="11">
      <t>セイギョ</t>
    </rPh>
    <phoneticPr fontId="1"/>
  </si>
  <si>
    <t>DIGITAL_OUT_1_REG_BASE</t>
    <phoneticPr fontId="1"/>
  </si>
  <si>
    <t>デジタル出力 2 制御</t>
    <rPh sb="4" eb="6">
      <t>シュツリョク</t>
    </rPh>
    <rPh sb="9" eb="11">
      <t>セイギョ</t>
    </rPh>
    <phoneticPr fontId="1"/>
  </si>
  <si>
    <t>DIGITAL_OUT_2_REG_BASE</t>
    <phoneticPr fontId="1"/>
  </si>
  <si>
    <t>デジタル出力 3 制御</t>
    <rPh sb="4" eb="6">
      <t>シュツリョク</t>
    </rPh>
    <rPh sb="9" eb="11">
      <t>セイギョ</t>
    </rPh>
    <phoneticPr fontId="1"/>
  </si>
  <si>
    <t>DIGITAL_OUT_3_REG_BASE</t>
    <phoneticPr fontId="1"/>
  </si>
  <si>
    <t>デジタル出力 4 制御</t>
    <rPh sb="4" eb="6">
      <t>シュツリョク</t>
    </rPh>
    <rPh sb="9" eb="11">
      <t>セイギョ</t>
    </rPh>
    <phoneticPr fontId="1"/>
  </si>
  <si>
    <t>DIGITAL_OUT_4_REG_BASE</t>
    <phoneticPr fontId="1"/>
  </si>
  <si>
    <t>デジタル出力 5 制御</t>
    <rPh sb="4" eb="6">
      <t>シュツリョク</t>
    </rPh>
    <rPh sb="9" eb="11">
      <t>セイギョ</t>
    </rPh>
    <phoneticPr fontId="1"/>
  </si>
  <si>
    <t>DIGITAL_OUT_5_REG_BASE</t>
    <phoneticPr fontId="1"/>
  </si>
  <si>
    <t>デジタル出力 6 制御</t>
    <rPh sb="4" eb="6">
      <t>シュツリョク</t>
    </rPh>
    <rPh sb="9" eb="11">
      <t>セイギョ</t>
    </rPh>
    <phoneticPr fontId="1"/>
  </si>
  <si>
    <t>DIGITAL_OUT_6_REG_BASE</t>
    <phoneticPr fontId="1"/>
  </si>
  <si>
    <t>デジタル出力 7 制御</t>
    <rPh sb="4" eb="6">
      <t>シュツリョク</t>
    </rPh>
    <rPh sb="9" eb="11">
      <t>セイギョ</t>
    </rPh>
    <phoneticPr fontId="1"/>
  </si>
  <si>
    <t>DIGITAL_OUT_7_REG_BASE</t>
    <phoneticPr fontId="1"/>
  </si>
  <si>
    <t>デジタル出力 8 制御</t>
    <rPh sb="4" eb="6">
      <t>シュツリョク</t>
    </rPh>
    <rPh sb="9" eb="11">
      <t>セイギョ</t>
    </rPh>
    <phoneticPr fontId="1"/>
  </si>
  <si>
    <t>DIGITAL_OUT_8_REG_BASE</t>
    <phoneticPr fontId="1"/>
  </si>
  <si>
    <t>デジタル出力 9 制御</t>
    <rPh sb="4" eb="6">
      <t>シュツリョク</t>
    </rPh>
    <rPh sb="9" eb="11">
      <t>セイギョ</t>
    </rPh>
    <phoneticPr fontId="1"/>
  </si>
  <si>
    <t>DIGITAL_OUT_9_REG_BASE</t>
    <phoneticPr fontId="1"/>
  </si>
  <si>
    <t>デジタル出力 10 制御</t>
    <rPh sb="4" eb="6">
      <t>シュツリョク</t>
    </rPh>
    <rPh sb="10" eb="12">
      <t>セイギョ</t>
    </rPh>
    <phoneticPr fontId="1"/>
  </si>
  <si>
    <t>DIGITAL_OUT_10_REG_BASE</t>
    <phoneticPr fontId="1"/>
  </si>
  <si>
    <t>デジタル出力 11 制御</t>
    <rPh sb="4" eb="6">
      <t>シュツリョク</t>
    </rPh>
    <rPh sb="10" eb="12">
      <t>セイギョ</t>
    </rPh>
    <phoneticPr fontId="1"/>
  </si>
  <si>
    <t>DIGITAL_OUT_11_REG_BASE</t>
    <phoneticPr fontId="1"/>
  </si>
  <si>
    <t>デジタル出力 12 制御</t>
    <rPh sb="4" eb="6">
      <t>シュツリョク</t>
    </rPh>
    <rPh sb="10" eb="12">
      <t>セイギョ</t>
    </rPh>
    <phoneticPr fontId="1"/>
  </si>
  <si>
    <t>DIGITAL_OUT_12_REG_BASE</t>
    <phoneticPr fontId="1"/>
  </si>
  <si>
    <t>デジタル出力 13 制御</t>
    <rPh sb="4" eb="6">
      <t>シュツリョク</t>
    </rPh>
    <rPh sb="10" eb="12">
      <t>セイギョ</t>
    </rPh>
    <phoneticPr fontId="1"/>
  </si>
  <si>
    <t>DIGITAL_OUT_13_REG_BASE</t>
    <phoneticPr fontId="1"/>
  </si>
  <si>
    <t>デジタル出力 14 制御</t>
    <rPh sb="4" eb="6">
      <t>シュツリョク</t>
    </rPh>
    <rPh sb="10" eb="12">
      <t>セイギョ</t>
    </rPh>
    <phoneticPr fontId="1"/>
  </si>
  <si>
    <t>DIGITAL_OUT_14_REG_BASE</t>
    <phoneticPr fontId="1"/>
  </si>
  <si>
    <t>デジタル出力 15 制御</t>
    <rPh sb="4" eb="6">
      <t>シュツリョク</t>
    </rPh>
    <rPh sb="10" eb="12">
      <t>セイギョ</t>
    </rPh>
    <phoneticPr fontId="1"/>
  </si>
  <si>
    <t>DIGITAL_OUT_15_REG_BASE</t>
    <phoneticPr fontId="1"/>
  </si>
  <si>
    <t>デジタル出力 16 制御</t>
    <rPh sb="4" eb="6">
      <t>シュツリョク</t>
    </rPh>
    <rPh sb="10" eb="12">
      <t>セイギョ</t>
    </rPh>
    <phoneticPr fontId="1"/>
  </si>
  <si>
    <t>DIGITAL_OUT_16_REG_BASE</t>
    <phoneticPr fontId="1"/>
  </si>
  <si>
    <t>デジタル出力 17 制御</t>
    <rPh sb="4" eb="6">
      <t>シュツリョク</t>
    </rPh>
    <rPh sb="10" eb="12">
      <t>セイギョ</t>
    </rPh>
    <phoneticPr fontId="1"/>
  </si>
  <si>
    <t>DIGITAL_OUT_17_REG_BASE</t>
    <phoneticPr fontId="1"/>
  </si>
  <si>
    <t>デジタル出力 18 制御</t>
    <rPh sb="4" eb="6">
      <t>シュツリョク</t>
    </rPh>
    <rPh sb="10" eb="12">
      <t>セイギョ</t>
    </rPh>
    <phoneticPr fontId="1"/>
  </si>
  <si>
    <t>DIGITAL_OUT_18_REG_BASE</t>
    <phoneticPr fontId="1"/>
  </si>
  <si>
    <t>デジタル出力 19 制御</t>
    <rPh sb="4" eb="6">
      <t>シュツリョク</t>
    </rPh>
    <rPh sb="10" eb="12">
      <t>セイギョ</t>
    </rPh>
    <phoneticPr fontId="1"/>
  </si>
  <si>
    <t>DIGITAL_OUT_19_REG_BASE</t>
    <phoneticPr fontId="1"/>
  </si>
  <si>
    <t>デジタル出力 20 制御</t>
    <rPh sb="4" eb="6">
      <t>シュツリョク</t>
    </rPh>
    <rPh sb="10" eb="12">
      <t>セイギョ</t>
    </rPh>
    <phoneticPr fontId="1"/>
  </si>
  <si>
    <t>DIGITAL_OUT_20_REG_BASE</t>
    <phoneticPr fontId="1"/>
  </si>
  <si>
    <t>デジタル出力 21 制御</t>
    <rPh sb="4" eb="6">
      <t>シュツリョク</t>
    </rPh>
    <rPh sb="10" eb="12">
      <t>セイギョ</t>
    </rPh>
    <phoneticPr fontId="1"/>
  </si>
  <si>
    <t>DIGITAL_OUT_21_REG_BASE</t>
    <phoneticPr fontId="1"/>
  </si>
  <si>
    <t>デジタル出力 22 制御</t>
    <rPh sb="4" eb="6">
      <t>シュツリョク</t>
    </rPh>
    <rPh sb="10" eb="12">
      <t>セイギョ</t>
    </rPh>
    <phoneticPr fontId="1"/>
  </si>
  <si>
    <t>DIGITAL_OUT_22_REG_BASE</t>
    <phoneticPr fontId="1"/>
  </si>
  <si>
    <t>デジタル出力 23 制御</t>
    <rPh sb="4" eb="6">
      <t>シュツリョク</t>
    </rPh>
    <rPh sb="10" eb="12">
      <t>セイギョ</t>
    </rPh>
    <phoneticPr fontId="1"/>
  </si>
  <si>
    <t>DIGITAL_OUT_23_REG_BASE</t>
    <phoneticPr fontId="1"/>
  </si>
  <si>
    <t>デジタル出力 24 制御</t>
    <rPh sb="4" eb="6">
      <t>シュツリョク</t>
    </rPh>
    <rPh sb="10" eb="12">
      <t>セイギョ</t>
    </rPh>
    <phoneticPr fontId="1"/>
  </si>
  <si>
    <t>DIGITAL_OUT_24_REG_BASE</t>
    <phoneticPr fontId="1"/>
  </si>
  <si>
    <t>デジタル出力 25 制御</t>
    <rPh sb="4" eb="6">
      <t>シュツリョク</t>
    </rPh>
    <rPh sb="10" eb="12">
      <t>セイギョ</t>
    </rPh>
    <phoneticPr fontId="1"/>
  </si>
  <si>
    <t>DIGITAL_OUT_25_REG_BASE</t>
    <phoneticPr fontId="1"/>
  </si>
  <si>
    <t>デジタル出力 26 制御</t>
    <rPh sb="4" eb="6">
      <t>シュツリョク</t>
    </rPh>
    <rPh sb="10" eb="12">
      <t>セイギョ</t>
    </rPh>
    <phoneticPr fontId="1"/>
  </si>
  <si>
    <t>DIGITAL_OUT_26_REG_BASE</t>
    <phoneticPr fontId="1"/>
  </si>
  <si>
    <t>デジタル出力 27 制御</t>
    <rPh sb="4" eb="6">
      <t>シュツリョク</t>
    </rPh>
    <rPh sb="10" eb="12">
      <t>セイギョ</t>
    </rPh>
    <phoneticPr fontId="1"/>
  </si>
  <si>
    <t>DIGITAL_OUT_27_REG_BASE</t>
    <phoneticPr fontId="1"/>
  </si>
  <si>
    <t>デジタル出力 28 制御</t>
    <rPh sb="4" eb="6">
      <t>シュツリョク</t>
    </rPh>
    <rPh sb="10" eb="12">
      <t>セイギョ</t>
    </rPh>
    <phoneticPr fontId="1"/>
  </si>
  <si>
    <t>DIGITAL_OUT_28_REG_BASE</t>
    <phoneticPr fontId="1"/>
  </si>
  <si>
    <t>デジタル出力 29 制御</t>
    <rPh sb="4" eb="6">
      <t>シュツリョク</t>
    </rPh>
    <rPh sb="10" eb="12">
      <t>セイギョ</t>
    </rPh>
    <phoneticPr fontId="1"/>
  </si>
  <si>
    <t>DIGITAL_OUT_29_REG_BASE</t>
    <phoneticPr fontId="1"/>
  </si>
  <si>
    <t>デジタル出力 30 制御</t>
    <rPh sb="4" eb="6">
      <t>シュツリョク</t>
    </rPh>
    <rPh sb="10" eb="12">
      <t>セイギョ</t>
    </rPh>
    <phoneticPr fontId="1"/>
  </si>
  <si>
    <t>DIGITAL_OUT_30_REG_BASE</t>
    <phoneticPr fontId="1"/>
  </si>
  <si>
    <t>デジタル出力 31 制御</t>
    <rPh sb="4" eb="6">
      <t>シュツリョク</t>
    </rPh>
    <rPh sb="10" eb="12">
      <t>セイギョ</t>
    </rPh>
    <phoneticPr fontId="1"/>
  </si>
  <si>
    <t>DIGITAL_OUT_31_REG_BASE</t>
    <phoneticPr fontId="1"/>
  </si>
  <si>
    <t>デジタル出力 32 制御</t>
    <rPh sb="4" eb="6">
      <t>シュツリョク</t>
    </rPh>
    <rPh sb="10" eb="12">
      <t>セイギョ</t>
    </rPh>
    <phoneticPr fontId="1"/>
  </si>
  <si>
    <t>DIGITAL_OUT_32_REG_BASE</t>
    <phoneticPr fontId="1"/>
  </si>
  <si>
    <t>デジタル出力 33 制御</t>
    <rPh sb="4" eb="6">
      <t>シュツリョク</t>
    </rPh>
    <rPh sb="10" eb="12">
      <t>セイギョ</t>
    </rPh>
    <phoneticPr fontId="1"/>
  </si>
  <si>
    <t>DIGITAL_OUT_33_REG_BASE</t>
    <phoneticPr fontId="1"/>
  </si>
  <si>
    <t>デジタル出力パターン0</t>
    <rPh sb="4" eb="6">
      <t>シュツリョク</t>
    </rPh>
    <phoneticPr fontId="1"/>
  </si>
  <si>
    <t>DIGITAL_OUT_0_PATTERN</t>
    <phoneticPr fontId="1"/>
  </si>
  <si>
    <t>0x10_0000</t>
    <phoneticPr fontId="1"/>
  </si>
  <si>
    <t>デジタル出力パターン1</t>
    <rPh sb="4" eb="6">
      <t>シュツリョク</t>
    </rPh>
    <phoneticPr fontId="1"/>
  </si>
  <si>
    <t>DIGITAL_OUT_1_PATTERN</t>
    <phoneticPr fontId="1"/>
  </si>
  <si>
    <t>0x14_0000</t>
    <phoneticPr fontId="1"/>
  </si>
  <si>
    <t>デジタル出力パターン2</t>
    <rPh sb="4" eb="6">
      <t>シュツリョク</t>
    </rPh>
    <phoneticPr fontId="1"/>
  </si>
  <si>
    <t>DIGITAL_OUT_2_PATTERN</t>
    <phoneticPr fontId="1"/>
  </si>
  <si>
    <t>0x18_0000</t>
    <phoneticPr fontId="1"/>
  </si>
  <si>
    <t>デジタル出力パターン3</t>
    <rPh sb="4" eb="6">
      <t>シュツリョク</t>
    </rPh>
    <phoneticPr fontId="1"/>
  </si>
  <si>
    <t>DIGITAL_OUT_3_PATTERN</t>
    <phoneticPr fontId="1"/>
  </si>
  <si>
    <t>0x1C_0000</t>
    <phoneticPr fontId="1"/>
  </si>
  <si>
    <t>デジタル出力パターン4</t>
    <rPh sb="4" eb="6">
      <t>シュツリョク</t>
    </rPh>
    <phoneticPr fontId="1"/>
  </si>
  <si>
    <t>DIGITAL_OUT_4_PATTERN</t>
    <phoneticPr fontId="1"/>
  </si>
  <si>
    <t>0x20_0000</t>
    <phoneticPr fontId="1"/>
  </si>
  <si>
    <t>デジタル出力パターン5</t>
    <rPh sb="4" eb="6">
      <t>シュツリョク</t>
    </rPh>
    <phoneticPr fontId="1"/>
  </si>
  <si>
    <t>DIGITAL_OUT_5_PATTERN</t>
    <phoneticPr fontId="1"/>
  </si>
  <si>
    <t>0x24_0000</t>
    <phoneticPr fontId="1"/>
  </si>
  <si>
    <t>デジタル出力パターン6</t>
    <rPh sb="4" eb="6">
      <t>シュツリョク</t>
    </rPh>
    <phoneticPr fontId="1"/>
  </si>
  <si>
    <t>DIGITAL_OUT_6_PATTERN</t>
    <phoneticPr fontId="1"/>
  </si>
  <si>
    <t>0x28_0000</t>
    <phoneticPr fontId="1"/>
  </si>
  <si>
    <t>デジタル出力パターン7</t>
    <phoneticPr fontId="1"/>
  </si>
  <si>
    <t>DIGITAL_OUT_7_PATTERN</t>
    <phoneticPr fontId="1"/>
  </si>
  <si>
    <t>0x2C_0000</t>
    <phoneticPr fontId="1"/>
  </si>
  <si>
    <t>デジタル出力パターン8</t>
    <rPh sb="4" eb="6">
      <t>シュツリョク</t>
    </rPh>
    <phoneticPr fontId="1"/>
  </si>
  <si>
    <t>DIGITAL_OUT_8_PATTERN</t>
    <phoneticPr fontId="1"/>
  </si>
  <si>
    <t>0x30_0000</t>
    <phoneticPr fontId="1"/>
  </si>
  <si>
    <t>デジタル出力パターン9</t>
    <rPh sb="4" eb="6">
      <t>シュツリョク</t>
    </rPh>
    <phoneticPr fontId="1"/>
  </si>
  <si>
    <t>DIGITAL_OUT_9_PATTERN</t>
    <phoneticPr fontId="1"/>
  </si>
  <si>
    <t>0x34_0000</t>
    <phoneticPr fontId="1"/>
  </si>
  <si>
    <t>デジタル出力パターン10</t>
    <rPh sb="4" eb="6">
      <t>シュツリョク</t>
    </rPh>
    <phoneticPr fontId="1"/>
  </si>
  <si>
    <t>DIGITAL_OUT_10_PATTERN</t>
    <phoneticPr fontId="1"/>
  </si>
  <si>
    <t>0x38_0000</t>
    <phoneticPr fontId="1"/>
  </si>
  <si>
    <t>デジタル出力パターン11</t>
    <rPh sb="4" eb="6">
      <t>シュツリョク</t>
    </rPh>
    <phoneticPr fontId="1"/>
  </si>
  <si>
    <t>DIGITAL_OUT_11_PATTERN</t>
    <phoneticPr fontId="1"/>
  </si>
  <si>
    <t>0x3C_0000</t>
    <phoneticPr fontId="1"/>
  </si>
  <si>
    <t>デジタル出力パターン12</t>
    <rPh sb="4" eb="6">
      <t>シュツリョク</t>
    </rPh>
    <phoneticPr fontId="1"/>
  </si>
  <si>
    <t>DIGITAL_OUT_12_PATTERN</t>
    <phoneticPr fontId="1"/>
  </si>
  <si>
    <t>0x40_0000</t>
    <phoneticPr fontId="1"/>
  </si>
  <si>
    <t>デジタル出力パターン13</t>
    <rPh sb="4" eb="6">
      <t>シュツリョク</t>
    </rPh>
    <phoneticPr fontId="1"/>
  </si>
  <si>
    <t>DIGITAL_OUT_13_PATTERN</t>
    <phoneticPr fontId="1"/>
  </si>
  <si>
    <t>0x44_0000</t>
    <phoneticPr fontId="1"/>
  </si>
  <si>
    <t>デジタル出力パターン14</t>
    <rPh sb="4" eb="6">
      <t>シュツリョク</t>
    </rPh>
    <phoneticPr fontId="1"/>
  </si>
  <si>
    <t>DIGITAL_OUT_14_PATTERN</t>
    <phoneticPr fontId="1"/>
  </si>
  <si>
    <t>0x48_0000</t>
    <phoneticPr fontId="1"/>
  </si>
  <si>
    <t>デジタル出力パターン15</t>
    <rPh sb="4" eb="6">
      <t>シュツリョク</t>
    </rPh>
    <phoneticPr fontId="1"/>
  </si>
  <si>
    <t>DIGITAL_OUT_15_PATTERN</t>
    <phoneticPr fontId="1"/>
  </si>
  <si>
    <t>0x4C_0000</t>
    <phoneticPr fontId="1"/>
  </si>
  <si>
    <t>デジタル出力パターン16</t>
    <rPh sb="4" eb="6">
      <t>シュツリョク</t>
    </rPh>
    <phoneticPr fontId="1"/>
  </si>
  <si>
    <t>DIGITAL_OUT_16_PATTERN</t>
    <phoneticPr fontId="1"/>
  </si>
  <si>
    <t>0x50_0000</t>
    <phoneticPr fontId="1"/>
  </si>
  <si>
    <t>デジタル出力パターン17</t>
    <rPh sb="4" eb="6">
      <t>シュツリョク</t>
    </rPh>
    <phoneticPr fontId="1"/>
  </si>
  <si>
    <t>DIGITAL_OUT_17_PATTERN</t>
    <phoneticPr fontId="1"/>
  </si>
  <si>
    <t>0x54_0000</t>
    <phoneticPr fontId="1"/>
  </si>
  <si>
    <t>デジタル出力パターン18</t>
    <rPh sb="4" eb="6">
      <t>シュツリョク</t>
    </rPh>
    <phoneticPr fontId="1"/>
  </si>
  <si>
    <t>DIGITAL_OUT_18_PATTERN</t>
    <phoneticPr fontId="1"/>
  </si>
  <si>
    <t>0x58_0000</t>
    <phoneticPr fontId="1"/>
  </si>
  <si>
    <t>デジタル出力パターン19</t>
    <rPh sb="4" eb="6">
      <t>シュツリョク</t>
    </rPh>
    <phoneticPr fontId="1"/>
  </si>
  <si>
    <t>DIGITAL_OUT_19_PATTERN</t>
    <phoneticPr fontId="1"/>
  </si>
  <si>
    <t>0x5C_0000</t>
    <phoneticPr fontId="1"/>
  </si>
  <si>
    <t>デジタル出力パターン20</t>
    <rPh sb="4" eb="6">
      <t>シュツリョク</t>
    </rPh>
    <phoneticPr fontId="1"/>
  </si>
  <si>
    <t>DIGITAL_OUT_20_PATTERN</t>
    <phoneticPr fontId="1"/>
  </si>
  <si>
    <t>0x60_0000</t>
    <phoneticPr fontId="1"/>
  </si>
  <si>
    <t>デジタル出力パターン21</t>
    <rPh sb="4" eb="6">
      <t>シュツリョク</t>
    </rPh>
    <phoneticPr fontId="1"/>
  </si>
  <si>
    <t>DIGITAL_OUT_21_PATTERN</t>
    <phoneticPr fontId="1"/>
  </si>
  <si>
    <t>0x64_0000</t>
    <phoneticPr fontId="1"/>
  </si>
  <si>
    <t>デジタル出力パターン22</t>
    <phoneticPr fontId="1"/>
  </si>
  <si>
    <t>DIGITAL_OUT_22_PATTERN</t>
    <phoneticPr fontId="1"/>
  </si>
  <si>
    <t>0x68_0000</t>
    <phoneticPr fontId="1"/>
  </si>
  <si>
    <t>デジタル出力パターン23</t>
    <rPh sb="4" eb="6">
      <t>シュツリョク</t>
    </rPh>
    <phoneticPr fontId="1"/>
  </si>
  <si>
    <t>DIGITAL_OUT_23_PATTERN</t>
    <phoneticPr fontId="1"/>
  </si>
  <si>
    <t>0x6C_0000</t>
    <phoneticPr fontId="1"/>
  </si>
  <si>
    <t>デジタル出力パターン24</t>
    <rPh sb="4" eb="6">
      <t>シュツリョク</t>
    </rPh>
    <phoneticPr fontId="1"/>
  </si>
  <si>
    <t>DIGITAL_OUT_24_PATTERN</t>
    <phoneticPr fontId="1"/>
  </si>
  <si>
    <t>0x70_0000</t>
    <phoneticPr fontId="1"/>
  </si>
  <si>
    <t>デジタル出力パターン25</t>
    <rPh sb="4" eb="6">
      <t>シュツリョク</t>
    </rPh>
    <phoneticPr fontId="1"/>
  </si>
  <si>
    <t>DIGITAL_OUT_25_PATTERN</t>
    <phoneticPr fontId="1"/>
  </si>
  <si>
    <t>0x74_0000</t>
    <phoneticPr fontId="1"/>
  </si>
  <si>
    <t>デジタル出力パターン26</t>
    <rPh sb="4" eb="6">
      <t>シュツリョク</t>
    </rPh>
    <phoneticPr fontId="1"/>
  </si>
  <si>
    <t>DIGITAL_OUT_26_PATTERN</t>
    <phoneticPr fontId="1"/>
  </si>
  <si>
    <t>0x78_0000</t>
    <phoneticPr fontId="1"/>
  </si>
  <si>
    <t>デジタル出力パターン27</t>
    <rPh sb="4" eb="6">
      <t>シュツリョク</t>
    </rPh>
    <phoneticPr fontId="1"/>
  </si>
  <si>
    <t>DIGITAL_OUT_27_PATTERN</t>
    <phoneticPr fontId="1"/>
  </si>
  <si>
    <t>0x7C_0000</t>
    <phoneticPr fontId="1"/>
  </si>
  <si>
    <t>デジタル出力パターン28</t>
    <rPh sb="4" eb="6">
      <t>シュツリョク</t>
    </rPh>
    <phoneticPr fontId="1"/>
  </si>
  <si>
    <t>DIGITAL_OUT_28_PATTERN</t>
    <phoneticPr fontId="1"/>
  </si>
  <si>
    <t>0x80_0000</t>
    <phoneticPr fontId="1"/>
  </si>
  <si>
    <t>デジタル出力パターン29</t>
    <rPh sb="4" eb="6">
      <t>シュツリョク</t>
    </rPh>
    <phoneticPr fontId="1"/>
  </si>
  <si>
    <t>DIGITAL_OUT_29_PATTERN</t>
    <phoneticPr fontId="1"/>
  </si>
  <si>
    <t>0x84_0000</t>
    <phoneticPr fontId="1"/>
  </si>
  <si>
    <t>デジタル出力パターン30</t>
    <rPh sb="4" eb="6">
      <t>シュツリョク</t>
    </rPh>
    <phoneticPr fontId="1"/>
  </si>
  <si>
    <t>DIGITAL_OUT_30_PATTERN</t>
    <phoneticPr fontId="1"/>
  </si>
  <si>
    <t>0x88_0000</t>
    <phoneticPr fontId="1"/>
  </si>
  <si>
    <t>デジタル出力パターン31</t>
    <rPh sb="4" eb="6">
      <t>シュツリョク</t>
    </rPh>
    <phoneticPr fontId="1"/>
  </si>
  <si>
    <t>DIGITAL_OUT_31_PATTERN</t>
    <phoneticPr fontId="1"/>
  </si>
  <si>
    <t>0x8C_0000</t>
    <phoneticPr fontId="1"/>
  </si>
  <si>
    <t>デジタル出力パターン32</t>
    <rPh sb="4" eb="6">
      <t>シュツリョク</t>
    </rPh>
    <phoneticPr fontId="1"/>
  </si>
  <si>
    <t>DIGITAL_OUT_32_PATTERN</t>
    <phoneticPr fontId="1"/>
  </si>
  <si>
    <t>0x90_0000</t>
    <phoneticPr fontId="1"/>
  </si>
  <si>
    <t>デジタル出力パターン33</t>
    <rPh sb="4" eb="6">
      <t>シュツリョク</t>
    </rPh>
    <phoneticPr fontId="1"/>
  </si>
  <si>
    <t>DIGITAL_OUT_33_PATTERN</t>
    <phoneticPr fontId="1"/>
  </si>
  <si>
    <t>0x94_0000</t>
    <phoneticPr fontId="1"/>
  </si>
  <si>
    <t>レジスタ名</t>
    <rPh sb="4" eb="5">
      <t>メイ</t>
    </rPh>
    <phoneticPr fontId="1"/>
  </si>
  <si>
    <t>bit</t>
    <phoneticPr fontId="1"/>
  </si>
  <si>
    <t>フィールド名</t>
    <rPh sb="5" eb="6">
      <t>メイ</t>
    </rPh>
    <phoneticPr fontId="1"/>
  </si>
  <si>
    <t>R/W</t>
    <phoneticPr fontId="1"/>
  </si>
  <si>
    <t>説明</t>
    <rPh sb="0" eb="2">
      <t>セツメイ</t>
    </rPh>
    <phoneticPr fontId="1"/>
  </si>
  <si>
    <t>バージョン</t>
    <phoneticPr fontId="1"/>
  </si>
  <si>
    <t>[31:0]</t>
    <phoneticPr fontId="1"/>
  </si>
  <si>
    <t>version</t>
    <phoneticPr fontId="1"/>
  </si>
  <si>
    <t>r</t>
    <phoneticPr fontId="1"/>
  </si>
  <si>
    <t>rw</t>
    <phoneticPr fontId="1"/>
  </si>
  <si>
    <t>[0]</t>
    <phoneticPr fontId="1"/>
  </si>
  <si>
    <t>reset</t>
    <phoneticPr fontId="1"/>
  </si>
  <si>
    <t>[1]</t>
    <phoneticPr fontId="1"/>
  </si>
  <si>
    <t>[2]</t>
    <phoneticPr fontId="1"/>
  </si>
  <si>
    <t>start</t>
    <phoneticPr fontId="1"/>
  </si>
  <si>
    <t>[3]</t>
    <phoneticPr fontId="1"/>
  </si>
  <si>
    <t>terminate</t>
    <phoneticPr fontId="1"/>
  </si>
  <si>
    <t>[4]</t>
    <phoneticPr fontId="1"/>
  </si>
  <si>
    <t>done clr</t>
    <phoneticPr fontId="1"/>
  </si>
  <si>
    <t>[5]</t>
    <phoneticPr fontId="1"/>
  </si>
  <si>
    <t>pause</t>
    <phoneticPr fontId="1"/>
  </si>
  <si>
    <t>[6]</t>
    <phoneticPr fontId="1"/>
  </si>
  <si>
    <t>resume</t>
    <phoneticPr fontId="1"/>
  </si>
  <si>
    <t>wakeup</t>
    <phoneticPr fontId="1"/>
  </si>
  <si>
    <t>busy</t>
    <phoneticPr fontId="1"/>
  </si>
  <si>
    <t>r</t>
  </si>
  <si>
    <t>done</t>
    <phoneticPr fontId="1"/>
  </si>
  <si>
    <t>paused</t>
    <phoneticPr fontId="1"/>
  </si>
  <si>
    <t>[31:7]</t>
    <phoneticPr fontId="1"/>
  </si>
  <si>
    <t>[31:2]</t>
    <phoneticPr fontId="1"/>
  </si>
  <si>
    <t>[31 : 0]</t>
    <phoneticPr fontId="1"/>
  </si>
  <si>
    <t>デジタル出力全体制御</t>
    <rPh sb="4" eb="6">
      <t>シュツリョク</t>
    </rPh>
    <rPh sb="6" eb="10">
      <t>ゼンタイセイギョ</t>
    </rPh>
    <phoneticPr fontId="1"/>
  </si>
  <si>
    <t>DIGITAL_OUT_REG_BASE + 0x0</t>
    <phoneticPr fontId="1"/>
  </si>
  <si>
    <t>デジタル出力のバージョン</t>
    <rPh sb="4" eb="6">
      <t>シュツリョク</t>
    </rPh>
    <phoneticPr fontId="1"/>
  </si>
  <si>
    <t>制御対象選択 0</t>
    <rPh sb="0" eb="2">
      <t>セイギョ</t>
    </rPh>
    <rPh sb="2" eb="4">
      <t>タイショウ</t>
    </rPh>
    <rPh sb="4" eb="6">
      <t>センタク</t>
    </rPh>
    <phoneticPr fontId="1"/>
  </si>
  <si>
    <t>DIGITAL_OUT_REG_BASE + 0x4</t>
    <phoneticPr fontId="1"/>
  </si>
  <si>
    <t>target 0</t>
    <phoneticPr fontId="1"/>
  </si>
  <si>
    <r>
      <t xml:space="preserve">n ビット目が 0 : デジタル出力 n を制御対象にしません
n ビット目が 1 : デジタル出力 n を制御対象にします
</t>
    </r>
    <r>
      <rPr>
        <b/>
        <sz val="11"/>
        <color theme="1"/>
        <rFont val="游ゴシック"/>
        <family val="3"/>
        <charset val="128"/>
        <scheme val="minor"/>
      </rPr>
      <t>※このレジスタは「デジタル出力全体制御」レジスタグループにのみ影響を与えます</t>
    </r>
    <rPh sb="5" eb="6">
      <t>メ</t>
    </rPh>
    <rPh sb="16" eb="18">
      <t>シュツリョク</t>
    </rPh>
    <rPh sb="22" eb="26">
      <t>セイギョタイショウ</t>
    </rPh>
    <rPh sb="48" eb="50">
      <t>シュツリョク</t>
    </rPh>
    <rPh sb="76" eb="78">
      <t>シュツリョク</t>
    </rPh>
    <rPh sb="78" eb="80">
      <t>ゼンタイ</t>
    </rPh>
    <rPh sb="80" eb="82">
      <t>セイギョ</t>
    </rPh>
    <rPh sb="94" eb="96">
      <t>エイキョウ</t>
    </rPh>
    <rPh sb="97" eb="98">
      <t>アタ</t>
    </rPh>
    <phoneticPr fontId="1"/>
  </si>
  <si>
    <t>制御対象選択 1</t>
    <rPh sb="0" eb="4">
      <t>セイギョタイショウ</t>
    </rPh>
    <rPh sb="4" eb="6">
      <t>センタク</t>
    </rPh>
    <phoneticPr fontId="1"/>
  </si>
  <si>
    <t>DIGITAL_OUT_REG_BASE + 0x8</t>
    <phoneticPr fontId="1"/>
  </si>
  <si>
    <t>[1:0]</t>
    <phoneticPr fontId="1"/>
  </si>
  <si>
    <t>target 1</t>
    <phoneticPr fontId="1"/>
  </si>
  <si>
    <r>
      <t xml:space="preserve">n ビット目が 0 : デジタル出力 n+32 を制御対象にしません
n ビット目が 1 : デジタル出力 n+32 を制御対象にします
</t>
    </r>
    <r>
      <rPr>
        <b/>
        <sz val="11"/>
        <color theme="1"/>
        <rFont val="游ゴシック"/>
        <family val="3"/>
        <charset val="128"/>
        <scheme val="minor"/>
      </rPr>
      <t>※このレジスタは「デジタル出力全体制御」レジスタグループにのみ影響を与えます</t>
    </r>
    <rPh sb="5" eb="6">
      <t>メ</t>
    </rPh>
    <rPh sb="16" eb="18">
      <t>シュツリョク</t>
    </rPh>
    <rPh sb="25" eb="29">
      <t>セイギョタイショウ</t>
    </rPh>
    <rPh sb="51" eb="53">
      <t>シュツリョク</t>
    </rPh>
    <rPh sb="82" eb="84">
      <t>シュツリョク</t>
    </rPh>
    <rPh sb="84" eb="86">
      <t>ゼンタイ</t>
    </rPh>
    <rPh sb="86" eb="88">
      <t>セイギョ</t>
    </rPh>
    <rPh sb="100" eb="102">
      <t>エイキョウ</t>
    </rPh>
    <rPh sb="103" eb="104">
      <t>アタ</t>
    </rPh>
    <phoneticPr fontId="1"/>
  </si>
  <si>
    <t>デジタル出力コントロール</t>
    <rPh sb="4" eb="6">
      <t>シュツリョク</t>
    </rPh>
    <phoneticPr fontId="1"/>
  </si>
  <si>
    <t>DIGITAL_OUT_REG_BASE + 0xC</t>
    <phoneticPr fontId="1"/>
  </si>
  <si>
    <t>0 : 制御対象となっているデジタル出力のリセットを解除します
1 : 制御対象となっているデジタル出力にリセットをかけます</t>
    <rPh sb="4" eb="8">
      <t>セイギョタイショウ</t>
    </rPh>
    <rPh sb="18" eb="20">
      <t>シュツリョク</t>
    </rPh>
    <rPh sb="26" eb="28">
      <t>カイジョ</t>
    </rPh>
    <phoneticPr fontId="1"/>
  </si>
  <si>
    <t>0 から 1 になったとき, 制御対象となっている全デジタル出力の動作を開始します</t>
    <rPh sb="25" eb="26">
      <t>ゼン</t>
    </rPh>
    <rPh sb="31" eb="32">
      <t>リョク</t>
    </rPh>
    <rPh sb="33" eb="35">
      <t>ドウサ</t>
    </rPh>
    <rPh sb="36" eb="38">
      <t>カイシ</t>
    </rPh>
    <phoneticPr fontId="1"/>
  </si>
  <si>
    <t>0 から 1 になったとき, 制御対象となっている全デジタル出力の動作を強制停止します</t>
    <rPh sb="36" eb="40">
      <t>キョウセイテイシ</t>
    </rPh>
    <phoneticPr fontId="1"/>
  </si>
  <si>
    <t>0 から 1 になったとき, 制御対象になっている全デジタル出力の動作終了フラグ (done) を 0 にします</t>
    <rPh sb="15" eb="19">
      <t>セイギョタイショウ</t>
    </rPh>
    <rPh sb="25" eb="26">
      <t>ゼン</t>
    </rPh>
    <rPh sb="30" eb="32">
      <t>シュツリョク</t>
    </rPh>
    <rPh sb="33" eb="35">
      <t>ドウサ</t>
    </rPh>
    <rPh sb="35" eb="37">
      <t>シュウリョウ</t>
    </rPh>
    <phoneticPr fontId="1"/>
  </si>
  <si>
    <t>0 から 1 になったとき, 制御対象になっている全デジタル出力を一時停止します</t>
    <rPh sb="15" eb="19">
      <t>セイギョタイショウ</t>
    </rPh>
    <rPh sb="25" eb="26">
      <t>ゼン</t>
    </rPh>
    <rPh sb="30" eb="32">
      <t>シュツリョク</t>
    </rPh>
    <rPh sb="33" eb="37">
      <t>イチジテイシ</t>
    </rPh>
    <phoneticPr fontId="1"/>
  </si>
  <si>
    <t>0 から 1 になったとき, 制御対象になっている全デジタル出力の動作を再開します．</t>
    <rPh sb="15" eb="19">
      <t>セイギョタイショウ</t>
    </rPh>
    <rPh sb="25" eb="26">
      <t>ゼン</t>
    </rPh>
    <rPh sb="30" eb="32">
      <t>シュツリョク</t>
    </rPh>
    <rPh sb="33" eb="35">
      <t>ドウサ</t>
    </rPh>
    <rPh sb="36" eb="38">
      <t>サイカイ</t>
    </rPh>
    <phoneticPr fontId="1"/>
  </si>
  <si>
    <t>restart</t>
    <phoneticPr fontId="1"/>
  </si>
  <si>
    <t>0 から 1 になったとき, 制御対象になっている全デジタル出力の動作を現在の設定に基づいてやり直します</t>
    <rPh sb="15" eb="19">
      <t>セイギョタイショウ</t>
    </rPh>
    <rPh sb="25" eb="26">
      <t>ゼン</t>
    </rPh>
    <rPh sb="30" eb="32">
      <t>シュツリョク</t>
    </rPh>
    <rPh sb="33" eb="35">
      <t>ドウサ</t>
    </rPh>
    <rPh sb="36" eb="38">
      <t>ゲンザイ</t>
    </rPh>
    <rPh sb="39" eb="41">
      <t>セッテイ</t>
    </rPh>
    <rPh sb="42" eb="43">
      <t>モト</t>
    </rPh>
    <rPh sb="48" eb="49">
      <t>ナオ</t>
    </rPh>
    <phoneticPr fontId="1"/>
  </si>
  <si>
    <t>スタートトリガマスク 0</t>
    <phoneticPr fontId="1"/>
  </si>
  <si>
    <t>DIGITAL_OUT_REG_BASE + 0x10</t>
    <phoneticPr fontId="1"/>
  </si>
  <si>
    <t>start trig mask 0</t>
    <phoneticPr fontId="1"/>
  </si>
  <si>
    <t>スタートトリガマスク 1</t>
    <phoneticPr fontId="1"/>
  </si>
  <si>
    <t>DIGITAL_OUT_REG_BASE + 0x14</t>
    <phoneticPr fontId="1"/>
  </si>
  <si>
    <t>start trig mask 1</t>
    <phoneticPr fontId="1"/>
  </si>
  <si>
    <t>リスタートトリガマスク 0</t>
    <phoneticPr fontId="1"/>
  </si>
  <si>
    <t>DIGITAL_OUT_REG_BASE + 0x18</t>
    <phoneticPr fontId="1"/>
  </si>
  <si>
    <t>restart trig mask 0</t>
    <phoneticPr fontId="1"/>
  </si>
  <si>
    <t>リスタートトリガマスク 1</t>
    <phoneticPr fontId="1"/>
  </si>
  <si>
    <t>DIGITAL_OUT_REG_BASE + 0x1C</t>
    <phoneticPr fontId="1"/>
  </si>
  <si>
    <t>restart trig mask 1</t>
    <phoneticPr fontId="1"/>
  </si>
  <si>
    <t>一時停止トリガマスク 0</t>
    <rPh sb="0" eb="4">
      <t>イチジテイシ</t>
    </rPh>
    <phoneticPr fontId="1"/>
  </si>
  <si>
    <t>DIGITAL_OUT_REG_BASE + 0x20</t>
    <phoneticPr fontId="1"/>
  </si>
  <si>
    <t>pause trig mask 0</t>
    <phoneticPr fontId="1"/>
  </si>
  <si>
    <t>一時停止トリガマスク 1</t>
    <rPh sb="0" eb="4">
      <t>イチジテイシ</t>
    </rPh>
    <phoneticPr fontId="1"/>
  </si>
  <si>
    <t>DIGITAL_OUT_REG_BASE + 0x24</t>
    <phoneticPr fontId="1"/>
  </si>
  <si>
    <t>pause trig mask 1</t>
    <phoneticPr fontId="1"/>
  </si>
  <si>
    <t>再開トリガマスク 0</t>
    <rPh sb="0" eb="2">
      <t>サイカイ</t>
    </rPh>
    <phoneticPr fontId="1"/>
  </si>
  <si>
    <t>DIGITAL_OUT_REG_BASE + 0x28</t>
    <phoneticPr fontId="1"/>
  </si>
  <si>
    <t>resume trig mask 0</t>
    <phoneticPr fontId="1"/>
  </si>
  <si>
    <t>再開トリガマスク 1</t>
    <phoneticPr fontId="1"/>
  </si>
  <si>
    <t>DIGITAL_OUT_REG_BASE + 0x2C</t>
    <phoneticPr fontId="1"/>
  </si>
  <si>
    <t>resume trig mask 1</t>
    <phoneticPr fontId="1"/>
  </si>
  <si>
    <t>デジタル出力 n 制御</t>
    <rPh sb="4" eb="6">
      <t>シュツリョク</t>
    </rPh>
    <rPh sb="9" eb="11">
      <t>セイギョ</t>
    </rPh>
    <phoneticPr fontId="1"/>
  </si>
  <si>
    <t>デジタル出力 nコントロール</t>
    <rPh sb="4" eb="6">
      <t>シュツリョク</t>
    </rPh>
    <phoneticPr fontId="1"/>
  </si>
  <si>
    <t>DIGITAL_OUT_n_REG_BASE + 0x0</t>
    <phoneticPr fontId="1"/>
  </si>
  <si>
    <t>0 : デジタル出力 n のリセットを解除します
1 : デジタル出力 n にリセットをかけます</t>
    <rPh sb="8" eb="10">
      <t>シュツリョク</t>
    </rPh>
    <rPh sb="19" eb="21">
      <t>カイジョ</t>
    </rPh>
    <phoneticPr fontId="1"/>
  </si>
  <si>
    <t>0 から 1 になったとき デジタル出力 n がビットパターンの出力を開始します</t>
    <rPh sb="18" eb="20">
      <t>シュツリョク</t>
    </rPh>
    <rPh sb="32" eb="34">
      <t>シュツリョク</t>
    </rPh>
    <rPh sb="35" eb="37">
      <t>カイシ</t>
    </rPh>
    <phoneticPr fontId="1"/>
  </si>
  <si>
    <t>0 から 1 になったとき デジタル出力 n を強制停止します</t>
    <rPh sb="18" eb="20">
      <t>シュツリョク</t>
    </rPh>
    <rPh sb="24" eb="28">
      <t>キョウセイテイシ</t>
    </rPh>
    <phoneticPr fontId="1"/>
  </si>
  <si>
    <t>0 から 1 になったとき, デジタル出力 n の動作終了 フラグ (done) を 0 にします</t>
    <rPh sb="19" eb="21">
      <t>シュツリョク</t>
    </rPh>
    <rPh sb="25" eb="29">
      <t>ドウサシュウリョウ</t>
    </rPh>
    <phoneticPr fontId="1"/>
  </si>
  <si>
    <t>0 から 1 になったとき, デジタル出力 n を一時停止します</t>
    <phoneticPr fontId="1"/>
  </si>
  <si>
    <t>0 から 1 になったとき, デジタル出力 n を再開します</t>
    <rPh sb="25" eb="27">
      <t>サイカイ</t>
    </rPh>
    <phoneticPr fontId="1"/>
  </si>
  <si>
    <t>0 から 1 になったとき, デジタル出力 n を動作を現在の設定に基づいてやり直します</t>
    <phoneticPr fontId="1"/>
  </si>
  <si>
    <t>デジタル出力 n ステータス</t>
    <rPh sb="4" eb="6">
      <t>シュツリョク</t>
    </rPh>
    <phoneticPr fontId="1"/>
  </si>
  <si>
    <t>DIGITAL_OUT_n_REG_BASE + 0x4</t>
    <phoneticPr fontId="1"/>
  </si>
  <si>
    <t>0 : デジタル出力 n はリセット中です
1 : デジタル出力 n はリセット中ではありません</t>
    <rPh sb="40" eb="41">
      <t>チュウ</t>
    </rPh>
    <phoneticPr fontId="1"/>
  </si>
  <si>
    <t>0 : デジタル出力 n は待機もしくはリセット中です
1 : デジタル出力 n は動作中です (ポーズ状態を含む)</t>
    <rPh sb="14" eb="16">
      <t>タイキ</t>
    </rPh>
    <rPh sb="24" eb="25">
      <t>チュウ</t>
    </rPh>
    <rPh sb="42" eb="45">
      <t>ドウサチュウ</t>
    </rPh>
    <rPh sb="52" eb="54">
      <t>ジョウタイ</t>
    </rPh>
    <rPh sb="55" eb="56">
      <t>フク</t>
    </rPh>
    <phoneticPr fontId="1"/>
  </si>
  <si>
    <t>0 : デジタル出力 n の動作が終了していません
1 : デジタル出力 n の動作が終了しています
デジタル出力を強制停止した場合も 1 になります</t>
    <rPh sb="14" eb="16">
      <t>ドウサ</t>
    </rPh>
    <rPh sb="17" eb="19">
      <t>シュウリョウ</t>
    </rPh>
    <rPh sb="55" eb="57">
      <t>シュツリョク</t>
    </rPh>
    <rPh sb="57" eb="61">
      <t>キョウセイテイシ</t>
    </rPh>
    <rPh sb="63" eb="65">
      <t>バアイ</t>
    </rPh>
    <phoneticPr fontId="1"/>
  </si>
  <si>
    <t>0 : デジタル出力 n はポーズ状態ではありません
1 : デジタル出力 n はポーズ状態です</t>
    <rPh sb="17" eb="19">
      <t>ジョウタイ</t>
    </rPh>
    <rPh sb="44" eb="46">
      <t>ジョウタイ</t>
    </rPh>
    <phoneticPr fontId="1"/>
  </si>
  <si>
    <t>[31:3]</t>
    <phoneticPr fontId="1"/>
  </si>
  <si>
    <t>出力ビットパターン数</t>
    <rPh sb="0" eb="2">
      <t>シュツリョク</t>
    </rPh>
    <rPh sb="9" eb="10">
      <t>スウ</t>
    </rPh>
    <phoneticPr fontId="1"/>
  </si>
  <si>
    <t>DIGITAL_OUT_n_REG_BASE + 0x8</t>
    <phoneticPr fontId="1"/>
  </si>
  <si>
    <t>num bit patterns</t>
    <phoneticPr fontId="1"/>
  </si>
  <si>
    <t>スタートインデックス</t>
    <phoneticPr fontId="1"/>
  </si>
  <si>
    <t>DIGITAL_OUT_n_REG_BASE + 0xC</t>
    <phoneticPr fontId="1"/>
  </si>
  <si>
    <t>start idx</t>
    <phoneticPr fontId="1"/>
  </si>
  <si>
    <t>予約 (112 Bytes)</t>
    <phoneticPr fontId="1"/>
  </si>
  <si>
    <t>デジタル出力 n パターン</t>
    <rPh sb="4" eb="6">
      <t>シュツリョク</t>
    </rPh>
    <phoneticPr fontId="1"/>
  </si>
  <si>
    <t>出力パターン 0</t>
    <rPh sb="0" eb="2">
      <t>シュツリョク</t>
    </rPh>
    <phoneticPr fontId="1"/>
  </si>
  <si>
    <t>DIGITAL_OUT_n_PATTERN + 0x0</t>
    <phoneticPr fontId="1"/>
  </si>
  <si>
    <t>[15 : 0]</t>
    <phoneticPr fontId="1"/>
  </si>
  <si>
    <t>bit pattern 0</t>
    <phoneticPr fontId="1"/>
  </si>
  <si>
    <t>出力するビットパターン</t>
    <rPh sb="0" eb="2">
      <t>シュツリョク</t>
    </rPh>
    <phoneticPr fontId="1"/>
  </si>
  <si>
    <t>[31:16]</t>
    <phoneticPr fontId="1"/>
  </si>
  <si>
    <t>出力時間 0</t>
    <rPh sb="0" eb="2">
      <t>シュツリョク</t>
    </rPh>
    <rPh sb="2" eb="4">
      <t>ジカン</t>
    </rPh>
    <phoneticPr fontId="1"/>
  </si>
  <si>
    <t>DIGITAL_OUT_n_PATTERN + 0x4</t>
    <phoneticPr fontId="1"/>
  </si>
  <si>
    <t>digital out time 0</t>
    <phoneticPr fontId="1"/>
  </si>
  <si>
    <t>出力パターン 1</t>
    <rPh sb="0" eb="2">
      <t>シュツリョク</t>
    </rPh>
    <phoneticPr fontId="1"/>
  </si>
  <si>
    <t>DIGITAL_OUT_n_PATTERN + 0x8</t>
    <phoneticPr fontId="1"/>
  </si>
  <si>
    <t>bit pattern 1</t>
    <phoneticPr fontId="1"/>
  </si>
  <si>
    <t>出力時間 1</t>
    <rPh sb="0" eb="2">
      <t>シュツリョク</t>
    </rPh>
    <rPh sb="2" eb="4">
      <t>ジカン</t>
    </rPh>
    <phoneticPr fontId="1"/>
  </si>
  <si>
    <t>DIGITAL_OUT_n_PATTERN + 0xC</t>
    <phoneticPr fontId="1"/>
  </si>
  <si>
    <t>digital out time 1</t>
    <phoneticPr fontId="1"/>
  </si>
  <si>
    <t>出力パターン 511</t>
    <rPh sb="0" eb="2">
      <t>シュツリョク</t>
    </rPh>
    <phoneticPr fontId="1"/>
  </si>
  <si>
    <t>DIGITAL_OUT_n_PATTERN + 0xFF8</t>
    <phoneticPr fontId="1"/>
  </si>
  <si>
    <t>bit pattern 511</t>
    <phoneticPr fontId="1"/>
  </si>
  <si>
    <t>出力時間 511</t>
    <rPh sb="0" eb="2">
      <t>シュツリョク</t>
    </rPh>
    <rPh sb="2" eb="4">
      <t>ジカン</t>
    </rPh>
    <phoneticPr fontId="1"/>
  </si>
  <si>
    <t>DIGITAL_OUT_n_PATTERN + 0xFFC</t>
    <phoneticPr fontId="1"/>
  </si>
  <si>
    <t>digital out time 511</t>
    <phoneticPr fontId="1"/>
  </si>
  <si>
    <t>デフォルト出力パターン</t>
    <rPh sb="5" eb="7">
      <t>シュツリョク</t>
    </rPh>
    <phoneticPr fontId="1"/>
  </si>
  <si>
    <t>DIGITAL_OUT_n_PATTERN + 0x1000</t>
    <phoneticPr fontId="1"/>
  </si>
  <si>
    <t>default
bit pattern</t>
    <phoneticPr fontId="1"/>
  </si>
  <si>
    <t>ディジタル出力モジュールが動作していないとき (リセット中も含む) に出力するビットパターン.
初期値 : 0</t>
    <rPh sb="5" eb="7">
      <t>シュツリョク</t>
    </rPh>
    <rPh sb="13" eb="15">
      <t>ドウサ</t>
    </rPh>
    <rPh sb="28" eb="29">
      <t>チュウ</t>
    </rPh>
    <rPh sb="30" eb="31">
      <t>フク</t>
    </rPh>
    <rPh sb="35" eb="37">
      <t>シュツリョク</t>
    </rPh>
    <rPh sb="48" eb="51">
      <t>ショキチ</t>
    </rPh>
    <phoneticPr fontId="1"/>
  </si>
  <si>
    <t>予約 (258044 Bytes)</t>
    <phoneticPr fontId="1"/>
  </si>
  <si>
    <t>0x0480</t>
    <phoneticPr fontId="1"/>
  </si>
  <si>
    <t>0x0500</t>
    <phoneticPr fontId="1"/>
  </si>
  <si>
    <t>0x0580</t>
    <phoneticPr fontId="1"/>
  </si>
  <si>
    <t>0x0600</t>
    <phoneticPr fontId="1"/>
  </si>
  <si>
    <t>0x0680</t>
    <phoneticPr fontId="1"/>
  </si>
  <si>
    <t>0x0700</t>
    <phoneticPr fontId="1"/>
  </si>
  <si>
    <t>0x0780</t>
    <phoneticPr fontId="1"/>
  </si>
  <si>
    <t>0x0800</t>
    <phoneticPr fontId="1"/>
  </si>
  <si>
    <t>0x0880</t>
    <phoneticPr fontId="1"/>
  </si>
  <si>
    <t>0x0900</t>
    <phoneticPr fontId="1"/>
  </si>
  <si>
    <t>0x0980</t>
    <phoneticPr fontId="1"/>
  </si>
  <si>
    <t>0x0A80</t>
    <phoneticPr fontId="1"/>
  </si>
  <si>
    <t>0x0A00</t>
    <phoneticPr fontId="1"/>
  </si>
  <si>
    <t>0x0B00</t>
    <phoneticPr fontId="1"/>
  </si>
  <si>
    <t>0x0B80</t>
    <phoneticPr fontId="1"/>
  </si>
  <si>
    <t>0x0C00</t>
    <phoneticPr fontId="1"/>
  </si>
  <si>
    <t>0x0C80</t>
    <phoneticPr fontId="1"/>
  </si>
  <si>
    <t>0x0D00</t>
    <phoneticPr fontId="1"/>
  </si>
  <si>
    <t>0x0D80</t>
    <phoneticPr fontId="1"/>
  </si>
  <si>
    <t>0x0E00</t>
    <phoneticPr fontId="1"/>
  </si>
  <si>
    <t>0x0E80</t>
    <phoneticPr fontId="1"/>
  </si>
  <si>
    <t>0x0F00</t>
    <phoneticPr fontId="1"/>
  </si>
  <si>
    <t>0x0F80</t>
    <phoneticPr fontId="1"/>
  </si>
  <si>
    <t>0x1080</t>
    <phoneticPr fontId="1"/>
  </si>
  <si>
    <t>0x1100</t>
    <phoneticPr fontId="1"/>
  </si>
  <si>
    <t>0x1180
-
0xF_FFFF</t>
    <phoneticPr fontId="1"/>
  </si>
  <si>
    <t>n ビット目が 0 : デジタル出力 n は AWG からのトリガでスタートしません
n ビット目が 1 : デジタル出力 n は AWG からのトリガでスタートします</t>
    <rPh sb="5" eb="6">
      <t>メ</t>
    </rPh>
    <rPh sb="16" eb="18">
      <t>シュツリョク</t>
    </rPh>
    <phoneticPr fontId="1"/>
  </si>
  <si>
    <t>n ビット目が 0 : デジタル出力 n+32 は AWG からのトリガでスタートしません
n ビット目が 1 : デジタル出力 n+32 は AWG からのトリガでスタートします</t>
    <rPh sb="5" eb="6">
      <t>メシュツリョク</t>
    </rPh>
    <phoneticPr fontId="1"/>
  </si>
  <si>
    <t>n ビット目が 0 : デジタル出力 n は AWG からのトリガでリスタートしません
n ビット目が 1 : デジタル出力 n は AWG からのトリガでリスタートします</t>
    <rPh sb="5" eb="6">
      <t>メ</t>
    </rPh>
    <rPh sb="16" eb="18">
      <t>シュツリョク</t>
    </rPh>
    <phoneticPr fontId="1"/>
  </si>
  <si>
    <t>n ビット目が 0 : デジタル出力 n+32 は AWG からのトリガでリスタートしません
n ビット目が 1 : デジタル出力 n+32 は AWG からのトリガでリスタートします</t>
    <rPh sb="5" eb="6">
      <t>メシュツリョク</t>
    </rPh>
    <phoneticPr fontId="1"/>
  </si>
  <si>
    <t>n ビット目が 0 : デジタル出力 n は AWG からのトリガで一時停止しません
n ビット目が 1 : デジタル出力 n は AWG からのトリガで一時停止します</t>
    <rPh sb="5" eb="6">
      <t>メ</t>
    </rPh>
    <rPh sb="16" eb="18">
      <t>シュツリョク</t>
    </rPh>
    <rPh sb="34" eb="38">
      <t>イチジテイシ</t>
    </rPh>
    <phoneticPr fontId="1"/>
  </si>
  <si>
    <t>n ビット目が 0 : デジタル出力 n+32 は AWG からのトリガで一時停止しません
n ビット目が 1 : デジタル出力 n+32 は AWG からのトリガで一時停止します</t>
    <rPh sb="5" eb="6">
      <t>メシュツリョク</t>
    </rPh>
    <rPh sb="37" eb="41">
      <t>イチジテイシ</t>
    </rPh>
    <phoneticPr fontId="1"/>
  </si>
  <si>
    <t>n ビット目が 0 : 一時停止中のデジタル出力 n は AWG からのトリガで処理を再開しません
n ビット目が 1 : 一時停止中のデジタル出力 n は AWG からのトリガで処理を再開します</t>
    <rPh sb="5" eb="6">
      <t>メ</t>
    </rPh>
    <rPh sb="12" eb="16">
      <t>イチジテイシ</t>
    </rPh>
    <rPh sb="16" eb="17">
      <t>チュウ</t>
    </rPh>
    <rPh sb="22" eb="24">
      <t>シュツリョク</t>
    </rPh>
    <rPh sb="40" eb="42">
      <t>ショリ</t>
    </rPh>
    <rPh sb="43" eb="45">
      <t>サイカイ</t>
    </rPh>
    <phoneticPr fontId="1"/>
  </si>
  <si>
    <t>n ビット目が 0 : 一時停止中のデジタル出力 n+32 は AWG からのトリガで処理を再開しません
n ビット目が 1 : 一時停止中のデジタル出力 n+32 は AWG からのトリガで処理を再開します</t>
    <phoneticPr fontId="1"/>
  </si>
  <si>
    <t>出力するビットパターンの数  (0 ~ 512).  0 の場合何も出力せずに動作を完了します．
初期値 : 0</t>
    <rPh sb="0" eb="2">
      <t>シュツリョク</t>
    </rPh>
    <rPh sb="12" eb="13">
      <t>カズ</t>
    </rPh>
    <rPh sb="30" eb="32">
      <t>バアイ</t>
    </rPh>
    <rPh sb="32" eb="33">
      <t>ナニ</t>
    </rPh>
    <rPh sb="34" eb="36">
      <t>シュツリョク</t>
    </rPh>
    <rPh sb="39" eb="41">
      <t>ドウサ</t>
    </rPh>
    <rPh sb="42" eb="44">
      <t>カンリョウ</t>
    </rPh>
    <rPh sb="49" eb="52">
      <t>ショキチ</t>
    </rPh>
    <phoneticPr fontId="1"/>
  </si>
  <si>
    <t>出力するビットパターン列の最初のビットパターンのイデックス (0 ~ 511) .
初期値 : 0</t>
    <rPh sb="0" eb="2">
      <t>シュツリョク</t>
    </rPh>
    <rPh sb="11" eb="12">
      <t>レツ</t>
    </rPh>
    <rPh sb="13" eb="15">
      <t>サイショ</t>
    </rPh>
    <rPh sb="42" eb="45">
      <t>ショキチ</t>
    </rPh>
    <phoneticPr fontId="1"/>
  </si>
  <si>
    <t>出力するビットパターン</t>
    <phoneticPr fontId="1"/>
  </si>
  <si>
    <t>レジスタグループ名</t>
    <rPh sb="8" eb="9">
      <t>メイ</t>
    </rPh>
    <phoneticPr fontId="1"/>
  </si>
  <si>
    <t>スタートアドレス</t>
    <phoneticPr fontId="1"/>
  </si>
  <si>
    <t>AWG 全体制御</t>
    <rPh sb="4" eb="6">
      <t>ゼンタイ</t>
    </rPh>
    <rPh sb="6" eb="8">
      <t>セイギョ</t>
    </rPh>
    <phoneticPr fontId="1"/>
  </si>
  <si>
    <t>AWG_REG_BASE</t>
  </si>
  <si>
    <t>AWG 0 制御</t>
    <rPh sb="6" eb="8">
      <t>セイギョ</t>
    </rPh>
    <phoneticPr fontId="1"/>
  </si>
  <si>
    <t>AWG_0_CTRL_REG_BASE</t>
  </si>
  <si>
    <t>AWG 1 制御</t>
    <rPh sb="6" eb="8">
      <t>セイギョ</t>
    </rPh>
    <phoneticPr fontId="1"/>
  </si>
  <si>
    <t xml:space="preserve">AWG_1_CTRL_REG_BASE </t>
  </si>
  <si>
    <t>AWG 2 制御</t>
    <rPh sb="6" eb="8">
      <t>セイギョ</t>
    </rPh>
    <phoneticPr fontId="1"/>
  </si>
  <si>
    <t>AWG_2_CTRL_REG_BASE</t>
  </si>
  <si>
    <t>AWG 3 制御</t>
    <rPh sb="6" eb="8">
      <t>セイギョ</t>
    </rPh>
    <phoneticPr fontId="1"/>
  </si>
  <si>
    <t>AWG_3_CTRL_REG_BASE</t>
  </si>
  <si>
    <t>AWG 4 制御</t>
    <rPh sb="6" eb="8">
      <t>セイギョ</t>
    </rPh>
    <phoneticPr fontId="1"/>
  </si>
  <si>
    <t>AWG_4_CTRL_REG_BASE</t>
  </si>
  <si>
    <t>AWG 5 制御</t>
    <rPh sb="6" eb="8">
      <t>セイギョ</t>
    </rPh>
    <phoneticPr fontId="1"/>
  </si>
  <si>
    <t>AWG_5_CTRL_REG_BASE</t>
  </si>
  <si>
    <t>AWG 6 制御</t>
    <rPh sb="6" eb="8">
      <t>セイギョ</t>
    </rPh>
    <phoneticPr fontId="1"/>
  </si>
  <si>
    <t>AWG_6_CTRL_REG_BASE</t>
  </si>
  <si>
    <t>AWG 7 制御</t>
    <rPh sb="6" eb="8">
      <t>セイギョ</t>
    </rPh>
    <phoneticPr fontId="1"/>
  </si>
  <si>
    <t>AWG_7_CTRL_REG_BASE</t>
  </si>
  <si>
    <t>レジスタグループ名</t>
    <phoneticPr fontId="1"/>
  </si>
  <si>
    <t>AWG n 波形全体パラメータ</t>
    <rPh sb="6" eb="8">
      <t>ハケイ</t>
    </rPh>
    <rPh sb="8" eb="10">
      <t>ゼンタイ</t>
    </rPh>
    <phoneticPr fontId="1"/>
  </si>
  <si>
    <t>AWG_n_WAVE_REG_BASE</t>
    <phoneticPr fontId="1"/>
  </si>
  <si>
    <t>AWG_n_WAVE_REG_BASE + 0x00</t>
    <phoneticPr fontId="1"/>
  </si>
  <si>
    <t>AWG 0 波形パラメータ</t>
    <rPh sb="6" eb="8">
      <t>ハケイ</t>
    </rPh>
    <phoneticPr fontId="1"/>
  </si>
  <si>
    <t>AWG_0_WAVE_REG_BASE</t>
    <phoneticPr fontId="1"/>
  </si>
  <si>
    <t>AWG n チャンク 0 パラメータ</t>
    <phoneticPr fontId="1"/>
  </si>
  <si>
    <t>AWG_n_CHUNK_0_REG_BASE</t>
    <phoneticPr fontId="1"/>
  </si>
  <si>
    <t>AWG_n_WAVE_REG_BASE + 0x40</t>
    <phoneticPr fontId="1"/>
  </si>
  <si>
    <t>AWG_1_WAVE_REG_BASE</t>
    <phoneticPr fontId="1"/>
  </si>
  <si>
    <t>0x1400</t>
    <phoneticPr fontId="1"/>
  </si>
  <si>
    <t>AWG n チャンク 1 パラメータ</t>
    <phoneticPr fontId="1"/>
  </si>
  <si>
    <t>AWG_n_CHUNK_1_REG_BASE</t>
    <phoneticPr fontId="1"/>
  </si>
  <si>
    <t>AWG_n_WAVE_REG_BASE + 0x50</t>
    <phoneticPr fontId="1"/>
  </si>
  <si>
    <t>AWG 2 波形パラメータ</t>
    <phoneticPr fontId="1"/>
  </si>
  <si>
    <t>AWG_2_WAVE_REG_BASE</t>
    <phoneticPr fontId="1"/>
  </si>
  <si>
    <t>0x1800</t>
    <phoneticPr fontId="1"/>
  </si>
  <si>
    <t>AWG n チャンク 2 パラメータ</t>
    <phoneticPr fontId="1"/>
  </si>
  <si>
    <t>AWG_n_CHUNK_2_REG_BASE</t>
    <phoneticPr fontId="1"/>
  </si>
  <si>
    <t>AWG_n_WAVE_REG_BASE + 0x60</t>
    <phoneticPr fontId="1"/>
  </si>
  <si>
    <t>AWG 3 波形パラメータ</t>
    <rPh sb="6" eb="8">
      <t>ハケイ</t>
    </rPh>
    <phoneticPr fontId="1"/>
  </si>
  <si>
    <t>AWG_3_WAVE_REG_BASE</t>
    <phoneticPr fontId="1"/>
  </si>
  <si>
    <t>0x1C00</t>
    <phoneticPr fontId="1"/>
  </si>
  <si>
    <t>AWG n チャンク 3 パラメータ</t>
    <phoneticPr fontId="1"/>
  </si>
  <si>
    <t>AWG_n_CHUNK_3_REG_BASE</t>
    <phoneticPr fontId="1"/>
  </si>
  <si>
    <t>AWG_n_WAVE_REG_BASE + 0x70</t>
    <phoneticPr fontId="1"/>
  </si>
  <si>
    <t>AWG 4 波形パラメータ</t>
    <rPh sb="6" eb="8">
      <t>ハケイ</t>
    </rPh>
    <phoneticPr fontId="1"/>
  </si>
  <si>
    <t>AWG_4_WAVE_REG_BASE</t>
    <phoneticPr fontId="1"/>
  </si>
  <si>
    <t>0x2000</t>
    <phoneticPr fontId="1"/>
  </si>
  <si>
    <t>AWG n チャンク 4 パラメータ</t>
    <phoneticPr fontId="1"/>
  </si>
  <si>
    <t>AWG_n_CHUNK_4_REG_BASE</t>
    <phoneticPr fontId="1"/>
  </si>
  <si>
    <t>AWG_n_WAVE_REG_BASE + 0x80</t>
    <phoneticPr fontId="1"/>
  </si>
  <si>
    <t>AWG 5 波形パラメータ</t>
    <rPh sb="6" eb="8">
      <t>ハケイ</t>
    </rPh>
    <phoneticPr fontId="1"/>
  </si>
  <si>
    <t>AWG_5_WAVE_REG_BASE</t>
    <phoneticPr fontId="1"/>
  </si>
  <si>
    <t>0x2400</t>
    <phoneticPr fontId="1"/>
  </si>
  <si>
    <t>AWG n チャンク 5 パラメータ</t>
    <phoneticPr fontId="1"/>
  </si>
  <si>
    <t>AWG_n_CHUNK_5_REG_BASE</t>
    <phoneticPr fontId="1"/>
  </si>
  <si>
    <t>AWG_n_WAVE_REG_BASE + 0x90</t>
    <phoneticPr fontId="1"/>
  </si>
  <si>
    <t>AWG 6 波形パラメータ</t>
    <rPh sb="6" eb="8">
      <t>ハケイ</t>
    </rPh>
    <phoneticPr fontId="1"/>
  </si>
  <si>
    <t>AWG_6_WAVE_REG_BASE</t>
    <phoneticPr fontId="1"/>
  </si>
  <si>
    <t>0x2800</t>
    <phoneticPr fontId="1"/>
  </si>
  <si>
    <t>AWG n チャンク 6 パラメータ</t>
    <phoneticPr fontId="1"/>
  </si>
  <si>
    <t>AWG_n_CHUNK_6_REG_BASE</t>
    <phoneticPr fontId="1"/>
  </si>
  <si>
    <t>AWG_n_WAVE_REG_BASE + 0xA0</t>
    <phoneticPr fontId="1"/>
  </si>
  <si>
    <t>AWG 7 波形パラメータ</t>
    <rPh sb="6" eb="8">
      <t>ハケイ</t>
    </rPh>
    <phoneticPr fontId="1"/>
  </si>
  <si>
    <t>AWG_7_WAVE_REG_BASE</t>
    <phoneticPr fontId="1"/>
  </si>
  <si>
    <t>0x2C00</t>
    <phoneticPr fontId="1"/>
  </si>
  <si>
    <t>AWG n チャンク 7 パラメータ</t>
    <phoneticPr fontId="1"/>
  </si>
  <si>
    <t>AWG_n_CHUNK_7_REG_BASE</t>
    <phoneticPr fontId="1"/>
  </si>
  <si>
    <t>AWG_n_WAVE_REG_BASE + 0xB0</t>
    <phoneticPr fontId="1"/>
  </si>
  <si>
    <t>AWG n チャンク 8 パラメータ</t>
    <phoneticPr fontId="1"/>
  </si>
  <si>
    <t>AWG_n_CHUNK_8_REG_BASE</t>
    <phoneticPr fontId="1"/>
  </si>
  <si>
    <t>AWG_n_WAVE_REG_BASE + 0xC0</t>
    <phoneticPr fontId="1"/>
  </si>
  <si>
    <t>AWG n チャンク 9 パラメータ</t>
    <phoneticPr fontId="1"/>
  </si>
  <si>
    <t>AWG_n_CHUNK_9_REG_BASE</t>
    <phoneticPr fontId="1"/>
  </si>
  <si>
    <t>AWG_n_WAVE_REG_BASE + 0xD0</t>
    <phoneticPr fontId="1"/>
  </si>
  <si>
    <t>AWG n チャンク 10 パラメータ</t>
    <phoneticPr fontId="1"/>
  </si>
  <si>
    <t>AWG_n_CHUNK_10_REG_BASE</t>
    <phoneticPr fontId="1"/>
  </si>
  <si>
    <t>AWG_n_WAVE_REG_BASE + 0xE0</t>
    <phoneticPr fontId="1"/>
  </si>
  <si>
    <t>AWG n チャンク 11 パラメータ</t>
    <phoneticPr fontId="1"/>
  </si>
  <si>
    <t>AWG_n_CHUNK_11_REG_BASE</t>
    <phoneticPr fontId="1"/>
  </si>
  <si>
    <t>AWG_n_WAVE_REG_BASE + 0xF0</t>
    <phoneticPr fontId="1"/>
  </si>
  <si>
    <t>AWG n チャンク 12 パラメータ</t>
    <phoneticPr fontId="1"/>
  </si>
  <si>
    <t>AWG_n_CHUNK_12_REG_BASE</t>
    <phoneticPr fontId="1"/>
  </si>
  <si>
    <t>AWG_n_WAVE_REG_BASE + 0x100</t>
    <phoneticPr fontId="1"/>
  </si>
  <si>
    <t>AWG n チャンク 13 パラメータ</t>
    <phoneticPr fontId="1"/>
  </si>
  <si>
    <t>AWG_n_CHUNK_13_REG_BASE</t>
    <phoneticPr fontId="1"/>
  </si>
  <si>
    <t>AWG_n_WAVE_REG_BASE + 0x110</t>
    <phoneticPr fontId="1"/>
  </si>
  <si>
    <t>AWG n チャンク 14 パラメータ</t>
    <phoneticPr fontId="1"/>
  </si>
  <si>
    <t>AWG_n_CHUNK_14_REG_BASE</t>
    <phoneticPr fontId="1"/>
  </si>
  <si>
    <t>AWG_n_WAVE_REG_BASE + 0x120</t>
    <phoneticPr fontId="1"/>
  </si>
  <si>
    <t>AWG n チャンク 15 パラメータ</t>
    <phoneticPr fontId="1"/>
  </si>
  <si>
    <t>AWG_n_CHUNK_15_REG_BASE</t>
    <phoneticPr fontId="1"/>
  </si>
  <si>
    <t>AWG_n_WAVE_REG_BASE + 0x130</t>
    <phoneticPr fontId="1"/>
  </si>
  <si>
    <t>AWG 全体制御</t>
    <rPh sb="4" eb="8">
      <t>ゼンタイセイギョ</t>
    </rPh>
    <phoneticPr fontId="1"/>
  </si>
  <si>
    <t>AWG_REG_BASE + 0x0</t>
    <phoneticPr fontId="1"/>
  </si>
  <si>
    <t>AWG のバージョン</t>
    <phoneticPr fontId="1"/>
  </si>
  <si>
    <t>制御対象 AWG 選択</t>
    <rPh sb="0" eb="4">
      <t>セイギョタイショウ</t>
    </rPh>
    <rPh sb="9" eb="11">
      <t>センタク</t>
    </rPh>
    <phoneticPr fontId="1"/>
  </si>
  <si>
    <t>AWG_REG_BASE + 0x4</t>
    <phoneticPr fontId="1"/>
  </si>
  <si>
    <t>target</t>
    <phoneticPr fontId="1"/>
  </si>
  <si>
    <r>
      <t xml:space="preserve">n ビット目が 0 : AWG n を制御対象にしません
n ビット目が 1 : AWG n を制御対象にします
</t>
    </r>
    <r>
      <rPr>
        <b/>
        <sz val="11"/>
        <color theme="1"/>
        <rFont val="游ゴシック"/>
        <family val="3"/>
        <charset val="128"/>
        <scheme val="minor"/>
      </rPr>
      <t>※このレジスタは「AWG 全体制御」レジスタグループにのみ影響を与えます</t>
    </r>
    <rPh sb="5" eb="6">
      <t>メ</t>
    </rPh>
    <rPh sb="19" eb="23">
      <t>セイギョタイショウ</t>
    </rPh>
    <rPh sb="70" eb="74">
      <t>ゼンタイセイギョ</t>
    </rPh>
    <rPh sb="86" eb="88">
      <t>エイキョウ</t>
    </rPh>
    <rPh sb="89" eb="90">
      <t>アタ</t>
    </rPh>
    <phoneticPr fontId="1"/>
  </si>
  <si>
    <t>AWG コントロール</t>
    <phoneticPr fontId="1"/>
  </si>
  <si>
    <t>AWG_REG_BASE + 0x8</t>
    <phoneticPr fontId="1"/>
  </si>
  <si>
    <t>0 : 制御対象となっている AWG のリセットを解除します
1 : 制御対象となっている AWG にリセットをかけます</t>
    <rPh sb="4" eb="8">
      <t>セイギョタイショウ</t>
    </rPh>
    <rPh sb="25" eb="27">
      <t>カイジョ</t>
    </rPh>
    <phoneticPr fontId="1"/>
  </si>
  <si>
    <t>prepare</t>
    <phoneticPr fontId="1"/>
  </si>
  <si>
    <t>0 から 1 になったとき, 制御対象となっている全 AWG がユーザ定義波形の出力準備を開始します</t>
    <rPh sb="25" eb="26">
      <t>ゼン</t>
    </rPh>
    <rPh sb="35" eb="37">
      <t>テイギ</t>
    </rPh>
    <rPh sb="37" eb="39">
      <t>ハケイ</t>
    </rPh>
    <rPh sb="40" eb="42">
      <t>シュツリョク</t>
    </rPh>
    <rPh sb="42" eb="44">
      <t>ジュンビ</t>
    </rPh>
    <rPh sb="45" eb="47">
      <t>カイシ</t>
    </rPh>
    <phoneticPr fontId="1"/>
  </si>
  <si>
    <t>0 から 1 になったとき, 制御対象となっている全 AWG がユーザ定義波形の出力を開始します</t>
    <rPh sb="25" eb="26">
      <t>ゼン</t>
    </rPh>
    <rPh sb="35" eb="37">
      <t>テイギ</t>
    </rPh>
    <rPh sb="37" eb="39">
      <t>ハケイ</t>
    </rPh>
    <rPh sb="40" eb="42">
      <t>シュツリョク</t>
    </rPh>
    <rPh sb="43" eb="45">
      <t>カイシ</t>
    </rPh>
    <phoneticPr fontId="1"/>
  </si>
  <si>
    <t>0 から 1 になったとき, 制御対象となっている全 AWG を強制停止します</t>
    <rPh sb="25" eb="26">
      <t>ゼン</t>
    </rPh>
    <rPh sb="32" eb="36">
      <t>キョウセイテイシ</t>
    </rPh>
    <phoneticPr fontId="1"/>
  </si>
  <si>
    <t>0 から 1 になったとき, 制御対象になっている全 AWG の波形出力完了フラグ (done) を 0 にします</t>
    <rPh sb="15" eb="19">
      <t>セイギョタイショウ</t>
    </rPh>
    <rPh sb="25" eb="26">
      <t>ゼン</t>
    </rPh>
    <rPh sb="32" eb="36">
      <t>ハケイシュツリョク</t>
    </rPh>
    <rPh sb="36" eb="38">
      <t>カンリョウ</t>
    </rPh>
    <phoneticPr fontId="1"/>
  </si>
  <si>
    <t>[31:5]</t>
    <phoneticPr fontId="1"/>
  </si>
  <si>
    <t>全 AWG ウェイクアップステータス</t>
    <phoneticPr fontId="1"/>
  </si>
  <si>
    <t>AWG_REG_BASE + 0xC</t>
    <phoneticPr fontId="1"/>
  </si>
  <si>
    <t>n ビット目が 0 : AWG n はリセット中です
n ビット目が 1 : AWG n はリセット中ではありません
※非制御対象の AWG のビットは常に 0 になります</t>
    <rPh sb="5" eb="6">
      <t>メ</t>
    </rPh>
    <rPh sb="50" eb="51">
      <t>チュウ</t>
    </rPh>
    <rPh sb="60" eb="65">
      <t>ヒセイギョタイショウ</t>
    </rPh>
    <rPh sb="76" eb="77">
      <t>ツネ</t>
    </rPh>
    <phoneticPr fontId="1"/>
  </si>
  <si>
    <t>全 AWG ビジーステータス</t>
    <rPh sb="0" eb="1">
      <t>ゼン</t>
    </rPh>
    <phoneticPr fontId="1"/>
  </si>
  <si>
    <t>AWG_REG_BASE + 0x10</t>
    <phoneticPr fontId="1"/>
  </si>
  <si>
    <t>n ビット目が 0 : AWG n は待機もしくはリセット中です
n ビット目が 1 : AWG n は 波形出力準備中, 波形出力開始待ち, 波形出力中の何れかの状態です
※非制御対象の AWG のビットは常に 0 になります</t>
    <rPh sb="5" eb="6">
      <t>メ</t>
    </rPh>
    <rPh sb="19" eb="21">
      <t>タイキ</t>
    </rPh>
    <rPh sb="29" eb="30">
      <t>チュウ</t>
    </rPh>
    <rPh sb="53" eb="60">
      <t>ハケイシュツリョクジュンビチュウ</t>
    </rPh>
    <rPh sb="62" eb="64">
      <t>ハケイ</t>
    </rPh>
    <rPh sb="64" eb="66">
      <t>シュツリョク</t>
    </rPh>
    <rPh sb="66" eb="68">
      <t>カイシ</t>
    </rPh>
    <rPh sb="68" eb="69">
      <t>マ</t>
    </rPh>
    <rPh sb="72" eb="74">
      <t>ハケイ</t>
    </rPh>
    <rPh sb="74" eb="76">
      <t>シュツリョク</t>
    </rPh>
    <rPh sb="76" eb="77">
      <t>チュウ</t>
    </rPh>
    <rPh sb="78" eb="79">
      <t>イズ</t>
    </rPh>
    <rPh sb="82" eb="84">
      <t>ジョウタイ</t>
    </rPh>
    <phoneticPr fontId="1"/>
  </si>
  <si>
    <t>全 AWG レディステータス</t>
    <rPh sb="0" eb="1">
      <t>ゼン</t>
    </rPh>
    <phoneticPr fontId="1"/>
  </si>
  <si>
    <t>AWG_REG_BASE + 0x14</t>
    <phoneticPr fontId="1"/>
  </si>
  <si>
    <t>ready</t>
    <phoneticPr fontId="1"/>
  </si>
  <si>
    <t>n ビット目が 0 : AWG n のユーザ定義波形の出力準備が完了していません
n ビット目が 1 : AWG n のユーザ定義波形の出力準備が完了しています
※非制御対象の AWG のビットは常に 0 になります</t>
    <rPh sb="5" eb="6">
      <t>メ</t>
    </rPh>
    <rPh sb="22" eb="26">
      <t>テイギハケイ</t>
    </rPh>
    <phoneticPr fontId="1"/>
  </si>
  <si>
    <t>全 AWG 完了ステータス</t>
    <rPh sb="6" eb="8">
      <t>カンリョウ</t>
    </rPh>
    <phoneticPr fontId="1"/>
  </si>
  <si>
    <t>AWG_REG_BASE + 0x18</t>
    <phoneticPr fontId="1"/>
  </si>
  <si>
    <t>n ビット目が 0 : AWG n のユーザ定義波形の出力が完了していません
n ビット目が 1 : AWG n のユーザ定義波形の出力が完了しています
AWG を強制停止した場合も 1 になります
※非制御対象の AWG のビットは常に 0 になります</t>
    <phoneticPr fontId="1"/>
  </si>
  <si>
    <t>全 AWG リードエラー</t>
    <rPh sb="0" eb="1">
      <t>ゼン</t>
    </rPh>
    <phoneticPr fontId="1"/>
  </si>
  <si>
    <t>AWG_REG_BASE + 0x1C</t>
    <phoneticPr fontId="1"/>
  </si>
  <si>
    <t>read err</t>
    <phoneticPr fontId="1"/>
  </si>
  <si>
    <t>n ビット目が0 : AWG n は, 波形読み出しエラーを起こしていません
n ビット目が1 : AWG n は, 波形読み出しエラーを起こしました
AWG をリセットすると 0 に戻ります
※非制御対象の AWG のビットは常に 0 になります</t>
    <rPh sb="5" eb="6">
      <t>メ</t>
    </rPh>
    <rPh sb="20" eb="22">
      <t>ハケイ</t>
    </rPh>
    <rPh sb="22" eb="23">
      <t>ヨ</t>
    </rPh>
    <rPh sb="24" eb="25">
      <t>ダ</t>
    </rPh>
    <rPh sb="30" eb="31">
      <t>オ</t>
    </rPh>
    <rPh sb="44" eb="45">
      <t>メ</t>
    </rPh>
    <rPh sb="59" eb="62">
      <t>ハケイヨ</t>
    </rPh>
    <rPh sb="63" eb="64">
      <t>ダ</t>
    </rPh>
    <rPh sb="69" eb="70">
      <t>オ</t>
    </rPh>
    <rPh sb="92" eb="93">
      <t>モド</t>
    </rPh>
    <phoneticPr fontId="1"/>
  </si>
  <si>
    <t>全 AWG 波形データ供給エラー</t>
    <rPh sb="0" eb="1">
      <t>ゼン</t>
    </rPh>
    <rPh sb="6" eb="8">
      <t>ハケイ</t>
    </rPh>
    <rPh sb="11" eb="13">
      <t>キョウキュウ</t>
    </rPh>
    <phoneticPr fontId="1"/>
  </si>
  <si>
    <t>AWG_REG_BASE + 0x20</t>
    <phoneticPr fontId="1"/>
  </si>
  <si>
    <t>sample shortage</t>
    <phoneticPr fontId="1"/>
  </si>
  <si>
    <t>n ビット目が0 : AWG n は, 波形サンプル供給エラーを起こしていません
n ビット目が1 : AWG n は, 波形サンプル供給エラーを起こしました
AWG をリセットすると 0 に戻ります
※非制御対象の AWG のビットは常に 0 になります</t>
    <phoneticPr fontId="1"/>
  </si>
  <si>
    <t>AWG n 制御</t>
    <rPh sb="6" eb="8">
      <t>セイギョ</t>
    </rPh>
    <phoneticPr fontId="1"/>
  </si>
  <si>
    <t>AWG nコントロール</t>
    <phoneticPr fontId="1"/>
  </si>
  <si>
    <t>AWG_n_CTRL_REG_BASE + 0x0</t>
    <phoneticPr fontId="1"/>
  </si>
  <si>
    <t>0 : AWG n のリセットを解除します
1 : AWG n にリセットをかけます</t>
    <rPh sb="16" eb="18">
      <t>カイジョ</t>
    </rPh>
    <phoneticPr fontId="1"/>
  </si>
  <si>
    <t>0 から 1 になったとき AWG n がユーザ定義波形の出力準備を開始します</t>
    <rPh sb="24" eb="26">
      <t>テイギ</t>
    </rPh>
    <rPh sb="26" eb="28">
      <t>ハケイ</t>
    </rPh>
    <rPh sb="29" eb="31">
      <t>シュツリョク</t>
    </rPh>
    <rPh sb="31" eb="33">
      <t>ジュンビ</t>
    </rPh>
    <rPh sb="34" eb="36">
      <t>カイシ</t>
    </rPh>
    <phoneticPr fontId="1"/>
  </si>
  <si>
    <t>0 から 1 になったとき AWG n がユーザ定義波形の出力を開始します</t>
    <rPh sb="24" eb="26">
      <t>テイギ</t>
    </rPh>
    <rPh sb="26" eb="28">
      <t>ハケイ</t>
    </rPh>
    <rPh sb="29" eb="31">
      <t>シュツリョク</t>
    </rPh>
    <rPh sb="32" eb="34">
      <t>カイシ</t>
    </rPh>
    <phoneticPr fontId="1"/>
  </si>
  <si>
    <t>0 から 1 になったとき AWG n を強制停止します</t>
    <rPh sb="21" eb="25">
      <t>キョウセイテイシ</t>
    </rPh>
    <phoneticPr fontId="1"/>
  </si>
  <si>
    <t>0 から 1 になったとき, AWG n の波形出力完了フラグ (done) を 0 にします</t>
    <rPh sb="22" eb="26">
      <t>ハケイシュツリョク</t>
    </rPh>
    <rPh sb="26" eb="28">
      <t>カンリョウ</t>
    </rPh>
    <phoneticPr fontId="1"/>
  </si>
  <si>
    <t>AWG n ステータス</t>
    <phoneticPr fontId="1"/>
  </si>
  <si>
    <t>AWG_n_CTRL_REG_BASE + 0x4</t>
    <phoneticPr fontId="1"/>
  </si>
  <si>
    <t>0 : AWG n はリセット中です
1 : AWG n はリセット中ではありません</t>
    <rPh sb="34" eb="35">
      <t>チュウ</t>
    </rPh>
    <phoneticPr fontId="1"/>
  </si>
  <si>
    <t>0 : AWG n のユーザ定義波形の出力準備が完了していません
1 : AWG n のユーザ定義波形の出力準備が完了しています</t>
    <phoneticPr fontId="1"/>
  </si>
  <si>
    <t>0 : AWG n のユーザ定義波形の出力が完了していません
1 : AWG n のユーザ定義波形の出力が完了しています
AWG を強制停止した場合も 1 になります</t>
    <rPh sb="65" eb="69">
      <t>キョウセイテイシ</t>
    </rPh>
    <rPh sb="71" eb="73">
      <t>バアイ</t>
    </rPh>
    <phoneticPr fontId="1"/>
  </si>
  <si>
    <t>AWG n エラー</t>
    <phoneticPr fontId="1"/>
  </si>
  <si>
    <t>AWG_n_CTRL_REG_BASE + 0x8</t>
    <phoneticPr fontId="1"/>
  </si>
  <si>
    <t>0 : AWG n は, 波形読み出しエラーを起こしていません
1 : AWG n は, 波形読み出しエラーを起こしました
AWG をリセットすると 0 に戻ります</t>
    <phoneticPr fontId="1"/>
  </si>
  <si>
    <t>0 : AWG n は, サンプル供給エラーを起こしていません
1 : AWG n は, サンプル供給エラーを起こしました
AWG をリセットすると 0 に戻ります</t>
    <rPh sb="17" eb="19">
      <t>キョウキュウ</t>
    </rPh>
    <rPh sb="23" eb="24">
      <t>オ</t>
    </rPh>
    <rPh sb="49" eb="51">
      <t>キョウキュウ</t>
    </rPh>
    <rPh sb="55" eb="56">
      <t>オ</t>
    </rPh>
    <phoneticPr fontId="1"/>
  </si>
  <si>
    <t>予約 (116 Bytes)</t>
    <rPh sb="0" eb="2">
      <t>ヨヤク</t>
    </rPh>
    <phoneticPr fontId="1"/>
  </si>
  <si>
    <t>WAITワード数</t>
    <rPh sb="7" eb="8">
      <t>スウ</t>
    </rPh>
    <phoneticPr fontId="1"/>
  </si>
  <si>
    <t>AWG_n_WAVE_REG_BASE + 0x000</t>
  </si>
  <si>
    <t>num wait words</t>
    <phoneticPr fontId="1"/>
  </si>
  <si>
    <t>ユーザ定義波形の先頭に付加される 0 データの AWG ワード数
(設定可能範囲 : 0～0xFFFF_FFFF)</t>
    <rPh sb="3" eb="7">
      <t>テイギハケイ</t>
    </rPh>
    <rPh sb="8" eb="10">
      <t>セントウ</t>
    </rPh>
    <rPh sb="11" eb="13">
      <t>フカ</t>
    </rPh>
    <rPh sb="31" eb="32">
      <t>スウ</t>
    </rPh>
    <phoneticPr fontId="1"/>
  </si>
  <si>
    <t>波形シーケンスリピート回数</t>
    <rPh sb="0" eb="2">
      <t>ハケイ</t>
    </rPh>
    <rPh sb="11" eb="13">
      <t>カイスウ</t>
    </rPh>
    <phoneticPr fontId="1"/>
  </si>
  <si>
    <t>AWG_n_WAVE_REG_BASE + 0x004</t>
  </si>
  <si>
    <t>num  seq repeats</t>
    <phoneticPr fontId="1"/>
  </si>
  <si>
    <t>波形シーケンスを繰り返す回数
(設定可能範囲 : 1～0xFFFF_FFFF)</t>
    <rPh sb="0" eb="2">
      <t>ハケイ</t>
    </rPh>
    <rPh sb="8" eb="9">
      <t>ク</t>
    </rPh>
    <phoneticPr fontId="1"/>
  </si>
  <si>
    <t>チャンク数</t>
    <rPh sb="4" eb="5">
      <t>スウ</t>
    </rPh>
    <phoneticPr fontId="1"/>
  </si>
  <si>
    <t>AWG_n_WAVE_REG_BASE + 0x008</t>
  </si>
  <si>
    <t>num chunks</t>
    <phoneticPr fontId="1"/>
  </si>
  <si>
    <t>ユーザが定義した波形チャンクの数
(設定可能範囲 : 1～16)</t>
    <rPh sb="4" eb="6">
      <t>テイギ</t>
    </rPh>
    <rPh sb="8" eb="10">
      <t>ハケイ</t>
    </rPh>
    <rPh sb="15" eb="16">
      <t>カズ</t>
    </rPh>
    <phoneticPr fontId="1"/>
  </si>
  <si>
    <t>波形送信可能ブロック周期</t>
    <rPh sb="0" eb="2">
      <t>ハケイ</t>
    </rPh>
    <rPh sb="2" eb="6">
      <t>ソウシンカノウ</t>
    </rPh>
    <rPh sb="10" eb="12">
      <t>シュウキ</t>
    </rPh>
    <phoneticPr fontId="1"/>
  </si>
  <si>
    <t>AWG_n_WAVE_REG_BASE + 0x00C</t>
  </si>
  <si>
    <t>wave block interval</t>
    <phoneticPr fontId="1"/>
  </si>
  <si>
    <t>予約 (48 Bytes)</t>
    <phoneticPr fontId="1"/>
  </si>
  <si>
    <t>AWG n チャンク m パラメータ</t>
    <phoneticPr fontId="1"/>
  </si>
  <si>
    <t>波形パートアドレス</t>
    <rPh sb="0" eb="2">
      <t>ハケイ</t>
    </rPh>
    <phoneticPr fontId="1"/>
  </si>
  <si>
    <t>AWG_n_CHUNK_m_REG_BASE + 0x0</t>
    <phoneticPr fontId="1"/>
  </si>
  <si>
    <t>wave start addr</t>
    <phoneticPr fontId="1"/>
  </si>
  <si>
    <t>波形パートワード数</t>
    <rPh sb="0" eb="2">
      <t>ハケイ</t>
    </rPh>
    <rPh sb="8" eb="9">
      <t>スウ</t>
    </rPh>
    <phoneticPr fontId="1"/>
  </si>
  <si>
    <t>AWG_n_CHUNK_m_REG_BASE + 0x4</t>
    <phoneticPr fontId="1"/>
  </si>
  <si>
    <t>num wave words</t>
    <phoneticPr fontId="1"/>
  </si>
  <si>
    <t>ポストブランクワード数</t>
    <rPh sb="10" eb="11">
      <t>スウ</t>
    </rPh>
    <phoneticPr fontId="1"/>
  </si>
  <si>
    <t>AWG_n_CHUNK_m_REG_BASE + 0x8</t>
    <phoneticPr fontId="1"/>
  </si>
  <si>
    <t>num blank words</t>
    <phoneticPr fontId="1"/>
  </si>
  <si>
    <t>ポストブランクの AWG ワード数
(設定可能範囲 : 0～0xFFFF_FFFF)</t>
    <rPh sb="16" eb="17">
      <t>スウ</t>
    </rPh>
    <phoneticPr fontId="1"/>
  </si>
  <si>
    <t>チャンクリピート回数</t>
    <rPh sb="8" eb="10">
      <t>カイスウ</t>
    </rPh>
    <phoneticPr fontId="1"/>
  </si>
  <si>
    <t>AWG_n_CHUNK_m_REG_BASE + 0xC</t>
    <phoneticPr fontId="1"/>
  </si>
  <si>
    <t>num chunk repeats</t>
    <phoneticPr fontId="1"/>
  </si>
  <si>
    <t>波形チャンクを繰り返す回数
(設定可能範囲 : 1～0xFFFF_FFFF)</t>
    <rPh sb="0" eb="2">
      <t>ハケイ</t>
    </rPh>
    <rPh sb="7" eb="8">
      <t>ク</t>
    </rPh>
    <rPh sb="9" eb="10">
      <t>カエ</t>
    </rPh>
    <rPh sb="11" eb="13">
      <t>カイスウ</t>
    </rPh>
    <phoneticPr fontId="1"/>
  </si>
  <si>
    <t>0 から 1 になったとき, 制御対象となっている全 AWG の動作を一時停止します</t>
    <rPh sb="25" eb="26">
      <t>ゼン</t>
    </rPh>
    <rPh sb="32" eb="34">
      <t>ドウサ</t>
    </rPh>
    <rPh sb="35" eb="39">
      <t>イチジテイシ</t>
    </rPh>
    <phoneticPr fontId="1"/>
  </si>
  <si>
    <t>0 から 1 になったとき, 制御対象になっている全 AWG の動作を再開します</t>
    <rPh sb="15" eb="19">
      <t>セイギョタイショウ</t>
    </rPh>
    <rPh sb="25" eb="26">
      <t>ゼン</t>
    </rPh>
    <rPh sb="32" eb="34">
      <t>ドウサ</t>
    </rPh>
    <rPh sb="35" eb="37">
      <t>サイカイ</t>
    </rPh>
    <phoneticPr fontId="1"/>
  </si>
  <si>
    <t>予約 (88 Bytes)</t>
    <rPh sb="0" eb="2">
      <t>ヨヤク</t>
    </rPh>
    <phoneticPr fontId="1"/>
  </si>
  <si>
    <t>AWG_REG_BASE + 0x24</t>
    <phoneticPr fontId="1"/>
  </si>
  <si>
    <t>全 AWG 一時停止ステータス</t>
    <rPh sb="0" eb="1">
      <t>ゼン</t>
    </rPh>
    <rPh sb="6" eb="10">
      <t>イチジテイシ</t>
    </rPh>
    <phoneticPr fontId="1"/>
  </si>
  <si>
    <t>n ビット目が0 : AWG n は一時停止中ではありません
n ビット目が1 : AWG n は一時停止中です
※非制御対象の AWG のビットは常に 0 になります</t>
    <rPh sb="18" eb="22">
      <t>イチジテイシ</t>
    </rPh>
    <rPh sb="22" eb="23">
      <t>チュウ</t>
    </rPh>
    <phoneticPr fontId="1"/>
  </si>
  <si>
    <t>0 から 1 になったとき, AWG n の動作を一時停止します</t>
    <rPh sb="22" eb="24">
      <t>ドウサ</t>
    </rPh>
    <rPh sb="25" eb="29">
      <t>イチジテイシ</t>
    </rPh>
    <phoneticPr fontId="1"/>
  </si>
  <si>
    <t>0 から 1 になったとき, AWG n の動作を再開します</t>
    <rPh sb="22" eb="24">
      <t>ドウサ</t>
    </rPh>
    <rPh sb="25" eb="27">
      <t>サイカイ</t>
    </rPh>
    <phoneticPr fontId="1"/>
  </si>
  <si>
    <t>0 : AWG n は一時停止中ではありません
1 : AWG n は一時停止中です</t>
    <rPh sb="11" eb="16">
      <t>イチジテイシチュウ</t>
    </rPh>
    <phoneticPr fontId="1"/>
  </si>
  <si>
    <t>ユーザ定義波形を送信開始可能なタイミングの周期．(初期値 = 1)
設定値を n とすると，128*n サンプル分の周期でユーザ定義波形を送信開始可能なタイミングが
訪れます.
(設定可能範囲 : 1～0xFFFF_FFFF)</t>
    <rPh sb="3" eb="5">
      <t>テイギ</t>
    </rPh>
    <rPh sb="5" eb="7">
      <t>ハケイ</t>
    </rPh>
    <rPh sb="8" eb="10">
      <t>ソウシン</t>
    </rPh>
    <rPh sb="10" eb="12">
      <t>カイシ</t>
    </rPh>
    <rPh sb="12" eb="14">
      <t>カノウ</t>
    </rPh>
    <rPh sb="21" eb="23">
      <t>シュウキ</t>
    </rPh>
    <rPh sb="34" eb="37">
      <t>セッテイアタイ</t>
    </rPh>
    <rPh sb="56" eb="57">
      <t>ブン</t>
    </rPh>
    <rPh sb="58" eb="60">
      <t>シュウキ</t>
    </rPh>
    <rPh sb="71" eb="73">
      <t>カイシ</t>
    </rPh>
    <rPh sb="73" eb="75">
      <t>カノウ</t>
    </rPh>
    <rPh sb="83" eb="84">
      <t>オトズ</t>
    </rPh>
    <phoneticPr fontId="1"/>
  </si>
  <si>
    <t>DRAM に格納された波形パートの先頭アドレス ÷ 16
※波形パートの先頭アドレスは 64 の倍数でなければなりません</t>
    <rPh sb="6" eb="8">
      <t>カクノウ</t>
    </rPh>
    <rPh sb="11" eb="13">
      <t>ハケイ</t>
    </rPh>
    <rPh sb="17" eb="19">
      <t>セントウ</t>
    </rPh>
    <phoneticPr fontId="1"/>
  </si>
  <si>
    <r>
      <t xml:space="preserve">波形パートの AWG ワード数
</t>
    </r>
    <r>
      <rPr>
        <sz val="11"/>
        <color theme="1"/>
        <rFont val="游ゴシック"/>
        <family val="3"/>
        <charset val="128"/>
        <scheme val="minor"/>
      </rPr>
      <t>※ 64 の倍数でなければなりません</t>
    </r>
    <rPh sb="22" eb="24">
      <t>バイスウ</t>
    </rPh>
    <phoneticPr fontId="1"/>
  </si>
  <si>
    <t>予約 (80 Bytes)</t>
    <phoneticPr fontId="1"/>
  </si>
  <si>
    <t>未割当</t>
    <rPh sb="0" eb="3">
      <t>ミワリアテ</t>
    </rPh>
    <phoneticPr fontId="1"/>
  </si>
  <si>
    <t>サイズ (Bytes)</t>
    <phoneticPr fontId="1"/>
  </si>
  <si>
    <t>●</t>
    <phoneticPr fontId="1"/>
  </si>
  <si>
    <t>0x0000_0040</t>
    <phoneticPr fontId="1"/>
  </si>
  <si>
    <t>0x0000_0080</t>
    <phoneticPr fontId="1"/>
  </si>
  <si>
    <t>0x0003_FFC0</t>
    <phoneticPr fontId="1"/>
  </si>
  <si>
    <t>0x1000_0000</t>
    <phoneticPr fontId="1"/>
  </si>
  <si>
    <t>0x1000_0040</t>
    <phoneticPr fontId="1"/>
  </si>
  <si>
    <t>0x1000_0080</t>
    <phoneticPr fontId="1"/>
  </si>
  <si>
    <t>0x1003_FFC0</t>
    <phoneticPr fontId="1"/>
  </si>
  <si>
    <t>0x2000_0040</t>
    <phoneticPr fontId="1"/>
  </si>
  <si>
    <t>0x2000_0080</t>
    <phoneticPr fontId="1"/>
  </si>
  <si>
    <t>0x2003_FFC0</t>
    <phoneticPr fontId="1"/>
  </si>
  <si>
    <t>0x3000_0000</t>
    <phoneticPr fontId="1"/>
  </si>
  <si>
    <t>0x3000_0040</t>
    <phoneticPr fontId="1"/>
  </si>
  <si>
    <t>0x3000_0080</t>
    <phoneticPr fontId="1"/>
  </si>
  <si>
    <t>0x3003_FFC0</t>
    <phoneticPr fontId="1"/>
  </si>
  <si>
    <t>0x4000_0040</t>
    <phoneticPr fontId="1"/>
  </si>
  <si>
    <t>0x4000_0080</t>
    <phoneticPr fontId="1"/>
  </si>
  <si>
    <t>0x4003_FFC0</t>
    <phoneticPr fontId="1"/>
  </si>
  <si>
    <t>0x5000_0000</t>
    <phoneticPr fontId="1"/>
  </si>
  <si>
    <t>0x5000_0040</t>
    <phoneticPr fontId="1"/>
  </si>
  <si>
    <t>0x5000_0080</t>
    <phoneticPr fontId="1"/>
  </si>
  <si>
    <t>0x5003_FFC0</t>
    <phoneticPr fontId="1"/>
  </si>
  <si>
    <t>0x6000_0040</t>
    <phoneticPr fontId="1"/>
  </si>
  <si>
    <t>0x6000_0080</t>
    <phoneticPr fontId="1"/>
  </si>
  <si>
    <t>0x6003_FFC0</t>
    <phoneticPr fontId="1"/>
  </si>
  <si>
    <t>0x7000_0000</t>
    <phoneticPr fontId="1"/>
  </si>
  <si>
    <t>0x7000_0040</t>
    <phoneticPr fontId="1"/>
  </si>
  <si>
    <t>0x7000_0080</t>
    <phoneticPr fontId="1"/>
  </si>
  <si>
    <t>0x7003_FFC0</t>
    <phoneticPr fontId="1"/>
  </si>
  <si>
    <t>0x8000_0040</t>
    <phoneticPr fontId="1"/>
  </si>
  <si>
    <t>0x8000_0080</t>
    <phoneticPr fontId="1"/>
  </si>
  <si>
    <t>0x8003_FFC0</t>
    <phoneticPr fontId="1"/>
  </si>
  <si>
    <t>0x9000_0000</t>
    <phoneticPr fontId="1"/>
  </si>
  <si>
    <t>0x9000_0040</t>
    <phoneticPr fontId="1"/>
  </si>
  <si>
    <t>0x9000_0080</t>
    <phoneticPr fontId="1"/>
  </si>
  <si>
    <t>0x9003_FFC0</t>
    <phoneticPr fontId="1"/>
  </si>
  <si>
    <t>0xA000_0040</t>
    <phoneticPr fontId="1"/>
  </si>
  <si>
    <t>0xA000_0080</t>
    <phoneticPr fontId="1"/>
  </si>
  <si>
    <t>0xA003_FFC0</t>
    <phoneticPr fontId="1"/>
  </si>
  <si>
    <t>0xB000_0000</t>
    <phoneticPr fontId="1"/>
  </si>
  <si>
    <t>0xB000_0040</t>
    <phoneticPr fontId="1"/>
  </si>
  <si>
    <t>0xB000_0080</t>
    <phoneticPr fontId="1"/>
  </si>
  <si>
    <t>0xB003_FFC0</t>
    <phoneticPr fontId="1"/>
  </si>
  <si>
    <t>0xC000_0040</t>
    <phoneticPr fontId="1"/>
  </si>
  <si>
    <t>0xC000_0080</t>
    <phoneticPr fontId="1"/>
  </si>
  <si>
    <t>0xC003_FFC0</t>
    <phoneticPr fontId="1"/>
  </si>
  <si>
    <t>0xD000_0000</t>
    <phoneticPr fontId="1"/>
  </si>
  <si>
    <t>0xD000_0040</t>
    <phoneticPr fontId="1"/>
  </si>
  <si>
    <t>0xD000_0080</t>
    <phoneticPr fontId="1"/>
  </si>
  <si>
    <t>0xD003_FFC0</t>
    <phoneticPr fontId="1"/>
  </si>
  <si>
    <t>0xE000_0040</t>
    <phoneticPr fontId="1"/>
  </si>
  <si>
    <t>0xE000_0080</t>
    <phoneticPr fontId="1"/>
  </si>
  <si>
    <t>0xE003_FFC0</t>
    <phoneticPr fontId="1"/>
  </si>
  <si>
    <t>0xF000_0000</t>
    <phoneticPr fontId="1"/>
  </si>
  <si>
    <t>0xF000_0040</t>
    <phoneticPr fontId="1"/>
  </si>
  <si>
    <t>0xF000_0080</t>
    <phoneticPr fontId="1"/>
  </si>
  <si>
    <t>0xF003_FFC0</t>
    <phoneticPr fontId="1"/>
  </si>
  <si>
    <t>ワード 4095</t>
    <phoneticPr fontId="1"/>
  </si>
  <si>
    <t>波形 RAM 0</t>
    <rPh sb="0" eb="2">
      <t>ハケイ</t>
    </rPh>
    <phoneticPr fontId="1"/>
  </si>
  <si>
    <t>波形 RAM 1</t>
    <rPh sb="0" eb="2">
      <t>ハケイ</t>
    </rPh>
    <phoneticPr fontId="1"/>
  </si>
  <si>
    <t>波形 RAM 2</t>
    <rPh sb="0" eb="2">
      <t>ハケイ</t>
    </rPh>
    <phoneticPr fontId="1"/>
  </si>
  <si>
    <t>波形 RAM 3</t>
    <rPh sb="0" eb="2">
      <t>ハケイ</t>
    </rPh>
    <phoneticPr fontId="1"/>
  </si>
  <si>
    <t>波形 RAM 4</t>
    <rPh sb="0" eb="2">
      <t>ハケイ</t>
    </rPh>
    <phoneticPr fontId="1"/>
  </si>
  <si>
    <t>波形 RAM 5</t>
    <rPh sb="0" eb="2">
      <t>ハケイ</t>
    </rPh>
    <phoneticPr fontId="1"/>
  </si>
  <si>
    <t>波形 RAM 6</t>
    <rPh sb="0" eb="2">
      <t>ハケイ</t>
    </rPh>
    <phoneticPr fontId="1"/>
  </si>
  <si>
    <t>波形 RAM 7</t>
    <rPh sb="0" eb="2">
      <t>ハケイ</t>
    </rPh>
    <phoneticPr fontId="1"/>
  </si>
  <si>
    <t>波形 RAM 8</t>
    <rPh sb="0" eb="2">
      <t>ハケイ</t>
    </rPh>
    <phoneticPr fontId="1"/>
  </si>
  <si>
    <t>波形 RAM 9</t>
    <rPh sb="0" eb="2">
      <t>ハケイ</t>
    </rPh>
    <phoneticPr fontId="1"/>
  </si>
  <si>
    <t>波形 RAM 10</t>
    <rPh sb="0" eb="2">
      <t>ハケイ</t>
    </rPh>
    <phoneticPr fontId="1"/>
  </si>
  <si>
    <t>波形 RAM 11</t>
    <rPh sb="0" eb="2">
      <t>ハケイ</t>
    </rPh>
    <phoneticPr fontId="1"/>
  </si>
  <si>
    <t>波形 RAM 12</t>
    <rPh sb="0" eb="2">
      <t>ハケイ</t>
    </rPh>
    <phoneticPr fontId="1"/>
  </si>
  <si>
    <t>波形 RAM 13</t>
    <rPh sb="0" eb="2">
      <t>ハケイ</t>
    </rPh>
    <phoneticPr fontId="1"/>
  </si>
  <si>
    <t>波形 RAM 14</t>
    <rPh sb="0" eb="2">
      <t>ハケイ</t>
    </rPh>
    <phoneticPr fontId="1"/>
  </si>
  <si>
    <t>波形 RAM 15</t>
    <rPh sb="0" eb="2">
      <t>ハケイ</t>
    </rPh>
    <phoneticPr fontId="1"/>
  </si>
  <si>
    <t>AWG 8 波形データ</t>
    <rPh sb="6" eb="8">
      <t>ハケイ</t>
    </rPh>
    <phoneticPr fontId="1"/>
  </si>
  <si>
    <t>AWG 9 波形データ</t>
    <rPh sb="6" eb="8">
      <t>ハケイ</t>
    </rPh>
    <phoneticPr fontId="1"/>
  </si>
  <si>
    <t>AWG 10 波形データ</t>
    <rPh sb="7" eb="9">
      <t>ハケイ</t>
    </rPh>
    <phoneticPr fontId="1"/>
  </si>
  <si>
    <t>AWG 11 波形データ</t>
    <rPh sb="7" eb="9">
      <t>ハケイ</t>
    </rPh>
    <phoneticPr fontId="1"/>
  </si>
  <si>
    <t>AWG 12 波形データ</t>
    <rPh sb="7" eb="9">
      <t>ハケイ</t>
    </rPh>
    <phoneticPr fontId="1"/>
  </si>
  <si>
    <t>AWG 13 波形データ</t>
    <rPh sb="7" eb="9">
      <t>ハケイ</t>
    </rPh>
    <phoneticPr fontId="1"/>
  </si>
  <si>
    <t>AWG 14 波形データ</t>
    <rPh sb="7" eb="9">
      <t>ハケイ</t>
    </rPh>
    <phoneticPr fontId="1"/>
  </si>
  <si>
    <t>AWG 15 波形データ</t>
    <rPh sb="7" eb="9">
      <t>ハケイ</t>
    </rPh>
    <phoneticPr fontId="1"/>
  </si>
  <si>
    <t>0x0003_FFFF</t>
    <phoneticPr fontId="1"/>
  </si>
  <si>
    <t>0x1003_FFFF</t>
    <phoneticPr fontId="1"/>
  </si>
  <si>
    <t>0x2003_FFFF</t>
    <phoneticPr fontId="1"/>
  </si>
  <si>
    <t>0x3003_FFFF</t>
    <phoneticPr fontId="1"/>
  </si>
  <si>
    <t>0x4003_FFFF</t>
    <phoneticPr fontId="1"/>
  </si>
  <si>
    <t>0x5003_FFFF</t>
    <phoneticPr fontId="1"/>
  </si>
  <si>
    <t>0x6003_FFFF</t>
    <phoneticPr fontId="1"/>
  </si>
  <si>
    <t>0x7003_FFFF</t>
    <phoneticPr fontId="1"/>
  </si>
  <si>
    <t>0x8003_FFFF</t>
    <phoneticPr fontId="1"/>
  </si>
  <si>
    <t>0x9003_FFFF</t>
    <phoneticPr fontId="1"/>
  </si>
  <si>
    <t>0xA003_FFFF</t>
    <phoneticPr fontId="1"/>
  </si>
  <si>
    <t>0xB003_FFFF</t>
    <phoneticPr fontId="1"/>
  </si>
  <si>
    <t>0xC003_FFFF</t>
    <phoneticPr fontId="1"/>
  </si>
  <si>
    <t>0xD003_FFFF</t>
    <phoneticPr fontId="1"/>
  </si>
  <si>
    <t>0xE003_FFFF</t>
    <phoneticPr fontId="1"/>
  </si>
  <si>
    <t>0xF003_FFFF</t>
    <phoneticPr fontId="1"/>
  </si>
  <si>
    <t>256 K</t>
    <phoneticPr fontId="1"/>
  </si>
  <si>
    <t>0 : AWG n は待機もしくはリセット中です
1 : AWG n は 波形出力準備中, 波形出力開始待ち, 波形出力中の何れかの状態です</t>
    <phoneticPr fontId="1"/>
  </si>
  <si>
    <t>AWG 8 制御</t>
    <rPh sb="6" eb="8">
      <t>セイギョ</t>
    </rPh>
    <phoneticPr fontId="1"/>
  </si>
  <si>
    <t>AWG_8_CTRL_REG_BASE</t>
  </si>
  <si>
    <t>AWG 9 制御</t>
    <rPh sb="6" eb="8">
      <t>セイギョ</t>
    </rPh>
    <phoneticPr fontId="1"/>
  </si>
  <si>
    <t>AWG_9_CTRL_REG_BASE</t>
  </si>
  <si>
    <t>AWG 10 制御</t>
    <rPh sb="7" eb="9">
      <t>セイギョ</t>
    </rPh>
    <phoneticPr fontId="1"/>
  </si>
  <si>
    <t>AWG_10_CTRL_REG_BASE</t>
  </si>
  <si>
    <t>AWG 11 制御</t>
    <rPh sb="7" eb="9">
      <t>セイギョ</t>
    </rPh>
    <phoneticPr fontId="1"/>
  </si>
  <si>
    <t>AWG_11_CTRL_REG_BASE</t>
  </si>
  <si>
    <t>AWG 12 制御</t>
    <rPh sb="7" eb="9">
      <t>セイギョ</t>
    </rPh>
    <phoneticPr fontId="1"/>
  </si>
  <si>
    <t>AWG_12_CTRL_REG_BASE</t>
  </si>
  <si>
    <t>AWG 13 制御</t>
    <rPh sb="7" eb="9">
      <t>セイギョ</t>
    </rPh>
    <phoneticPr fontId="1"/>
  </si>
  <si>
    <t>AWG_13_CTRL_REG_BASE</t>
    <phoneticPr fontId="1"/>
  </si>
  <si>
    <t>AWG 14 制御</t>
    <rPh sb="7" eb="9">
      <t>セイギョ</t>
    </rPh>
    <phoneticPr fontId="1"/>
  </si>
  <si>
    <t>AWG_14_CTRL_REG_BASE</t>
    <phoneticPr fontId="1"/>
  </si>
  <si>
    <t>AWG 15 制御</t>
    <rPh sb="7" eb="9">
      <t>セイギョ</t>
    </rPh>
    <phoneticPr fontId="1"/>
  </si>
  <si>
    <t>AWG_15_CTRL_REG_BASE</t>
    <phoneticPr fontId="1"/>
  </si>
  <si>
    <t>AWG 1 波形パラメータ</t>
    <phoneticPr fontId="1"/>
  </si>
  <si>
    <t>AWG 8 波形パラメータ</t>
    <rPh sb="6" eb="8">
      <t>ハケイ</t>
    </rPh>
    <phoneticPr fontId="1"/>
  </si>
  <si>
    <t>AWG_8_WAVE_REG_BASE</t>
    <phoneticPr fontId="1"/>
  </si>
  <si>
    <t>0x3000</t>
    <phoneticPr fontId="1"/>
  </si>
  <si>
    <t>AWG 9 波形パラメータ</t>
    <rPh sb="6" eb="8">
      <t>ハケイ</t>
    </rPh>
    <phoneticPr fontId="1"/>
  </si>
  <si>
    <t>AWG_9_WAVE_REG_BASE</t>
    <phoneticPr fontId="1"/>
  </si>
  <si>
    <t>0x3400</t>
    <phoneticPr fontId="1"/>
  </si>
  <si>
    <t>AWG 10 波形パラメータ</t>
    <rPh sb="7" eb="9">
      <t>ハケイ</t>
    </rPh>
    <phoneticPr fontId="1"/>
  </si>
  <si>
    <t>AWG_10_WAVE_REG_BASE</t>
    <phoneticPr fontId="1"/>
  </si>
  <si>
    <t>0x3800</t>
    <phoneticPr fontId="1"/>
  </si>
  <si>
    <t>AWG 11 波形パラメータ</t>
    <rPh sb="7" eb="9">
      <t>ハケイ</t>
    </rPh>
    <phoneticPr fontId="1"/>
  </si>
  <si>
    <t>AWG_11_WAVE_REG_BASE</t>
    <phoneticPr fontId="1"/>
  </si>
  <si>
    <t>0x3C00</t>
    <phoneticPr fontId="1"/>
  </si>
  <si>
    <t>AWG 12 波形パラメータ</t>
    <rPh sb="7" eb="9">
      <t>ハケイ</t>
    </rPh>
    <phoneticPr fontId="1"/>
  </si>
  <si>
    <t>AWG_12_WAVE_REG_BASE</t>
    <phoneticPr fontId="1"/>
  </si>
  <si>
    <t>0x4000</t>
    <phoneticPr fontId="1"/>
  </si>
  <si>
    <t>AWG 13 波形パラメータ</t>
    <rPh sb="7" eb="9">
      <t>ハケイ</t>
    </rPh>
    <phoneticPr fontId="1"/>
  </si>
  <si>
    <t>AWG_13_WAVE_REG_BASE</t>
    <phoneticPr fontId="1"/>
  </si>
  <si>
    <t>0x4400</t>
    <phoneticPr fontId="1"/>
  </si>
  <si>
    <t>AWG 14 波形パラメータ</t>
    <rPh sb="7" eb="9">
      <t>ハケイ</t>
    </rPh>
    <phoneticPr fontId="1"/>
  </si>
  <si>
    <t>AWG_14_WAVE_REG_BASE</t>
    <phoneticPr fontId="1"/>
  </si>
  <si>
    <t>0x4800</t>
    <phoneticPr fontId="1"/>
  </si>
  <si>
    <t>AWG 15 波形パラメータ</t>
    <rPh sb="7" eb="9">
      <t>ハケイ</t>
    </rPh>
    <phoneticPr fontId="1"/>
  </si>
  <si>
    <t>AWG_15_WAVE_REG_BASE</t>
    <phoneticPr fontId="1"/>
  </si>
  <si>
    <t>0x4C00</t>
    <phoneticPr fontId="1"/>
  </si>
  <si>
    <t>0x0880
      -
0x0FFF</t>
    <phoneticPr fontId="1"/>
  </si>
  <si>
    <t>[15:0]</t>
    <phoneticPr fontId="1"/>
  </si>
  <si>
    <t>出力パターン 0 の出力時間 : (設定値 + 1) * 3.25521 [ns]
設定可能範囲 : 1 ~ 0xFFFFFFFF</t>
    <rPh sb="0" eb="2">
      <t>シュツリョク</t>
    </rPh>
    <rPh sb="10" eb="14">
      <t>シュツリョクジカン</t>
    </rPh>
    <phoneticPr fontId="1"/>
  </si>
  <si>
    <t>出力パターン 1 の出力時間 : (設定値 + 1) * 3.25521 [ns]
設定可能範囲 : 1 ~ 0xFFFFFFFF</t>
    <rPh sb="42" eb="44">
      <t>セッテイ</t>
    </rPh>
    <rPh sb="44" eb="46">
      <t>カノウ</t>
    </rPh>
    <rPh sb="46" eb="48">
      <t>ハンイ</t>
    </rPh>
    <phoneticPr fontId="1"/>
  </si>
  <si>
    <t>出力パターン 511 の出力時間 : (設定値 + 1) * 3.25521 [ns]
設定可能範囲 : 1 ~ 0xFFFFFFFF</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</si>
</sst>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游ゴシック"/>
      <family val="2"/>
      <charset val="128"/>
      <scheme val="minor"/>
    </font>
    <font>
      <sz val="6"/>
      <name val="游ゴシック"/>
      <family val="2"/>
      <charset val="128"/>
      <scheme val="minor"/>
    </font>
    <font>
      <sz val="11"/>
      <color theme="1"/>
      <name val="游ゴシック"/>
      <family val="3"/>
      <charset val="128"/>
      <scheme val="minor"/>
    </font>
    <font>
      <sz val="10"/>
      <color theme="1"/>
      <name val="游ゴシック"/>
      <family val="3"/>
      <charset val="128"/>
      <scheme val="minor"/>
    </font>
    <font>
      <sz val="10"/>
      <color theme="1"/>
      <name val="游ゴシック"/>
      <family val="2"/>
      <charset val="128"/>
      <scheme val="minor"/>
    </font>
    <font>
      <b/>
      <sz val="11"/>
      <color theme="1"/>
      <name val="游ゴシック"/>
      <family val="3"/>
      <charset val="128"/>
      <scheme val="minor"/>
    </font>
    <font>
      <sz val="6"/>
      <color theme="1"/>
      <name val="游ゴシック"/>
      <family val="2"/>
      <charset val="128"/>
      <scheme val="minor"/>
    </font>
    <font>
      <vertAlign val="subscript"/>
      <sz val="11"/>
      <color theme="1"/>
      <name val="游ゴシック"/>
      <family val="3"/>
      <charset val="128"/>
      <scheme val="minor"/>
    </font>
    <font>
      <sz val="9"/>
      <color theme="1"/>
      <name val="游ゴシック"/>
      <family val="3"/>
      <charset val="128"/>
      <scheme val="minor"/>
    </font>
    <font>
      <sz val="9"/>
      <color theme="1"/>
      <name val="游ゴシック"/>
      <family val="2"/>
      <charset val="128"/>
      <scheme val="minor"/>
    </font>
    <font>
      <sz val="11"/>
      <color theme="0"/>
      <name val="游ゴシック"/>
      <family val="2"/>
      <charset val="128"/>
      <scheme val="minor"/>
    </font>
    <font>
      <sz val="11"/>
      <color theme="0"/>
      <name val="游ゴシック"/>
      <family val="3"/>
      <charset val="128"/>
      <scheme val="minor"/>
    </font>
    <font>
      <sz val="11"/>
      <color rgb="FFFF0000"/>
      <name val="游ゴシック"/>
      <family val="2"/>
      <charset val="128"/>
      <scheme val="minor"/>
    </font>
  </fonts>
  <fills count="14">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1"/>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theme="9" tint="0.39997558519241921"/>
        <bgColor indexed="64"/>
      </patternFill>
    </fill>
    <fill>
      <patternFill patternType="solid">
        <fgColor theme="0" tint="-0.499984740745262"/>
        <bgColor indexed="64"/>
      </patternFill>
    </fill>
  </fills>
  <borders count="109">
    <border>
      <left/>
      <right/>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bottom style="thin">
        <color indexed="64"/>
      </bottom>
      <diagonal/>
    </border>
    <border>
      <left style="thin">
        <color indexed="64"/>
      </left>
      <right style="thick">
        <color indexed="64"/>
      </right>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top style="thin">
        <color indexed="64"/>
      </top>
      <bottom style="thick">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n">
        <color rgb="FFFF0000"/>
      </left>
      <right style="thin">
        <color indexed="64"/>
      </right>
      <top style="thin">
        <color rgb="FFFF0000"/>
      </top>
      <bottom style="thin">
        <color rgb="FFFF0000"/>
      </bottom>
      <diagonal/>
    </border>
    <border>
      <left style="thin">
        <color indexed="64"/>
      </left>
      <right style="thin">
        <color indexed="64"/>
      </right>
      <top style="thin">
        <color rgb="FFFF0000"/>
      </top>
      <bottom style="thin">
        <color rgb="FFFF0000"/>
      </bottom>
      <diagonal/>
    </border>
    <border>
      <left style="thin">
        <color indexed="64"/>
      </left>
      <right style="thin">
        <color rgb="FFFF0000"/>
      </right>
      <top style="thin">
        <color rgb="FFFF0000"/>
      </top>
      <bottom style="thin">
        <color rgb="FFFF0000"/>
      </bottom>
      <diagonal/>
    </border>
    <border>
      <left style="thin">
        <color rgb="FFFF0000"/>
      </left>
      <right/>
      <top style="thin">
        <color rgb="FFFF0000"/>
      </top>
      <bottom style="thin">
        <color rgb="FFFF0000"/>
      </bottom>
      <diagonal/>
    </border>
    <border>
      <left/>
      <right/>
      <top style="thin">
        <color rgb="FFFF0000"/>
      </top>
      <bottom style="thin">
        <color rgb="FFFF0000"/>
      </bottom>
      <diagonal/>
    </border>
    <border>
      <left/>
      <right style="thin">
        <color indexed="64"/>
      </right>
      <top style="thin">
        <color rgb="FFFF0000"/>
      </top>
      <bottom style="thin">
        <color rgb="FFFF0000"/>
      </bottom>
      <diagonal/>
    </border>
    <border>
      <left style="thin">
        <color indexed="64"/>
      </left>
      <right/>
      <top style="thin">
        <color rgb="FFFF0000"/>
      </top>
      <bottom style="thin">
        <color rgb="FFFF0000"/>
      </bottom>
      <diagonal/>
    </border>
    <border>
      <left/>
      <right style="thin">
        <color rgb="FFFF0000"/>
      </right>
      <top style="thin">
        <color rgb="FFFF0000"/>
      </top>
      <bottom style="thin">
        <color rgb="FFFF0000"/>
      </bottom>
      <diagonal/>
    </border>
    <border>
      <left/>
      <right style="thin">
        <color theme="1"/>
      </right>
      <top/>
      <bottom style="thin">
        <color indexed="64"/>
      </bottom>
      <diagonal/>
    </border>
    <border>
      <left style="thin">
        <color theme="1"/>
      </left>
      <right/>
      <top/>
      <bottom/>
      <diagonal/>
    </border>
    <border>
      <left style="thin">
        <color theme="1"/>
      </left>
      <right style="thin">
        <color theme="1"/>
      </right>
      <top/>
      <bottom style="thin">
        <color theme="1"/>
      </bottom>
      <diagonal/>
    </border>
    <border>
      <left style="thin">
        <color theme="1"/>
      </left>
      <right style="thin">
        <color theme="1"/>
      </right>
      <top style="thin">
        <color theme="1"/>
      </top>
      <bottom style="thin">
        <color theme="1"/>
      </bottom>
      <diagonal/>
    </border>
    <border>
      <left/>
      <right style="thin">
        <color theme="1"/>
      </right>
      <top/>
      <bottom/>
      <diagonal/>
    </border>
    <border>
      <left style="thin">
        <color theme="1"/>
      </left>
      <right style="thin">
        <color theme="1"/>
      </right>
      <top/>
      <bottom/>
      <diagonal/>
    </border>
    <border>
      <left style="thin">
        <color theme="1"/>
      </left>
      <right/>
      <top style="thin">
        <color indexed="64"/>
      </top>
      <bottom style="thin">
        <color indexed="64"/>
      </bottom>
      <diagonal/>
    </border>
    <border>
      <left/>
      <right style="thin">
        <color theme="1"/>
      </right>
      <top style="thin">
        <color indexed="64"/>
      </top>
      <bottom style="thin">
        <color indexed="64"/>
      </bottom>
      <diagonal/>
    </border>
    <border>
      <left style="thin">
        <color theme="1"/>
      </left>
      <right/>
      <top/>
      <bottom style="thin">
        <color indexed="64"/>
      </bottom>
      <diagonal/>
    </border>
    <border>
      <left style="thin">
        <color theme="1"/>
      </left>
      <right style="thin">
        <color theme="1"/>
      </right>
      <top style="thin">
        <color theme="1"/>
      </top>
      <bottom/>
      <diagonal/>
    </border>
    <border>
      <left style="thin">
        <color theme="1"/>
      </left>
      <right/>
      <top style="thin">
        <color theme="1"/>
      </top>
      <bottom/>
      <diagonal/>
    </border>
    <border>
      <left/>
      <right style="thin">
        <color theme="1"/>
      </right>
      <top style="thin">
        <color theme="1"/>
      </top>
      <bottom/>
      <diagonal/>
    </border>
    <border>
      <left/>
      <right/>
      <top style="thin">
        <color theme="1"/>
      </top>
      <bottom/>
      <diagonal/>
    </border>
    <border>
      <left/>
      <right style="thin">
        <color theme="1"/>
      </right>
      <top style="thin">
        <color theme="1"/>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rgb="FFFF0000"/>
      </left>
      <right style="thin">
        <color rgb="FFFF0000"/>
      </right>
      <top style="thin">
        <color rgb="FFFF0000"/>
      </top>
      <bottom style="thin">
        <color rgb="FFFF0000"/>
      </bottom>
      <diagonal/>
    </border>
    <border>
      <left style="thin">
        <color indexed="64"/>
      </left>
      <right/>
      <top style="thin">
        <color rgb="FFFF0000"/>
      </top>
      <bottom/>
      <diagonal/>
    </border>
    <border>
      <left style="thin">
        <color indexed="64"/>
      </left>
      <right/>
      <top style="thin">
        <color theme="1"/>
      </top>
      <bottom style="thin">
        <color indexed="64"/>
      </bottom>
      <diagonal/>
    </border>
    <border>
      <left style="thin">
        <color indexed="64"/>
      </left>
      <right/>
      <top style="thin">
        <color indexed="64"/>
      </top>
      <bottom style="thin">
        <color theme="1"/>
      </bottom>
      <diagonal/>
    </border>
    <border>
      <left/>
      <right/>
      <top style="thin">
        <color indexed="64"/>
      </top>
      <bottom style="thin">
        <color theme="1"/>
      </bottom>
      <diagonal/>
    </border>
    <border>
      <left/>
      <right style="thin">
        <color indexed="64"/>
      </right>
      <top style="thin">
        <color indexed="64"/>
      </top>
      <bottom style="thin">
        <color theme="1"/>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right/>
      <top style="thin">
        <color rgb="FFFF0000"/>
      </top>
      <bottom/>
      <diagonal/>
    </border>
    <border>
      <left/>
      <right style="thin">
        <color theme="1"/>
      </right>
      <top style="thin">
        <color indexed="64"/>
      </top>
      <bottom style="thin">
        <color theme="1"/>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theme="1"/>
      </left>
      <right/>
      <top style="thin">
        <color theme="1"/>
      </top>
      <bottom style="thin">
        <color indexed="64"/>
      </bottom>
      <diagonal/>
    </border>
    <border>
      <left style="thin">
        <color theme="1"/>
      </left>
      <right/>
      <top style="thin">
        <color theme="1"/>
      </top>
      <bottom style="thin">
        <color rgb="FFFF0000"/>
      </bottom>
      <diagonal/>
    </border>
    <border>
      <left/>
      <right/>
      <top style="thin">
        <color theme="1"/>
      </top>
      <bottom style="thin">
        <color rgb="FFFF0000"/>
      </bottom>
      <diagonal/>
    </border>
    <border>
      <left/>
      <right style="thin">
        <color theme="1"/>
      </right>
      <top style="thin">
        <color theme="1"/>
      </top>
      <bottom style="thin">
        <color rgb="FFFF0000"/>
      </bottom>
      <diagonal/>
    </border>
    <border>
      <left style="thin">
        <color theme="1"/>
      </left>
      <right/>
      <top style="thin">
        <color rgb="FFFF0000"/>
      </top>
      <bottom style="thin">
        <color theme="1"/>
      </bottom>
      <diagonal/>
    </border>
    <border>
      <left/>
      <right/>
      <top style="thin">
        <color rgb="FFFF0000"/>
      </top>
      <bottom style="thin">
        <color theme="1"/>
      </bottom>
      <diagonal/>
    </border>
    <border>
      <left/>
      <right style="thin">
        <color theme="1"/>
      </right>
      <top style="thin">
        <color rgb="FFFF0000"/>
      </top>
      <bottom style="thin">
        <color theme="1"/>
      </bottom>
      <diagonal/>
    </border>
    <border>
      <left style="thin">
        <color rgb="FFFF0000"/>
      </left>
      <right style="thin">
        <color theme="1"/>
      </right>
      <top style="thin">
        <color rgb="FFFF0000"/>
      </top>
      <bottom style="thin">
        <color rgb="FFFF0000"/>
      </bottom>
      <diagonal/>
    </border>
    <border>
      <left style="thin">
        <color theme="1"/>
      </left>
      <right style="thin">
        <color rgb="FFFF0000"/>
      </right>
      <top style="thin">
        <color rgb="FFFF0000"/>
      </top>
      <bottom style="thin">
        <color rgb="FFFF0000"/>
      </bottom>
      <diagonal/>
    </border>
  </borders>
  <cellStyleXfs count="1">
    <xf numFmtId="0" fontId="0" fillId="0" borderId="0">
      <alignment vertical="center"/>
    </xf>
  </cellStyleXfs>
  <cellXfs count="464">
    <xf numFmtId="0" fontId="0" fillId="0" borderId="0" xfId="0">
      <alignment vertical="center"/>
    </xf>
    <xf numFmtId="0" fontId="0" fillId="0" borderId="0" xfId="0" applyAlignment="1">
      <alignment horizontal="center" vertical="center"/>
    </xf>
    <xf numFmtId="0" fontId="0" fillId="0" borderId="11" xfId="0" applyBorder="1">
      <alignment vertical="center"/>
    </xf>
    <xf numFmtId="0" fontId="0" fillId="0" borderId="16" xfId="0" applyBorder="1">
      <alignment vertical="center"/>
    </xf>
    <xf numFmtId="0" fontId="0" fillId="0" borderId="24" xfId="0" applyBorder="1">
      <alignment vertical="center"/>
    </xf>
    <xf numFmtId="0" fontId="0" fillId="0" borderId="28" xfId="0" applyBorder="1">
      <alignment vertical="center"/>
    </xf>
    <xf numFmtId="0" fontId="0" fillId="0" borderId="25" xfId="0" applyBorder="1">
      <alignment vertical="center"/>
    </xf>
    <xf numFmtId="0" fontId="0" fillId="0" borderId="0" xfId="0" applyAlignment="1">
      <alignment horizontal="left" vertical="center"/>
    </xf>
    <xf numFmtId="0" fontId="0" fillId="0" borderId="10" xfId="0" applyBorder="1">
      <alignment vertical="center"/>
    </xf>
    <xf numFmtId="0" fontId="0" fillId="0" borderId="11" xfId="0" applyBorder="1" applyAlignment="1">
      <alignment horizontal="left" vertical="center"/>
    </xf>
    <xf numFmtId="0" fontId="0" fillId="0" borderId="10" xfId="0" applyBorder="1" applyAlignment="1">
      <alignment horizontal="right" vertical="center"/>
    </xf>
    <xf numFmtId="0" fontId="0" fillId="0" borderId="17" xfId="0" applyBorder="1" applyAlignment="1">
      <alignment horizontal="center" vertical="center"/>
    </xf>
    <xf numFmtId="0" fontId="6" fillId="0" borderId="17" xfId="0" applyFont="1" applyBorder="1" applyAlignment="1">
      <alignment horizontal="center" vertical="center"/>
    </xf>
    <xf numFmtId="0" fontId="0" fillId="0" borderId="0" xfId="0" applyAlignment="1">
      <alignment horizontal="right" vertical="center"/>
    </xf>
    <xf numFmtId="0" fontId="0" fillId="0" borderId="12" xfId="0" applyBorder="1" applyAlignment="1">
      <alignment horizontal="left" vertical="center"/>
    </xf>
    <xf numFmtId="0" fontId="0" fillId="2" borderId="17" xfId="0" applyFill="1" applyBorder="1" applyAlignment="1">
      <alignment horizontal="center" vertical="center"/>
    </xf>
    <xf numFmtId="0" fontId="0" fillId="0" borderId="16" xfId="0" applyBorder="1" applyAlignment="1">
      <alignment horizontal="right" vertical="center"/>
    </xf>
    <xf numFmtId="0" fontId="0" fillId="0" borderId="4" xfId="0" applyBorder="1" applyAlignment="1">
      <alignment horizontal="center" vertical="center"/>
    </xf>
    <xf numFmtId="0" fontId="6" fillId="0" borderId="4" xfId="0" applyFont="1" applyBorder="1" applyAlignment="1">
      <alignment horizontal="center" vertical="center"/>
    </xf>
    <xf numFmtId="0" fontId="0" fillId="2" borderId="4" xfId="0" applyFill="1" applyBorder="1">
      <alignment vertical="center"/>
    </xf>
    <xf numFmtId="0" fontId="0" fillId="2" borderId="17" xfId="0" applyFill="1" applyBorder="1">
      <alignment vertical="center"/>
    </xf>
    <xf numFmtId="0" fontId="0" fillId="0" borderId="14" xfId="0" applyBorder="1">
      <alignment vertical="center"/>
    </xf>
    <xf numFmtId="0" fontId="0" fillId="9" borderId="0" xfId="0" applyFill="1">
      <alignment vertical="center"/>
    </xf>
    <xf numFmtId="0" fontId="0" fillId="0" borderId="18" xfId="0" applyBorder="1" applyAlignment="1">
      <alignment horizontal="left" vertical="center"/>
    </xf>
    <xf numFmtId="0" fontId="0" fillId="2" borderId="5" xfId="0" applyFill="1" applyBorder="1">
      <alignment vertical="center"/>
    </xf>
    <xf numFmtId="0" fontId="0" fillId="0" borderId="14" xfId="0" applyBorder="1" applyAlignment="1">
      <alignment horizontal="center" vertical="center"/>
    </xf>
    <xf numFmtId="20" fontId="0" fillId="0" borderId="28" xfId="0" applyNumberFormat="1" applyBorder="1">
      <alignment vertical="center"/>
    </xf>
    <xf numFmtId="0" fontId="0" fillId="0" borderId="11" xfId="0" applyBorder="1" applyAlignment="1">
      <alignment horizontal="center" vertical="center"/>
    </xf>
    <xf numFmtId="0" fontId="0" fillId="3" borderId="5" xfId="0" applyFill="1" applyBorder="1" applyAlignment="1">
      <alignment horizontal="center" vertical="center"/>
    </xf>
    <xf numFmtId="0" fontId="0" fillId="3" borderId="19" xfId="0" applyFill="1" applyBorder="1" applyAlignment="1">
      <alignment horizontal="center" vertical="center"/>
    </xf>
    <xf numFmtId="0" fontId="0" fillId="2" borderId="6" xfId="0" applyFill="1" applyBorder="1">
      <alignment vertical="center"/>
    </xf>
    <xf numFmtId="0" fontId="5" fillId="0" borderId="0" xfId="0" applyFont="1">
      <alignment vertical="center"/>
    </xf>
    <xf numFmtId="46" fontId="0" fillId="0" borderId="0" xfId="0" applyNumberFormat="1">
      <alignment vertical="center"/>
    </xf>
    <xf numFmtId="0" fontId="0" fillId="0" borderId="0" xfId="0" applyAlignment="1">
      <alignment horizontal="center" vertical="center" wrapText="1"/>
    </xf>
    <xf numFmtId="46" fontId="0" fillId="0" borderId="0" xfId="0" applyNumberFormat="1" applyAlignment="1">
      <alignment horizontal="center" vertical="center"/>
    </xf>
    <xf numFmtId="46" fontId="9" fillId="0" borderId="0" xfId="0" applyNumberFormat="1" applyFont="1" applyAlignment="1">
      <alignment horizontal="center" vertical="center"/>
    </xf>
    <xf numFmtId="0" fontId="0" fillId="0" borderId="72" xfId="0" applyBorder="1">
      <alignment vertical="center"/>
    </xf>
    <xf numFmtId="0" fontId="0" fillId="0" borderId="0" xfId="0" applyAlignment="1">
      <alignment vertical="center" wrapText="1"/>
    </xf>
    <xf numFmtId="0" fontId="12" fillId="3" borderId="5" xfId="0" applyFont="1" applyFill="1" applyBorder="1" applyAlignment="1">
      <alignment horizontal="center" vertical="center"/>
    </xf>
    <xf numFmtId="0" fontId="0" fillId="2" borderId="74" xfId="0" applyFill="1" applyBorder="1">
      <alignment vertical="center"/>
    </xf>
    <xf numFmtId="0" fontId="0" fillId="0" borderId="17" xfId="0" applyBorder="1">
      <alignment vertical="center"/>
    </xf>
    <xf numFmtId="0" fontId="0" fillId="0" borderId="94" xfId="0" applyBorder="1">
      <alignment vertical="center"/>
    </xf>
    <xf numFmtId="0" fontId="0" fillId="2" borderId="17" xfId="0" applyFill="1" applyBorder="1" applyAlignment="1">
      <alignment horizontal="center" vertical="center"/>
    </xf>
    <xf numFmtId="0" fontId="0" fillId="3" borderId="2" xfId="0" applyFill="1" applyBorder="1" applyAlignment="1">
      <alignment horizontal="center" vertical="center"/>
    </xf>
    <xf numFmtId="0" fontId="0" fillId="3" borderId="1" xfId="0" applyFill="1" applyBorder="1" applyAlignment="1">
      <alignment horizontal="center" vertical="center"/>
    </xf>
    <xf numFmtId="0" fontId="0" fillId="2" borderId="9" xfId="0" applyFill="1" applyBorder="1" applyAlignment="1">
      <alignment horizontal="center" vertical="center"/>
    </xf>
    <xf numFmtId="0" fontId="0" fillId="2" borderId="8" xfId="0" applyFill="1" applyBorder="1" applyAlignment="1">
      <alignment horizontal="center" vertical="center"/>
    </xf>
    <xf numFmtId="0" fontId="0" fillId="2" borderId="7" xfId="0" applyFill="1" applyBorder="1" applyAlignment="1">
      <alignment horizontal="center" vertical="center"/>
    </xf>
    <xf numFmtId="0" fontId="0" fillId="3" borderId="3" xfId="0" applyFill="1" applyBorder="1" applyAlignment="1">
      <alignment horizontal="center" vertical="center"/>
    </xf>
    <xf numFmtId="0" fontId="0" fillId="0" borderId="0" xfId="0" applyAlignment="1">
      <alignment horizontal="right" vertical="center"/>
    </xf>
    <xf numFmtId="0" fontId="0" fillId="0" borderId="11" xfId="0" applyBorder="1" applyAlignment="1">
      <alignment horizontal="right" vertical="center"/>
    </xf>
    <xf numFmtId="0" fontId="0" fillId="6" borderId="21" xfId="0" applyFill="1" applyBorder="1" applyAlignment="1">
      <alignment horizontal="center" vertical="center"/>
    </xf>
    <xf numFmtId="0" fontId="0" fillId="6" borderId="22" xfId="0" applyFill="1" applyBorder="1" applyAlignment="1">
      <alignment horizontal="center" vertical="center"/>
    </xf>
    <xf numFmtId="0" fontId="0" fillId="6" borderId="29" xfId="0" applyFill="1" applyBorder="1" applyAlignment="1">
      <alignment horizontal="center" vertical="center"/>
    </xf>
    <xf numFmtId="0" fontId="0" fillId="3" borderId="32" xfId="0" applyFill="1" applyBorder="1" applyAlignment="1">
      <alignment horizontal="center" vertical="center"/>
    </xf>
    <xf numFmtId="0" fontId="0" fillId="3" borderId="34" xfId="0" applyFill="1" applyBorder="1" applyAlignment="1">
      <alignment horizontal="center" vertical="center"/>
    </xf>
    <xf numFmtId="0" fontId="0" fillId="5" borderId="35" xfId="0" applyFill="1" applyBorder="1" applyAlignment="1">
      <alignment horizontal="center" vertical="center"/>
    </xf>
    <xf numFmtId="0" fontId="0" fillId="5" borderId="36" xfId="0" applyFill="1" applyBorder="1" applyAlignment="1">
      <alignment horizontal="center" vertical="center"/>
    </xf>
    <xf numFmtId="0" fontId="0" fillId="5" borderId="37" xfId="0" applyFill="1" applyBorder="1" applyAlignment="1">
      <alignment horizontal="center" vertical="center"/>
    </xf>
    <xf numFmtId="0" fontId="0" fillId="5" borderId="38" xfId="0" applyFill="1" applyBorder="1" applyAlignment="1">
      <alignment horizontal="center" vertical="center"/>
    </xf>
    <xf numFmtId="0" fontId="0" fillId="5" borderId="39" xfId="0" applyFill="1" applyBorder="1" applyAlignment="1">
      <alignment horizontal="center" vertical="center"/>
    </xf>
    <xf numFmtId="0" fontId="0" fillId="5" borderId="41" xfId="0" applyFill="1" applyBorder="1" applyAlignment="1">
      <alignment horizontal="center" vertical="center"/>
    </xf>
    <xf numFmtId="0" fontId="0" fillId="0" borderId="0" xfId="0" quotePrefix="1" applyAlignment="1">
      <alignment horizontal="center" vertical="center"/>
    </xf>
    <xf numFmtId="0" fontId="0" fillId="0" borderId="0" xfId="0" applyAlignment="1">
      <alignment horizontal="center" vertical="center"/>
    </xf>
    <xf numFmtId="0" fontId="0" fillId="0" borderId="16" xfId="0" applyBorder="1" applyAlignment="1">
      <alignment horizontal="center" vertical="center"/>
    </xf>
    <xf numFmtId="0" fontId="0" fillId="0" borderId="14" xfId="0" applyBorder="1" applyAlignment="1">
      <alignment horizontal="right" vertical="center"/>
    </xf>
    <xf numFmtId="0" fontId="0" fillId="3" borderId="19" xfId="0" applyFill="1" applyBorder="1" applyAlignment="1">
      <alignment horizontal="center" vertical="center"/>
    </xf>
    <xf numFmtId="0" fontId="0" fillId="3" borderId="27" xfId="0" applyFill="1" applyBorder="1" applyAlignment="1">
      <alignment horizontal="center" vertical="center"/>
    </xf>
    <xf numFmtId="0" fontId="4" fillId="2" borderId="21" xfId="0" applyFont="1" applyFill="1" applyBorder="1" applyAlignment="1">
      <alignment horizontal="center" vertical="center" wrapText="1"/>
    </xf>
    <xf numFmtId="0" fontId="3" fillId="2" borderId="22" xfId="0" applyFont="1" applyFill="1" applyBorder="1" applyAlignment="1">
      <alignment horizontal="center" vertical="center" wrapText="1"/>
    </xf>
    <xf numFmtId="0" fontId="3" fillId="2" borderId="23" xfId="0" applyFont="1" applyFill="1" applyBorder="1" applyAlignment="1">
      <alignment horizontal="center" vertical="center" wrapText="1"/>
    </xf>
    <xf numFmtId="0" fontId="0" fillId="3" borderId="26" xfId="0" applyFill="1" applyBorder="1" applyAlignment="1">
      <alignment horizontal="center" vertical="center"/>
    </xf>
    <xf numFmtId="0" fontId="0" fillId="3" borderId="30" xfId="0" applyFill="1" applyBorder="1" applyAlignment="1">
      <alignment horizontal="center" vertical="center"/>
    </xf>
    <xf numFmtId="0" fontId="0" fillId="3" borderId="31" xfId="0" applyFill="1" applyBorder="1" applyAlignment="1">
      <alignment horizontal="center" vertical="center"/>
    </xf>
    <xf numFmtId="0" fontId="0" fillId="3" borderId="33" xfId="0" applyFill="1" applyBorder="1" applyAlignment="1">
      <alignment horizontal="center" vertical="center"/>
    </xf>
    <xf numFmtId="0" fontId="0" fillId="0" borderId="14" xfId="0" applyBorder="1" applyAlignment="1">
      <alignment horizontal="center" vertical="center"/>
    </xf>
    <xf numFmtId="0" fontId="0" fillId="2" borderId="22" xfId="0" applyFill="1" applyBorder="1" applyAlignment="1">
      <alignment horizontal="center" vertical="center"/>
    </xf>
    <xf numFmtId="0" fontId="0" fillId="2" borderId="23" xfId="0" applyFill="1" applyBorder="1" applyAlignment="1">
      <alignment horizontal="center" vertical="center"/>
    </xf>
    <xf numFmtId="0" fontId="0" fillId="0" borderId="39" xfId="0" quotePrefix="1" applyBorder="1" applyAlignment="1">
      <alignment horizontal="center" vertical="center"/>
    </xf>
    <xf numFmtId="0" fontId="0" fillId="0" borderId="39" xfId="0" applyBorder="1" applyAlignment="1">
      <alignment horizontal="center" vertical="center"/>
    </xf>
    <xf numFmtId="0" fontId="0" fillId="0" borderId="40" xfId="0" applyBorder="1" applyAlignment="1">
      <alignment horizontal="center" vertical="center"/>
    </xf>
    <xf numFmtId="0" fontId="4" fillId="2" borderId="42" xfId="0" applyFont="1" applyFill="1" applyBorder="1" applyAlignment="1">
      <alignment horizontal="center" vertical="center" wrapText="1"/>
    </xf>
    <xf numFmtId="0" fontId="3" fillId="2" borderId="43" xfId="0" applyFont="1" applyFill="1" applyBorder="1" applyAlignment="1">
      <alignment horizontal="center" vertical="center" wrapText="1"/>
    </xf>
    <xf numFmtId="0" fontId="3" fillId="2" borderId="44" xfId="0" applyFont="1" applyFill="1" applyBorder="1" applyAlignment="1">
      <alignment horizontal="center" vertical="center" wrapText="1"/>
    </xf>
    <xf numFmtId="0" fontId="0" fillId="2" borderId="46" xfId="0" applyFill="1" applyBorder="1" applyAlignment="1">
      <alignment horizontal="center" vertical="center"/>
    </xf>
    <xf numFmtId="0" fontId="0" fillId="2" borderId="43" xfId="0" applyFill="1" applyBorder="1" applyAlignment="1">
      <alignment horizontal="center" vertical="center"/>
    </xf>
    <xf numFmtId="0" fontId="0" fillId="2" borderId="44" xfId="0" applyFill="1" applyBorder="1" applyAlignment="1">
      <alignment horizontal="center" vertical="center"/>
    </xf>
    <xf numFmtId="0" fontId="0" fillId="2" borderId="45" xfId="0" applyFill="1" applyBorder="1" applyAlignment="1">
      <alignment horizontal="center" vertical="center"/>
    </xf>
    <xf numFmtId="0" fontId="0" fillId="2" borderId="47" xfId="0" applyFill="1" applyBorder="1" applyAlignment="1">
      <alignment horizontal="center" vertical="center"/>
    </xf>
    <xf numFmtId="0" fontId="0" fillId="3" borderId="52" xfId="0" applyFill="1" applyBorder="1" applyAlignment="1">
      <alignment horizontal="center" vertical="center"/>
    </xf>
    <xf numFmtId="0" fontId="0" fillId="3" borderId="53" xfId="0" applyFill="1" applyBorder="1" applyAlignment="1">
      <alignment horizontal="center" vertical="center"/>
    </xf>
    <xf numFmtId="0" fontId="0" fillId="3" borderId="56" xfId="0" applyFill="1" applyBorder="1" applyAlignment="1">
      <alignment horizontal="center" vertical="center"/>
    </xf>
    <xf numFmtId="0" fontId="0" fillId="3" borderId="54" xfId="0" applyFill="1" applyBorder="1" applyAlignment="1">
      <alignment horizontal="center" vertical="center"/>
    </xf>
    <xf numFmtId="0" fontId="0" fillId="0" borderId="11" xfId="0" applyBorder="1" applyAlignment="1">
      <alignment horizontal="center" vertical="center"/>
    </xf>
    <xf numFmtId="0" fontId="0" fillId="6" borderId="55" xfId="0" applyFill="1" applyBorder="1" applyAlignment="1">
      <alignment horizontal="center" vertical="center"/>
    </xf>
    <xf numFmtId="0" fontId="0" fillId="6" borderId="45" xfId="0" applyFill="1" applyBorder="1" applyAlignment="1">
      <alignment horizontal="center" vertical="center"/>
    </xf>
    <xf numFmtId="0" fontId="0" fillId="6" borderId="47" xfId="0" applyFill="1" applyBorder="1" applyAlignment="1">
      <alignment horizontal="center" vertical="center"/>
    </xf>
    <xf numFmtId="0" fontId="0" fillId="3" borderId="48" xfId="0" applyFill="1" applyBorder="1" applyAlignment="1">
      <alignment horizontal="center" vertical="center"/>
    </xf>
    <xf numFmtId="0" fontId="0" fillId="3" borderId="5" xfId="0" applyFill="1" applyBorder="1" applyAlignment="1">
      <alignment horizontal="center" vertical="center"/>
    </xf>
    <xf numFmtId="0" fontId="0" fillId="3" borderId="49" xfId="0" applyFill="1" applyBorder="1" applyAlignment="1">
      <alignment horizontal="center" vertical="center"/>
    </xf>
    <xf numFmtId="0" fontId="0" fillId="6" borderId="48" xfId="0" applyFill="1" applyBorder="1" applyAlignment="1">
      <alignment horizontal="center" vertical="center"/>
    </xf>
    <xf numFmtId="0" fontId="0" fillId="6" borderId="5" xfId="0" applyFill="1" applyBorder="1" applyAlignment="1">
      <alignment horizontal="center" vertical="center"/>
    </xf>
    <xf numFmtId="0" fontId="0" fillId="6" borderId="49" xfId="0" applyFill="1" applyBorder="1" applyAlignment="1">
      <alignment horizontal="center" vertical="center"/>
    </xf>
    <xf numFmtId="0" fontId="0" fillId="6" borderId="50" xfId="0" applyFill="1" applyBorder="1" applyAlignment="1">
      <alignment horizontal="center" vertical="center"/>
    </xf>
    <xf numFmtId="0" fontId="0" fillId="6" borderId="20" xfId="0" applyFill="1" applyBorder="1" applyAlignment="1">
      <alignment horizontal="center" vertical="center"/>
    </xf>
    <xf numFmtId="0" fontId="0" fillId="6" borderId="51" xfId="0" applyFill="1" applyBorder="1" applyAlignment="1">
      <alignment horizontal="center" vertical="center"/>
    </xf>
    <xf numFmtId="0" fontId="0" fillId="5" borderId="57" xfId="0" applyFill="1" applyBorder="1" applyAlignment="1">
      <alignment horizontal="center" vertical="center"/>
    </xf>
    <xf numFmtId="0" fontId="0" fillId="5" borderId="58" xfId="0" applyFill="1" applyBorder="1" applyAlignment="1">
      <alignment horizontal="center" vertical="center"/>
    </xf>
    <xf numFmtId="0" fontId="0" fillId="5" borderId="59" xfId="0" applyFill="1" applyBorder="1" applyAlignment="1">
      <alignment horizontal="center" vertical="center"/>
    </xf>
    <xf numFmtId="0" fontId="0" fillId="5" borderId="60" xfId="0" applyFill="1" applyBorder="1" applyAlignment="1">
      <alignment horizontal="center" vertical="center"/>
    </xf>
    <xf numFmtId="0" fontId="0" fillId="5" borderId="61" xfId="0" applyFill="1" applyBorder="1" applyAlignment="1">
      <alignment horizontal="center" vertical="center"/>
    </xf>
    <xf numFmtId="0" fontId="0" fillId="5" borderId="62" xfId="0" applyFill="1" applyBorder="1" applyAlignment="1">
      <alignment horizontal="center" vertical="center"/>
    </xf>
    <xf numFmtId="0" fontId="0" fillId="8" borderId="55" xfId="0" applyFill="1" applyBorder="1" applyAlignment="1">
      <alignment horizontal="center" vertical="center"/>
    </xf>
    <xf numFmtId="0" fontId="0" fillId="8" borderId="45" xfId="0" applyFill="1" applyBorder="1" applyAlignment="1">
      <alignment horizontal="center" vertical="center"/>
    </xf>
    <xf numFmtId="0" fontId="0" fillId="8" borderId="47" xfId="0" applyFill="1" applyBorder="1" applyAlignment="1">
      <alignment horizontal="center" vertical="center"/>
    </xf>
    <xf numFmtId="0" fontId="3" fillId="0" borderId="14" xfId="0" applyFont="1" applyBorder="1" applyAlignment="1">
      <alignment horizontal="center" vertical="center"/>
    </xf>
    <xf numFmtId="0" fontId="4" fillId="2" borderId="9"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0" fillId="8" borderId="48" xfId="0" applyFill="1" applyBorder="1" applyAlignment="1">
      <alignment horizontal="center" vertical="center"/>
    </xf>
    <xf numFmtId="0" fontId="0" fillId="8" borderId="5" xfId="0" applyFill="1" applyBorder="1" applyAlignment="1">
      <alignment horizontal="center" vertical="center"/>
    </xf>
    <xf numFmtId="0" fontId="0" fillId="8" borderId="49" xfId="0" applyFill="1" applyBorder="1" applyAlignment="1">
      <alignment horizontal="center" vertical="center"/>
    </xf>
    <xf numFmtId="0" fontId="0" fillId="8" borderId="50" xfId="0" applyFill="1" applyBorder="1" applyAlignment="1">
      <alignment horizontal="center" vertical="center"/>
    </xf>
    <xf numFmtId="0" fontId="0" fillId="8" borderId="20" xfId="0" applyFill="1" applyBorder="1" applyAlignment="1">
      <alignment horizontal="center" vertical="center"/>
    </xf>
    <xf numFmtId="0" fontId="0" fillId="8" borderId="51" xfId="0" applyFill="1" applyBorder="1" applyAlignment="1">
      <alignment horizontal="center" vertical="center"/>
    </xf>
    <xf numFmtId="0" fontId="3" fillId="0" borderId="0" xfId="0" applyFont="1" applyAlignment="1">
      <alignment horizontal="center" vertical="center"/>
    </xf>
    <xf numFmtId="0" fontId="0" fillId="2" borderId="5" xfId="0" applyFill="1" applyBorder="1" applyAlignment="1">
      <alignment horizontal="center" vertical="center"/>
    </xf>
    <xf numFmtId="0" fontId="0" fillId="2" borderId="4" xfId="0" applyFill="1" applyBorder="1" applyAlignment="1">
      <alignment horizontal="center" vertical="center"/>
    </xf>
    <xf numFmtId="0" fontId="0" fillId="2" borderId="6" xfId="0" applyFill="1" applyBorder="1" applyAlignment="1">
      <alignment horizontal="center" vertical="center"/>
    </xf>
    <xf numFmtId="0" fontId="0" fillId="0" borderId="12" xfId="0" applyBorder="1" applyAlignment="1">
      <alignment horizontal="left" vertical="center"/>
    </xf>
    <xf numFmtId="0" fontId="0" fillId="0" borderId="11" xfId="0" applyBorder="1" applyAlignment="1">
      <alignment horizontal="left" vertical="center"/>
    </xf>
    <xf numFmtId="0" fontId="0" fillId="0" borderId="10" xfId="0" applyBorder="1" applyAlignment="1">
      <alignment horizontal="right" vertical="center"/>
    </xf>
    <xf numFmtId="0" fontId="0" fillId="3" borderId="4" xfId="0" applyFill="1" applyBorder="1" applyAlignment="1">
      <alignment horizontal="center" vertical="center"/>
    </xf>
    <xf numFmtId="0" fontId="0" fillId="3" borderId="17" xfId="0" applyFill="1" applyBorder="1" applyAlignment="1">
      <alignment horizontal="center" vertical="center"/>
    </xf>
    <xf numFmtId="0" fontId="0" fillId="3" borderId="6" xfId="0" applyFill="1" applyBorder="1" applyAlignment="1">
      <alignment horizontal="center" vertical="center"/>
    </xf>
    <xf numFmtId="0" fontId="0" fillId="4" borderId="4" xfId="0" applyFill="1" applyBorder="1" applyAlignment="1">
      <alignment horizontal="center" vertical="center"/>
    </xf>
    <xf numFmtId="0" fontId="0" fillId="4" borderId="17" xfId="0" applyFill="1" applyBorder="1" applyAlignment="1">
      <alignment horizontal="center" vertical="center"/>
    </xf>
    <xf numFmtId="0" fontId="0" fillId="4" borderId="6" xfId="0" applyFill="1" applyBorder="1" applyAlignment="1">
      <alignment horizontal="center" vertical="center"/>
    </xf>
    <xf numFmtId="0" fontId="0" fillId="0" borderId="18" xfId="0" applyBorder="1" applyAlignment="1">
      <alignment horizontal="left" vertical="center"/>
    </xf>
    <xf numFmtId="0" fontId="0" fillId="0" borderId="0" xfId="0" applyAlignment="1">
      <alignment horizontal="left" vertical="center"/>
    </xf>
    <xf numFmtId="0" fontId="0" fillId="0" borderId="16" xfId="0" applyBorder="1" applyAlignment="1">
      <alignment horizontal="right" vertical="center"/>
    </xf>
    <xf numFmtId="0" fontId="4" fillId="0" borderId="11" xfId="0" applyFont="1" applyBorder="1" applyAlignment="1">
      <alignment horizontal="center" vertical="center"/>
    </xf>
    <xf numFmtId="0" fontId="0" fillId="0" borderId="12" xfId="0" applyBorder="1" applyAlignment="1">
      <alignment horizontal="center" vertical="center"/>
    </xf>
    <xf numFmtId="0" fontId="0" fillId="0" borderId="10" xfId="0" applyBorder="1" applyAlignment="1">
      <alignment horizontal="center" vertical="center"/>
    </xf>
    <xf numFmtId="0" fontId="0" fillId="2" borderId="17" xfId="0" applyFill="1" applyBorder="1" applyAlignment="1">
      <alignment horizontal="right" vertical="center"/>
    </xf>
    <xf numFmtId="0" fontId="0" fillId="2" borderId="6" xfId="0" applyFill="1" applyBorder="1" applyAlignment="1">
      <alignment horizontal="right" vertical="center"/>
    </xf>
    <xf numFmtId="0" fontId="0" fillId="2" borderId="5" xfId="0" applyFill="1" applyBorder="1" applyAlignment="1">
      <alignment horizontal="right" vertical="center"/>
    </xf>
    <xf numFmtId="0" fontId="10" fillId="13" borderId="4" xfId="0" applyFont="1" applyFill="1" applyBorder="1" applyAlignment="1">
      <alignment horizontal="center" vertical="center"/>
    </xf>
    <xf numFmtId="0" fontId="11" fillId="13" borderId="17" xfId="0" applyFont="1" applyFill="1" applyBorder="1" applyAlignment="1">
      <alignment horizontal="center" vertical="center"/>
    </xf>
    <xf numFmtId="0" fontId="11" fillId="13" borderId="6" xfId="0" applyFont="1" applyFill="1" applyBorder="1" applyAlignment="1">
      <alignment horizontal="center" vertical="center"/>
    </xf>
    <xf numFmtId="0" fontId="2" fillId="6" borderId="15" xfId="0" applyFont="1" applyFill="1" applyBorder="1" applyAlignment="1">
      <alignment horizontal="center" vertical="center"/>
    </xf>
    <xf numFmtId="0" fontId="0" fillId="6" borderId="14" xfId="0" applyFill="1" applyBorder="1" applyAlignment="1">
      <alignment horizontal="center" vertical="center"/>
    </xf>
    <xf numFmtId="0" fontId="0" fillId="6" borderId="13" xfId="0" applyFill="1" applyBorder="1" applyAlignment="1">
      <alignment horizontal="center" vertical="center"/>
    </xf>
    <xf numFmtId="0" fontId="0" fillId="6" borderId="18" xfId="0" applyFill="1" applyBorder="1" applyAlignment="1">
      <alignment horizontal="center" vertical="center"/>
    </xf>
    <xf numFmtId="0" fontId="0" fillId="6" borderId="0" xfId="0" applyFill="1" applyAlignment="1">
      <alignment horizontal="center" vertical="center"/>
    </xf>
    <xf numFmtId="0" fontId="0" fillId="6" borderId="16" xfId="0" applyFill="1" applyBorder="1" applyAlignment="1">
      <alignment horizontal="center" vertical="center"/>
    </xf>
    <xf numFmtId="0" fontId="0" fillId="6" borderId="12" xfId="0" applyFill="1" applyBorder="1" applyAlignment="1">
      <alignment horizontal="center" vertical="center"/>
    </xf>
    <xf numFmtId="0" fontId="0" fillId="6" borderId="11" xfId="0" applyFill="1" applyBorder="1" applyAlignment="1">
      <alignment horizontal="center" vertical="center"/>
    </xf>
    <xf numFmtId="0" fontId="0" fillId="6" borderId="10" xfId="0" applyFill="1" applyBorder="1" applyAlignment="1">
      <alignment horizontal="center" vertical="center"/>
    </xf>
    <xf numFmtId="0" fontId="4" fillId="3" borderId="5" xfId="0" applyFont="1" applyFill="1" applyBorder="1" applyAlignment="1">
      <alignment horizontal="center" vertical="center"/>
    </xf>
    <xf numFmtId="0" fontId="0" fillId="3" borderId="15" xfId="0" applyFill="1" applyBorder="1" applyAlignment="1">
      <alignment horizontal="center" vertical="center"/>
    </xf>
    <xf numFmtId="0" fontId="0" fillId="3" borderId="13" xfId="0" applyFill="1" applyBorder="1" applyAlignment="1">
      <alignment horizontal="center" vertical="center"/>
    </xf>
    <xf numFmtId="0" fontId="0" fillId="3" borderId="12" xfId="0" applyFill="1" applyBorder="1" applyAlignment="1">
      <alignment horizontal="center" vertical="center"/>
    </xf>
    <xf numFmtId="0" fontId="0" fillId="3" borderId="10" xfId="0" applyFill="1" applyBorder="1" applyAlignment="1">
      <alignment horizontal="center" vertical="center"/>
    </xf>
    <xf numFmtId="0" fontId="4" fillId="3" borderId="5"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0" fillId="3" borderId="15" xfId="0" applyFill="1" applyBorder="1" applyAlignment="1">
      <alignment horizontal="center" vertical="center" wrapText="1"/>
    </xf>
    <xf numFmtId="0" fontId="0" fillId="3" borderId="14" xfId="0" applyFill="1" applyBorder="1" applyAlignment="1">
      <alignment horizontal="center" vertical="center" wrapText="1"/>
    </xf>
    <xf numFmtId="0" fontId="0" fillId="3" borderId="13" xfId="0" applyFill="1" applyBorder="1" applyAlignment="1">
      <alignment horizontal="center" vertical="center" wrapText="1"/>
    </xf>
    <xf numFmtId="0" fontId="0" fillId="3" borderId="12" xfId="0" applyFill="1" applyBorder="1" applyAlignment="1">
      <alignment horizontal="center" vertical="center" wrapText="1"/>
    </xf>
    <xf numFmtId="0" fontId="0" fillId="3" borderId="11" xfId="0" applyFill="1" applyBorder="1" applyAlignment="1">
      <alignment horizontal="center" vertical="center" wrapText="1"/>
    </xf>
    <xf numFmtId="0" fontId="0" fillId="3" borderId="10" xfId="0" applyFill="1" applyBorder="1" applyAlignment="1">
      <alignment horizontal="center" vertical="center" wrapText="1"/>
    </xf>
    <xf numFmtId="0" fontId="2" fillId="2" borderId="5" xfId="0" applyFont="1" applyFill="1" applyBorder="1" applyAlignment="1">
      <alignment horizontal="center" vertical="center"/>
    </xf>
    <xf numFmtId="0" fontId="2" fillId="7" borderId="5" xfId="0" applyFont="1" applyFill="1" applyBorder="1" applyAlignment="1">
      <alignment horizontal="center" vertical="center"/>
    </xf>
    <xf numFmtId="0" fontId="0" fillId="3" borderId="5" xfId="0" applyFill="1" applyBorder="1" applyAlignment="1">
      <alignment horizontal="center" vertical="center" wrapText="1"/>
    </xf>
    <xf numFmtId="0" fontId="0" fillId="5" borderId="85" xfId="0" applyFill="1" applyBorder="1" applyAlignment="1">
      <alignment horizontal="center" vertical="center"/>
    </xf>
    <xf numFmtId="0" fontId="0" fillId="5" borderId="86" xfId="0" applyFill="1" applyBorder="1" applyAlignment="1">
      <alignment horizontal="center" vertical="center"/>
    </xf>
    <xf numFmtId="0" fontId="0" fillId="5" borderId="84" xfId="0" applyFill="1" applyBorder="1" applyAlignment="1">
      <alignment horizontal="center" vertical="center"/>
    </xf>
    <xf numFmtId="0" fontId="0" fillId="4" borderId="74" xfId="0" applyFill="1" applyBorder="1" applyAlignment="1">
      <alignment horizontal="center" vertical="center" wrapText="1"/>
    </xf>
    <xf numFmtId="0" fontId="0" fillId="4" borderId="74" xfId="0" applyFill="1" applyBorder="1" applyAlignment="1">
      <alignment horizontal="center" vertical="center"/>
    </xf>
    <xf numFmtId="46" fontId="0" fillId="4" borderId="81" xfId="0" applyNumberFormat="1" applyFill="1" applyBorder="1" applyAlignment="1">
      <alignment horizontal="center" vertical="center"/>
    </xf>
    <xf numFmtId="46" fontId="0" fillId="4" borderId="83" xfId="0" applyNumberFormat="1" applyFill="1" applyBorder="1" applyAlignment="1">
      <alignment horizontal="center" vertical="center"/>
    </xf>
    <xf numFmtId="46" fontId="0" fillId="4" borderId="72" xfId="0" applyNumberFormat="1" applyFill="1" applyBorder="1" applyAlignment="1">
      <alignment horizontal="center" vertical="center"/>
    </xf>
    <xf numFmtId="46" fontId="0" fillId="4" borderId="0" xfId="0" applyNumberFormat="1" applyFill="1" applyAlignment="1">
      <alignment horizontal="center" vertical="center"/>
    </xf>
    <xf numFmtId="46" fontId="3" fillId="4" borderId="15" xfId="0" applyNumberFormat="1" applyFont="1" applyFill="1" applyBorder="1" applyAlignment="1">
      <alignment horizontal="center" vertical="center" wrapText="1"/>
    </xf>
    <xf numFmtId="46" fontId="3" fillId="4" borderId="14" xfId="0" applyNumberFormat="1" applyFont="1" applyFill="1" applyBorder="1" applyAlignment="1">
      <alignment horizontal="center" vertical="center" wrapText="1"/>
    </xf>
    <xf numFmtId="46" fontId="3" fillId="4" borderId="13" xfId="0" applyNumberFormat="1" applyFont="1" applyFill="1" applyBorder="1" applyAlignment="1">
      <alignment horizontal="center" vertical="center" wrapText="1"/>
    </xf>
    <xf numFmtId="46" fontId="3" fillId="4" borderId="18" xfId="0" applyNumberFormat="1" applyFont="1" applyFill="1" applyBorder="1" applyAlignment="1">
      <alignment horizontal="center" vertical="center" wrapText="1"/>
    </xf>
    <xf numFmtId="46" fontId="3" fillId="4" borderId="0" xfId="0" applyNumberFormat="1" applyFont="1" applyFill="1" applyAlignment="1">
      <alignment horizontal="center" vertical="center" wrapText="1"/>
    </xf>
    <xf numFmtId="46" fontId="3" fillId="4" borderId="16" xfId="0" applyNumberFormat="1" applyFont="1" applyFill="1" applyBorder="1" applyAlignment="1">
      <alignment horizontal="center" vertical="center" wrapText="1"/>
    </xf>
    <xf numFmtId="0" fontId="0" fillId="4" borderId="15" xfId="0" applyFill="1" applyBorder="1" applyAlignment="1">
      <alignment horizontal="center" vertical="center"/>
    </xf>
    <xf numFmtId="0" fontId="0" fillId="4" borderId="13" xfId="0" applyFill="1" applyBorder="1" applyAlignment="1">
      <alignment horizontal="center" vertical="center"/>
    </xf>
    <xf numFmtId="0" fontId="0" fillId="4" borderId="18" xfId="0" applyFill="1" applyBorder="1" applyAlignment="1">
      <alignment horizontal="center" vertical="center"/>
    </xf>
    <xf numFmtId="0" fontId="0" fillId="4" borderId="16" xfId="0" applyFill="1" applyBorder="1" applyAlignment="1">
      <alignment horizontal="center" vertical="center"/>
    </xf>
    <xf numFmtId="0" fontId="0" fillId="4" borderId="15" xfId="0" applyFill="1" applyBorder="1" applyAlignment="1">
      <alignment horizontal="left" vertical="center" wrapText="1"/>
    </xf>
    <xf numFmtId="0" fontId="0" fillId="4" borderId="14" xfId="0" applyFill="1" applyBorder="1" applyAlignment="1">
      <alignment horizontal="left" vertical="center" wrapText="1"/>
    </xf>
    <xf numFmtId="0" fontId="0" fillId="4" borderId="13" xfId="0" applyFill="1" applyBorder="1" applyAlignment="1">
      <alignment horizontal="left" vertical="center" wrapText="1"/>
    </xf>
    <xf numFmtId="0" fontId="0" fillId="4" borderId="18" xfId="0" applyFill="1" applyBorder="1" applyAlignment="1">
      <alignment horizontal="left" vertical="center" wrapText="1"/>
    </xf>
    <xf numFmtId="0" fontId="0" fillId="4" borderId="0" xfId="0" applyFill="1" applyAlignment="1">
      <alignment horizontal="left" vertical="center" wrapText="1"/>
    </xf>
    <xf numFmtId="0" fontId="0" fillId="4" borderId="16" xfId="0" applyFill="1" applyBorder="1" applyAlignment="1">
      <alignment horizontal="left" vertical="center" wrapText="1"/>
    </xf>
    <xf numFmtId="46" fontId="0" fillId="11" borderId="17" xfId="0" applyNumberFormat="1" applyFill="1" applyBorder="1" applyAlignment="1">
      <alignment horizontal="center" vertical="center"/>
    </xf>
    <xf numFmtId="46" fontId="0" fillId="11" borderId="6" xfId="0" applyNumberFormat="1" applyFill="1" applyBorder="1" applyAlignment="1">
      <alignment horizontal="center" vertical="center"/>
    </xf>
    <xf numFmtId="46" fontId="0" fillId="11" borderId="4" xfId="0" applyNumberFormat="1" applyFill="1" applyBorder="1" applyAlignment="1">
      <alignment horizontal="center" vertical="center"/>
    </xf>
    <xf numFmtId="0" fontId="0" fillId="11" borderId="4" xfId="0" applyFill="1" applyBorder="1" applyAlignment="1">
      <alignment horizontal="center" vertical="center"/>
    </xf>
    <xf numFmtId="0" fontId="0" fillId="11" borderId="6" xfId="0" applyFill="1" applyBorder="1" applyAlignment="1">
      <alignment horizontal="center" vertical="center"/>
    </xf>
    <xf numFmtId="0" fontId="0" fillId="11" borderId="4" xfId="0" applyFill="1" applyBorder="1" applyAlignment="1">
      <alignment horizontal="left" vertical="center" wrapText="1"/>
    </xf>
    <xf numFmtId="0" fontId="0" fillId="11" borderId="17" xfId="0" applyFill="1" applyBorder="1" applyAlignment="1">
      <alignment horizontal="left" vertical="center" wrapText="1"/>
    </xf>
    <xf numFmtId="0" fontId="0" fillId="11" borderId="6" xfId="0" applyFill="1" applyBorder="1" applyAlignment="1">
      <alignment horizontal="left" vertical="center" wrapText="1"/>
    </xf>
    <xf numFmtId="46" fontId="0" fillId="4" borderId="84" xfId="0" applyNumberFormat="1" applyFill="1" applyBorder="1" applyAlignment="1">
      <alignment horizontal="center" vertical="center"/>
    </xf>
    <xf numFmtId="46" fontId="0" fillId="4" borderId="74" xfId="0" applyNumberFormat="1" applyFill="1" applyBorder="1" applyAlignment="1">
      <alignment horizontal="center" vertical="center"/>
    </xf>
    <xf numFmtId="46" fontId="8" fillId="4" borderId="74" xfId="0" applyNumberFormat="1" applyFont="1" applyFill="1" applyBorder="1" applyAlignment="1">
      <alignment horizontal="center" vertical="center"/>
    </xf>
    <xf numFmtId="46" fontId="8" fillId="4" borderId="80" xfId="0" applyNumberFormat="1" applyFont="1" applyFill="1" applyBorder="1" applyAlignment="1">
      <alignment horizontal="center" vertical="center"/>
    </xf>
    <xf numFmtId="0" fontId="0" fillId="4" borderId="80" xfId="0" applyFill="1" applyBorder="1" applyAlignment="1">
      <alignment horizontal="center" vertical="center"/>
    </xf>
    <xf numFmtId="0" fontId="0" fillId="4" borderId="74" xfId="0" applyFill="1" applyBorder="1" applyAlignment="1">
      <alignment horizontal="left" vertical="center" wrapText="1"/>
    </xf>
    <xf numFmtId="0" fontId="0" fillId="4" borderId="74" xfId="0" applyFill="1" applyBorder="1" applyAlignment="1">
      <alignment horizontal="left" vertical="center"/>
    </xf>
    <xf numFmtId="0" fontId="0" fillId="4" borderId="80" xfId="0" applyFill="1" applyBorder="1" applyAlignment="1">
      <alignment horizontal="left" vertical="center" wrapText="1"/>
    </xf>
    <xf numFmtId="0" fontId="0" fillId="4" borderId="80" xfId="0" applyFill="1" applyBorder="1" applyAlignment="1">
      <alignment horizontal="left" vertical="center"/>
    </xf>
    <xf numFmtId="46" fontId="3" fillId="4" borderId="74" xfId="0" applyNumberFormat="1" applyFont="1" applyFill="1" applyBorder="1" applyAlignment="1">
      <alignment horizontal="center" vertical="center"/>
    </xf>
    <xf numFmtId="0" fontId="0" fillId="10" borderId="85" xfId="0" applyFill="1" applyBorder="1" applyAlignment="1">
      <alignment horizontal="center" vertical="center"/>
    </xf>
    <xf numFmtId="0" fontId="0" fillId="10" borderId="86" xfId="0" applyFill="1" applyBorder="1" applyAlignment="1">
      <alignment horizontal="center" vertical="center"/>
    </xf>
    <xf numFmtId="0" fontId="0" fillId="10" borderId="84" xfId="0" applyFill="1" applyBorder="1" applyAlignment="1">
      <alignment horizontal="center" vertical="center"/>
    </xf>
    <xf numFmtId="0" fontId="0" fillId="10" borderId="80" xfId="0" applyFill="1" applyBorder="1" applyAlignment="1">
      <alignment horizontal="center" vertical="center"/>
    </xf>
    <xf numFmtId="0" fontId="0" fillId="10" borderId="81" xfId="0" applyFill="1" applyBorder="1" applyAlignment="1">
      <alignment horizontal="center" vertical="center"/>
    </xf>
    <xf numFmtId="0" fontId="0" fillId="10" borderId="82" xfId="0" applyFill="1" applyBorder="1" applyAlignment="1">
      <alignment horizontal="center" vertical="center"/>
    </xf>
    <xf numFmtId="0" fontId="0" fillId="10" borderId="83" xfId="0" applyFill="1" applyBorder="1" applyAlignment="1">
      <alignment horizontal="center" vertical="center"/>
    </xf>
    <xf numFmtId="0" fontId="0" fillId="10" borderId="80" xfId="0" applyFill="1" applyBorder="1" applyAlignment="1">
      <alignment horizontal="center" vertical="center" wrapText="1"/>
    </xf>
    <xf numFmtId="46" fontId="3" fillId="4" borderId="74" xfId="0" applyNumberFormat="1" applyFont="1" applyFill="1" applyBorder="1" applyAlignment="1">
      <alignment horizontal="center" vertical="center" wrapText="1"/>
    </xf>
    <xf numFmtId="46" fontId="0" fillId="4" borderId="15" xfId="0" applyNumberFormat="1" applyFill="1" applyBorder="1" applyAlignment="1">
      <alignment horizontal="center" vertical="center"/>
    </xf>
    <xf numFmtId="46" fontId="0" fillId="4" borderId="13" xfId="0" applyNumberFormat="1" applyFill="1" applyBorder="1" applyAlignment="1">
      <alignment horizontal="center" vertical="center"/>
    </xf>
    <xf numFmtId="46" fontId="0" fillId="4" borderId="18" xfId="0" applyNumberFormat="1" applyFill="1" applyBorder="1" applyAlignment="1">
      <alignment horizontal="center" vertical="center"/>
    </xf>
    <xf numFmtId="46" fontId="0" fillId="4" borderId="16" xfId="0" applyNumberFormat="1" applyFill="1" applyBorder="1" applyAlignment="1">
      <alignment horizontal="center" vertical="center"/>
    </xf>
    <xf numFmtId="46" fontId="0" fillId="4" borderId="12" xfId="0" applyNumberFormat="1" applyFill="1" applyBorder="1" applyAlignment="1">
      <alignment horizontal="center" vertical="center"/>
    </xf>
    <xf numFmtId="46" fontId="0" fillId="4" borderId="10" xfId="0" applyNumberFormat="1" applyFill="1" applyBorder="1" applyAlignment="1">
      <alignment horizontal="center" vertical="center"/>
    </xf>
    <xf numFmtId="46" fontId="2" fillId="4" borderId="5" xfId="0" applyNumberFormat="1" applyFont="1" applyFill="1" applyBorder="1" applyAlignment="1">
      <alignment horizontal="center" vertical="center"/>
    </xf>
    <xf numFmtId="0" fontId="0" fillId="4" borderId="5" xfId="0" applyFill="1" applyBorder="1" applyAlignment="1">
      <alignment horizontal="center" vertical="center"/>
    </xf>
    <xf numFmtId="0" fontId="0" fillId="4" borderId="5" xfId="0" applyFill="1" applyBorder="1" applyAlignment="1">
      <alignment horizontal="left" vertical="center" wrapText="1"/>
    </xf>
    <xf numFmtId="0" fontId="0" fillId="4" borderId="20" xfId="0" applyFill="1" applyBorder="1" applyAlignment="1">
      <alignment horizontal="center" vertical="center"/>
    </xf>
    <xf numFmtId="0" fontId="0" fillId="4" borderId="20" xfId="0" applyFill="1" applyBorder="1" applyAlignment="1">
      <alignment horizontal="center" vertical="center" wrapText="1"/>
    </xf>
    <xf numFmtId="0" fontId="0" fillId="4" borderId="5" xfId="0" applyFill="1" applyBorder="1" applyAlignment="1">
      <alignment horizontal="center" vertical="center" wrapText="1"/>
    </xf>
    <xf numFmtId="46" fontId="2" fillId="4" borderId="4" xfId="0" applyNumberFormat="1" applyFont="1" applyFill="1" applyBorder="1" applyAlignment="1">
      <alignment horizontal="center" vertical="center"/>
    </xf>
    <xf numFmtId="46" fontId="2" fillId="4" borderId="6" xfId="0" applyNumberFormat="1" applyFont="1" applyFill="1" applyBorder="1" applyAlignment="1">
      <alignment horizontal="center" vertical="center"/>
    </xf>
    <xf numFmtId="46" fontId="2" fillId="4" borderId="17" xfId="0" applyNumberFormat="1" applyFont="1" applyFill="1" applyBorder="1" applyAlignment="1">
      <alignment horizontal="center" vertical="center"/>
    </xf>
    <xf numFmtId="0" fontId="2" fillId="4" borderId="5" xfId="0" applyFont="1" applyFill="1" applyBorder="1" applyAlignment="1">
      <alignment horizontal="center" vertical="center"/>
    </xf>
    <xf numFmtId="0" fontId="0" fillId="4" borderId="5" xfId="0" applyFill="1" applyBorder="1" applyAlignment="1">
      <alignment vertical="center" wrapText="1"/>
    </xf>
    <xf numFmtId="46" fontId="0" fillId="4" borderId="17" xfId="0" applyNumberFormat="1" applyFill="1" applyBorder="1" applyAlignment="1">
      <alignment horizontal="center" vertical="center"/>
    </xf>
    <xf numFmtId="46" fontId="0" fillId="4" borderId="6" xfId="0" applyNumberFormat="1" applyFill="1" applyBorder="1" applyAlignment="1">
      <alignment horizontal="center" vertical="center"/>
    </xf>
    <xf numFmtId="0" fontId="2" fillId="4" borderId="4" xfId="0" applyFont="1" applyFill="1" applyBorder="1" applyAlignment="1">
      <alignment horizontal="left" vertical="center" wrapText="1"/>
    </xf>
    <xf numFmtId="0" fontId="2" fillId="4" borderId="17" xfId="0" applyFont="1" applyFill="1" applyBorder="1" applyAlignment="1">
      <alignment horizontal="left" vertical="center" wrapText="1"/>
    </xf>
    <xf numFmtId="0" fontId="2" fillId="4" borderId="6" xfId="0" applyFont="1" applyFill="1" applyBorder="1" applyAlignment="1">
      <alignment horizontal="left" vertical="center" wrapText="1"/>
    </xf>
    <xf numFmtId="46" fontId="0" fillId="4" borderId="4" xfId="0" applyNumberFormat="1" applyFill="1" applyBorder="1" applyAlignment="1">
      <alignment horizontal="center" vertical="center"/>
    </xf>
    <xf numFmtId="46" fontId="2" fillId="11" borderId="4" xfId="0" applyNumberFormat="1" applyFont="1" applyFill="1" applyBorder="1" applyAlignment="1">
      <alignment horizontal="center" vertical="center"/>
    </xf>
    <xf numFmtId="46" fontId="2" fillId="11" borderId="17" xfId="0" applyNumberFormat="1" applyFont="1" applyFill="1" applyBorder="1" applyAlignment="1">
      <alignment horizontal="center" vertical="center"/>
    </xf>
    <xf numFmtId="46" fontId="2" fillId="11" borderId="6" xfId="0" applyNumberFormat="1" applyFont="1" applyFill="1" applyBorder="1" applyAlignment="1">
      <alignment horizontal="center" vertical="center"/>
    </xf>
    <xf numFmtId="46" fontId="3" fillId="4" borderId="5" xfId="0" applyNumberFormat="1" applyFont="1" applyFill="1" applyBorder="1" applyAlignment="1">
      <alignment horizontal="center" vertical="center"/>
    </xf>
    <xf numFmtId="0" fontId="2" fillId="4" borderId="5" xfId="0" applyFont="1" applyFill="1" applyBorder="1" applyAlignment="1">
      <alignment horizontal="left" vertical="center" wrapText="1"/>
    </xf>
    <xf numFmtId="0" fontId="2" fillId="4" borderId="5" xfId="0" applyFont="1" applyFill="1" applyBorder="1" applyAlignment="1">
      <alignment horizontal="left" vertical="center"/>
    </xf>
    <xf numFmtId="0" fontId="2" fillId="5" borderId="5" xfId="0" applyFont="1" applyFill="1" applyBorder="1" applyAlignment="1">
      <alignment horizontal="center" vertical="center"/>
    </xf>
    <xf numFmtId="46" fontId="2" fillId="5" borderId="4" xfId="0" applyNumberFormat="1" applyFont="1" applyFill="1" applyBorder="1" applyAlignment="1">
      <alignment horizontal="center" vertical="center"/>
    </xf>
    <xf numFmtId="46" fontId="2" fillId="5" borderId="17" xfId="0" applyNumberFormat="1" applyFont="1" applyFill="1" applyBorder="1" applyAlignment="1">
      <alignment horizontal="center" vertical="center"/>
    </xf>
    <xf numFmtId="46" fontId="2" fillId="5" borderId="6" xfId="0" applyNumberFormat="1" applyFont="1" applyFill="1" applyBorder="1" applyAlignment="1">
      <alignment horizontal="center" vertical="center"/>
    </xf>
    <xf numFmtId="0" fontId="2" fillId="5" borderId="4" xfId="0" applyFont="1" applyFill="1" applyBorder="1" applyAlignment="1">
      <alignment horizontal="center" vertical="center"/>
    </xf>
    <xf numFmtId="0" fontId="2" fillId="5" borderId="6" xfId="0" applyFont="1" applyFill="1" applyBorder="1" applyAlignment="1">
      <alignment horizontal="center" vertical="center"/>
    </xf>
    <xf numFmtId="0" fontId="2" fillId="5" borderId="5" xfId="0" applyFont="1" applyFill="1" applyBorder="1" applyAlignment="1">
      <alignment horizontal="left" vertical="center"/>
    </xf>
    <xf numFmtId="0" fontId="3" fillId="4" borderId="4" xfId="0" applyFont="1" applyFill="1" applyBorder="1" applyAlignment="1">
      <alignment horizontal="left" vertical="center" wrapText="1"/>
    </xf>
    <xf numFmtId="0" fontId="3" fillId="4" borderId="17" xfId="0" applyFont="1" applyFill="1" applyBorder="1" applyAlignment="1">
      <alignment horizontal="left" vertical="center" wrapText="1"/>
    </xf>
    <xf numFmtId="0" fontId="3" fillId="4" borderId="6" xfId="0" applyFont="1" applyFill="1" applyBorder="1" applyAlignment="1">
      <alignment horizontal="left" vertical="center" wrapText="1"/>
    </xf>
    <xf numFmtId="0" fontId="2" fillId="5" borderId="4" xfId="0" applyFont="1" applyFill="1" applyBorder="1" applyAlignment="1">
      <alignment horizontal="left" vertical="center" wrapText="1"/>
    </xf>
    <xf numFmtId="0" fontId="2" fillId="5" borderId="17" xfId="0" applyFont="1" applyFill="1" applyBorder="1" applyAlignment="1">
      <alignment horizontal="left" vertical="center" wrapText="1"/>
    </xf>
    <xf numFmtId="0" fontId="2" fillId="5" borderId="6" xfId="0" applyFont="1" applyFill="1" applyBorder="1" applyAlignment="1">
      <alignment horizontal="left" vertical="center" wrapText="1"/>
    </xf>
    <xf numFmtId="0" fontId="2" fillId="4" borderId="15" xfId="0" applyFont="1" applyFill="1" applyBorder="1" applyAlignment="1">
      <alignment horizontal="center" vertical="center" wrapText="1"/>
    </xf>
    <xf numFmtId="0" fontId="2" fillId="4" borderId="14" xfId="0" applyFont="1" applyFill="1" applyBorder="1" applyAlignment="1">
      <alignment horizontal="center" vertical="center" wrapText="1"/>
    </xf>
    <xf numFmtId="0" fontId="2" fillId="4" borderId="13" xfId="0" applyFont="1" applyFill="1" applyBorder="1" applyAlignment="1">
      <alignment horizontal="center" vertical="center" wrapText="1"/>
    </xf>
    <xf numFmtId="0" fontId="2" fillId="4" borderId="18" xfId="0" applyFont="1" applyFill="1" applyBorder="1" applyAlignment="1">
      <alignment horizontal="center" vertical="center" wrapText="1"/>
    </xf>
    <xf numFmtId="0" fontId="2" fillId="4" borderId="0" xfId="0" applyFont="1" applyFill="1" applyAlignment="1">
      <alignment horizontal="center" vertical="center" wrapText="1"/>
    </xf>
    <xf numFmtId="0" fontId="2" fillId="4" borderId="16" xfId="0" applyFont="1" applyFill="1" applyBorder="1" applyAlignment="1">
      <alignment horizontal="center" vertical="center" wrapText="1"/>
    </xf>
    <xf numFmtId="0" fontId="2" fillId="4" borderId="12" xfId="0" applyFont="1" applyFill="1" applyBorder="1" applyAlignment="1">
      <alignment horizontal="center" vertical="center" wrapText="1"/>
    </xf>
    <xf numFmtId="0" fontId="2" fillId="4" borderId="11" xfId="0" applyFont="1" applyFill="1" applyBorder="1" applyAlignment="1">
      <alignment horizontal="center" vertical="center" wrapText="1"/>
    </xf>
    <xf numFmtId="0" fontId="2" fillId="4" borderId="10" xfId="0" applyFont="1" applyFill="1" applyBorder="1" applyAlignment="1">
      <alignment horizontal="center" vertical="center" wrapText="1"/>
    </xf>
    <xf numFmtId="46" fontId="2" fillId="4" borderId="15" xfId="0" applyNumberFormat="1" applyFont="1" applyFill="1" applyBorder="1" applyAlignment="1">
      <alignment horizontal="center" vertical="center"/>
    </xf>
    <xf numFmtId="46" fontId="2" fillId="4" borderId="13" xfId="0" applyNumberFormat="1" applyFont="1" applyFill="1" applyBorder="1" applyAlignment="1">
      <alignment horizontal="center" vertical="center"/>
    </xf>
    <xf numFmtId="46" fontId="2" fillId="4" borderId="12" xfId="0" applyNumberFormat="1" applyFont="1" applyFill="1" applyBorder="1" applyAlignment="1">
      <alignment horizontal="center" vertical="center"/>
    </xf>
    <xf numFmtId="46" fontId="2" fillId="4" borderId="10" xfId="0" applyNumberFormat="1" applyFont="1" applyFill="1" applyBorder="1" applyAlignment="1">
      <alignment horizontal="center" vertical="center"/>
    </xf>
    <xf numFmtId="46" fontId="2" fillId="4" borderId="14" xfId="0" applyNumberFormat="1" applyFont="1" applyFill="1" applyBorder="1" applyAlignment="1">
      <alignment horizontal="center" vertical="center"/>
    </xf>
    <xf numFmtId="46" fontId="2" fillId="4" borderId="11" xfId="0" applyNumberFormat="1" applyFont="1" applyFill="1" applyBorder="1" applyAlignment="1">
      <alignment horizontal="center" vertical="center"/>
    </xf>
    <xf numFmtId="0" fontId="2" fillId="4" borderId="15" xfId="0" applyFont="1" applyFill="1" applyBorder="1" applyAlignment="1">
      <alignment horizontal="center" vertical="center"/>
    </xf>
    <xf numFmtId="0" fontId="2" fillId="4" borderId="13" xfId="0" applyFont="1" applyFill="1" applyBorder="1" applyAlignment="1">
      <alignment horizontal="center" vertical="center"/>
    </xf>
    <xf numFmtId="0" fontId="2" fillId="4" borderId="12"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15" xfId="0" applyFont="1" applyFill="1" applyBorder="1" applyAlignment="1">
      <alignment horizontal="left" vertical="center" wrapText="1"/>
    </xf>
    <xf numFmtId="0" fontId="2" fillId="4" borderId="14" xfId="0" applyFont="1" applyFill="1" applyBorder="1" applyAlignment="1">
      <alignment horizontal="left" vertical="center" wrapText="1"/>
    </xf>
    <xf numFmtId="0" fontId="2" fillId="4" borderId="13" xfId="0" applyFont="1" applyFill="1" applyBorder="1" applyAlignment="1">
      <alignment horizontal="left" vertical="center" wrapText="1"/>
    </xf>
    <xf numFmtId="0" fontId="2" fillId="4" borderId="12" xfId="0" applyFont="1" applyFill="1" applyBorder="1" applyAlignment="1">
      <alignment horizontal="left" vertical="center" wrapText="1"/>
    </xf>
    <xf numFmtId="0" fontId="2" fillId="4" borderId="11" xfId="0" applyFont="1" applyFill="1" applyBorder="1" applyAlignment="1">
      <alignment horizontal="left" vertical="center" wrapText="1"/>
    </xf>
    <xf numFmtId="0" fontId="2" fillId="4" borderId="10" xfId="0" applyFont="1" applyFill="1" applyBorder="1" applyAlignment="1">
      <alignment horizontal="left" vertical="center" wrapText="1"/>
    </xf>
    <xf numFmtId="0" fontId="2" fillId="4" borderId="5" xfId="0" applyFont="1" applyFill="1" applyBorder="1" applyAlignment="1">
      <alignment vertical="center" wrapText="1"/>
    </xf>
    <xf numFmtId="0" fontId="2" fillId="4" borderId="14" xfId="0" applyFont="1" applyFill="1" applyBorder="1" applyAlignment="1">
      <alignment horizontal="center" vertical="center"/>
    </xf>
    <xf numFmtId="0" fontId="2" fillId="4" borderId="18" xfId="0" applyFont="1" applyFill="1" applyBorder="1" applyAlignment="1">
      <alignment horizontal="center" vertical="center"/>
    </xf>
    <xf numFmtId="0" fontId="2" fillId="4" borderId="0" xfId="0" applyFont="1" applyFill="1" applyAlignment="1">
      <alignment horizontal="center" vertical="center"/>
    </xf>
    <xf numFmtId="0" fontId="2" fillId="4" borderId="16" xfId="0" applyFont="1" applyFill="1" applyBorder="1" applyAlignment="1">
      <alignment horizontal="center" vertical="center"/>
    </xf>
    <xf numFmtId="0" fontId="2" fillId="4" borderId="11" xfId="0" applyFont="1" applyFill="1" applyBorder="1" applyAlignment="1">
      <alignment horizontal="center" vertical="center"/>
    </xf>
    <xf numFmtId="46" fontId="2" fillId="4" borderId="18" xfId="0" applyNumberFormat="1" applyFont="1" applyFill="1" applyBorder="1" applyAlignment="1">
      <alignment horizontal="center" vertical="center"/>
    </xf>
    <xf numFmtId="46" fontId="2" fillId="4" borderId="16" xfId="0" applyNumberFormat="1" applyFont="1" applyFill="1" applyBorder="1" applyAlignment="1">
      <alignment horizontal="center" vertical="center"/>
    </xf>
    <xf numFmtId="46" fontId="2" fillId="4" borderId="0" xfId="0" applyNumberFormat="1" applyFont="1" applyFill="1" applyAlignment="1">
      <alignment horizontal="center" vertical="center"/>
    </xf>
    <xf numFmtId="0" fontId="2" fillId="4" borderId="18" xfId="0" applyFont="1" applyFill="1" applyBorder="1" applyAlignment="1">
      <alignment horizontal="left" vertical="center" wrapText="1"/>
    </xf>
    <xf numFmtId="0" fontId="2" fillId="4" borderId="0" xfId="0" applyFont="1" applyFill="1" applyAlignment="1">
      <alignment horizontal="left" vertical="center" wrapText="1"/>
    </xf>
    <xf numFmtId="0" fontId="2" fillId="4" borderId="16" xfId="0" applyFont="1" applyFill="1" applyBorder="1" applyAlignment="1">
      <alignment horizontal="left" vertical="center" wrapText="1"/>
    </xf>
    <xf numFmtId="0" fontId="0" fillId="4" borderId="14" xfId="0" applyFill="1" applyBorder="1" applyAlignment="1">
      <alignment horizontal="center" vertical="center"/>
    </xf>
    <xf numFmtId="0" fontId="0" fillId="4" borderId="0" xfId="0" applyFill="1" applyAlignment="1">
      <alignment horizontal="center" vertical="center"/>
    </xf>
    <xf numFmtId="46" fontId="0" fillId="4" borderId="14" xfId="0" applyNumberFormat="1" applyFill="1" applyBorder="1" applyAlignment="1">
      <alignment horizontal="center" vertical="center"/>
    </xf>
    <xf numFmtId="0" fontId="0" fillId="4" borderId="4" xfId="0" applyFill="1" applyBorder="1" applyAlignment="1">
      <alignment horizontal="left" vertical="center" wrapText="1"/>
    </xf>
    <xf numFmtId="0" fontId="0" fillId="4" borderId="17" xfId="0" applyFill="1" applyBorder="1" applyAlignment="1">
      <alignment horizontal="left" vertical="center" wrapText="1"/>
    </xf>
    <xf numFmtId="0" fontId="0" fillId="4" borderId="6" xfId="0" applyFill="1" applyBorder="1" applyAlignment="1">
      <alignment horizontal="left" vertical="center" wrapText="1"/>
    </xf>
    <xf numFmtId="0" fontId="0" fillId="10" borderId="4" xfId="0" applyFill="1" applyBorder="1" applyAlignment="1">
      <alignment horizontal="center" vertical="center"/>
    </xf>
    <xf numFmtId="0" fontId="0" fillId="10" borderId="17" xfId="0" applyFill="1" applyBorder="1" applyAlignment="1">
      <alignment horizontal="center" vertical="center"/>
    </xf>
    <xf numFmtId="0" fontId="0" fillId="10" borderId="6" xfId="0" applyFill="1" applyBorder="1" applyAlignment="1">
      <alignment horizontal="center" vertical="center"/>
    </xf>
    <xf numFmtId="0" fontId="0" fillId="10" borderId="76" xfId="0" applyFill="1" applyBorder="1" applyAlignment="1">
      <alignment horizontal="center" vertical="center"/>
    </xf>
    <xf numFmtId="0" fontId="0" fillId="10" borderId="77" xfId="0" applyFill="1" applyBorder="1" applyAlignment="1">
      <alignment horizontal="center" vertical="center"/>
    </xf>
    <xf numFmtId="0" fontId="0" fillId="10" borderId="78" xfId="0" applyFill="1" applyBorder="1" applyAlignment="1">
      <alignment horizontal="center" vertical="center"/>
    </xf>
    <xf numFmtId="0" fontId="0" fillId="10" borderId="79" xfId="0" applyFill="1" applyBorder="1" applyAlignment="1">
      <alignment horizontal="center" vertical="center"/>
    </xf>
    <xf numFmtId="0" fontId="0" fillId="10" borderId="11" xfId="0" applyFill="1" applyBorder="1" applyAlignment="1">
      <alignment horizontal="center" vertical="center"/>
    </xf>
    <xf numFmtId="0" fontId="0" fillId="10" borderId="71" xfId="0" applyFill="1" applyBorder="1" applyAlignment="1">
      <alignment horizontal="center" vertical="center"/>
    </xf>
    <xf numFmtId="0" fontId="0" fillId="10" borderId="73" xfId="0" applyFill="1" applyBorder="1" applyAlignment="1">
      <alignment horizontal="center" vertical="center" wrapText="1"/>
    </xf>
    <xf numFmtId="0" fontId="0" fillId="10" borderId="73" xfId="0" applyFill="1" applyBorder="1" applyAlignment="1">
      <alignment horizontal="center" vertical="center"/>
    </xf>
    <xf numFmtId="0" fontId="0" fillId="2" borderId="5" xfId="0" applyFill="1" applyBorder="1" applyAlignment="1">
      <alignment horizontal="left" vertical="center"/>
    </xf>
    <xf numFmtId="0" fontId="0" fillId="2" borderId="20" xfId="0" applyFill="1" applyBorder="1" applyAlignment="1">
      <alignment horizontal="center" vertical="center"/>
    </xf>
    <xf numFmtId="0" fontId="0" fillId="2" borderId="20" xfId="0" applyFill="1" applyBorder="1" applyAlignment="1">
      <alignment horizontal="left" vertical="center"/>
    </xf>
    <xf numFmtId="0" fontId="0" fillId="3" borderId="18" xfId="0" applyFill="1" applyBorder="1" applyAlignment="1">
      <alignment horizontal="center" vertical="center"/>
    </xf>
    <xf numFmtId="0" fontId="0" fillId="3" borderId="0" xfId="0" applyFill="1" applyAlignment="1">
      <alignment horizontal="center" vertical="center"/>
    </xf>
    <xf numFmtId="0" fontId="0" fillId="3" borderId="16" xfId="0" applyFill="1" applyBorder="1" applyAlignment="1">
      <alignment horizontal="center" vertical="center"/>
    </xf>
    <xf numFmtId="0" fontId="0" fillId="3" borderId="75" xfId="0" applyFill="1" applyBorder="1" applyAlignment="1">
      <alignment horizontal="center" vertical="center"/>
    </xf>
    <xf numFmtId="0" fontId="0" fillId="3" borderId="72" xfId="0" applyFill="1" applyBorder="1" applyAlignment="1">
      <alignment horizontal="center" vertical="center" wrapText="1"/>
    </xf>
    <xf numFmtId="0" fontId="0" fillId="3" borderId="0" xfId="0" applyFill="1" applyAlignment="1">
      <alignment horizontal="center" vertical="center" wrapText="1"/>
    </xf>
    <xf numFmtId="0" fontId="0" fillId="3" borderId="75" xfId="0" applyFill="1" applyBorder="1" applyAlignment="1">
      <alignment horizontal="center" vertical="center" wrapText="1"/>
    </xf>
    <xf numFmtId="0" fontId="0" fillId="2" borderId="63" xfId="0" applyFill="1" applyBorder="1" applyAlignment="1">
      <alignment horizontal="center" vertical="center"/>
    </xf>
    <xf numFmtId="0" fontId="0" fillId="2" borderId="64" xfId="0" applyFill="1" applyBorder="1" applyAlignment="1">
      <alignment horizontal="center" vertical="center"/>
    </xf>
    <xf numFmtId="0" fontId="0" fillId="2" borderId="64" xfId="0" applyFill="1" applyBorder="1" applyAlignment="1">
      <alignment horizontal="left" vertical="center"/>
    </xf>
    <xf numFmtId="0" fontId="0" fillId="2" borderId="65" xfId="0" applyFill="1" applyBorder="1" applyAlignment="1">
      <alignment horizontal="left" vertical="center"/>
    </xf>
    <xf numFmtId="0" fontId="0" fillId="2" borderId="5" xfId="0" applyFill="1" applyBorder="1" applyAlignment="1">
      <alignment horizontal="left" vertical="center" wrapText="1"/>
    </xf>
    <xf numFmtId="0" fontId="0" fillId="2" borderId="20" xfId="0" applyFill="1" applyBorder="1" applyAlignment="1">
      <alignment horizontal="left" vertical="center" wrapText="1"/>
    </xf>
    <xf numFmtId="0" fontId="0" fillId="2" borderId="66" xfId="0" applyFill="1" applyBorder="1" applyAlignment="1">
      <alignment horizontal="center" vertical="center"/>
    </xf>
    <xf numFmtId="0" fontId="0" fillId="2" borderId="67" xfId="0" applyFill="1" applyBorder="1" applyAlignment="1">
      <alignment horizontal="center" vertical="center"/>
    </xf>
    <xf numFmtId="0" fontId="0" fillId="2" borderId="68" xfId="0" applyFill="1" applyBorder="1" applyAlignment="1">
      <alignment horizontal="center" vertical="center"/>
    </xf>
    <xf numFmtId="0" fontId="0" fillId="2" borderId="69" xfId="0" applyFill="1" applyBorder="1" applyAlignment="1">
      <alignment horizontal="left" vertical="center"/>
    </xf>
    <xf numFmtId="0" fontId="0" fillId="2" borderId="67" xfId="0" applyFill="1" applyBorder="1" applyAlignment="1">
      <alignment horizontal="left" vertical="center"/>
    </xf>
    <xf numFmtId="0" fontId="0" fillId="2" borderId="70" xfId="0" applyFill="1" applyBorder="1" applyAlignment="1">
      <alignment horizontal="left" vertical="center"/>
    </xf>
    <xf numFmtId="0" fontId="0" fillId="2" borderId="104" xfId="0" applyFill="1" applyBorder="1">
      <alignment vertical="center"/>
    </xf>
    <xf numFmtId="0" fontId="0" fillId="2" borderId="105" xfId="0" applyFill="1" applyBorder="1">
      <alignment vertical="center"/>
    </xf>
    <xf numFmtId="0" fontId="0" fillId="2" borderId="106" xfId="0" applyFill="1" applyBorder="1">
      <alignment vertical="center"/>
    </xf>
    <xf numFmtId="0" fontId="0" fillId="2" borderId="104" xfId="0" applyFill="1" applyBorder="1" applyAlignment="1">
      <alignment horizontal="center" vertical="center"/>
    </xf>
    <xf numFmtId="0" fontId="0" fillId="2" borderId="105" xfId="0" applyFill="1" applyBorder="1" applyAlignment="1">
      <alignment horizontal="center" vertical="center"/>
    </xf>
    <xf numFmtId="0" fontId="0" fillId="2" borderId="106" xfId="0" applyFill="1" applyBorder="1" applyAlignment="1">
      <alignment horizontal="center" vertical="center"/>
    </xf>
    <xf numFmtId="0" fontId="0" fillId="12" borderId="101" xfId="0" applyFill="1" applyBorder="1" applyAlignment="1">
      <alignment horizontal="center" vertical="center"/>
    </xf>
    <xf numFmtId="0" fontId="0" fillId="12" borderId="102" xfId="0" applyFill="1" applyBorder="1" applyAlignment="1">
      <alignment horizontal="center" vertical="center"/>
    </xf>
    <xf numFmtId="0" fontId="0" fillId="12" borderId="103" xfId="0" applyFill="1" applyBorder="1" applyAlignment="1">
      <alignment horizontal="center" vertical="center"/>
    </xf>
    <xf numFmtId="0" fontId="0" fillId="2" borderId="85" xfId="0" applyFill="1" applyBorder="1" applyAlignment="1">
      <alignment horizontal="center" vertical="center"/>
    </xf>
    <xf numFmtId="0" fontId="0" fillId="2" borderId="86" xfId="0" applyFill="1" applyBorder="1" applyAlignment="1">
      <alignment horizontal="center" vertical="center"/>
    </xf>
    <xf numFmtId="0" fontId="0" fillId="2" borderId="84" xfId="0" applyFill="1" applyBorder="1" applyAlignment="1">
      <alignment horizontal="center" vertical="center"/>
    </xf>
    <xf numFmtId="0" fontId="0" fillId="3" borderId="14" xfId="0" applyFill="1" applyBorder="1" applyAlignment="1">
      <alignment horizontal="center" vertical="center"/>
    </xf>
    <xf numFmtId="0" fontId="0" fillId="3" borderId="15" xfId="0" applyFill="1" applyBorder="1" applyAlignment="1">
      <alignment horizontal="left" vertical="center" wrapText="1"/>
    </xf>
    <xf numFmtId="0" fontId="0" fillId="3" borderId="14" xfId="0" applyFill="1" applyBorder="1" applyAlignment="1">
      <alignment horizontal="left" vertical="center"/>
    </xf>
    <xf numFmtId="0" fontId="0" fillId="3" borderId="13" xfId="0" applyFill="1" applyBorder="1" applyAlignment="1">
      <alignment horizontal="left" vertical="center"/>
    </xf>
    <xf numFmtId="0" fontId="0" fillId="3" borderId="18" xfId="0" applyFill="1" applyBorder="1" applyAlignment="1">
      <alignment horizontal="left" vertical="center"/>
    </xf>
    <xf numFmtId="0" fontId="0" fillId="3" borderId="0" xfId="0" applyFill="1" applyAlignment="1">
      <alignment horizontal="left" vertical="center"/>
    </xf>
    <xf numFmtId="0" fontId="0" fillId="3" borderId="16" xfId="0" applyFill="1" applyBorder="1" applyAlignment="1">
      <alignment horizontal="left" vertical="center"/>
    </xf>
    <xf numFmtId="0" fontId="0" fillId="2" borderId="85" xfId="0" applyFill="1" applyBorder="1" applyAlignment="1">
      <alignment horizontal="left" vertical="center"/>
    </xf>
    <xf numFmtId="0" fontId="0" fillId="2" borderId="86" xfId="0" applyFill="1" applyBorder="1" applyAlignment="1">
      <alignment horizontal="left" vertical="center"/>
    </xf>
    <xf numFmtId="0" fontId="0" fillId="2" borderId="84" xfId="0" applyFill="1" applyBorder="1" applyAlignment="1">
      <alignment horizontal="left" vertical="center"/>
    </xf>
    <xf numFmtId="0" fontId="0" fillId="2" borderId="85" xfId="0" applyFill="1" applyBorder="1">
      <alignment vertical="center"/>
    </xf>
    <xf numFmtId="0" fontId="0" fillId="2" borderId="86" xfId="0" applyFill="1" applyBorder="1">
      <alignment vertical="center"/>
    </xf>
    <xf numFmtId="0" fontId="0" fillId="2" borderId="84" xfId="0" applyFill="1" applyBorder="1">
      <alignment vertical="center"/>
    </xf>
    <xf numFmtId="0" fontId="0" fillId="2" borderId="4" xfId="0" applyFill="1" applyBorder="1" applyAlignment="1">
      <alignment horizontal="left" vertical="center"/>
    </xf>
    <xf numFmtId="0" fontId="0" fillId="2" borderId="17" xfId="0" applyFill="1" applyBorder="1" applyAlignment="1">
      <alignment horizontal="left" vertical="center"/>
    </xf>
    <xf numFmtId="0" fontId="0" fillId="2" borderId="6" xfId="0" applyFill="1" applyBorder="1" applyAlignment="1">
      <alignment horizontal="left" vertical="center"/>
    </xf>
    <xf numFmtId="0" fontId="0" fillId="2" borderId="78" xfId="0" applyFill="1" applyBorder="1" applyAlignment="1">
      <alignment horizontal="left" vertical="center"/>
    </xf>
    <xf numFmtId="0" fontId="0" fillId="2" borderId="100" xfId="0" applyFill="1" applyBorder="1" applyAlignment="1">
      <alignment horizontal="left" vertical="center"/>
    </xf>
    <xf numFmtId="0" fontId="0" fillId="2" borderId="98" xfId="0" applyFill="1" applyBorder="1" applyAlignment="1">
      <alignment horizontal="left" vertical="center"/>
    </xf>
    <xf numFmtId="0" fontId="0" fillId="2" borderId="99" xfId="0" applyFill="1" applyBorder="1" applyAlignment="1">
      <alignment horizontal="left" vertical="center"/>
    </xf>
    <xf numFmtId="0" fontId="0" fillId="2" borderId="90" xfId="0" applyFill="1" applyBorder="1" applyAlignment="1">
      <alignment horizontal="left" vertical="center"/>
    </xf>
    <xf numFmtId="0" fontId="0" fillId="2" borderId="91" xfId="0" applyFill="1" applyBorder="1" applyAlignment="1">
      <alignment horizontal="left" vertical="center"/>
    </xf>
    <xf numFmtId="0" fontId="0" fillId="2" borderId="97" xfId="0" applyFill="1" applyBorder="1" applyAlignment="1">
      <alignment horizontal="left" vertical="center"/>
    </xf>
    <xf numFmtId="0" fontId="0" fillId="2" borderId="89" xfId="0" applyFill="1" applyBorder="1" applyAlignment="1">
      <alignment horizontal="left" vertical="center"/>
    </xf>
    <xf numFmtId="0" fontId="0" fillId="12" borderId="19" xfId="0" applyFill="1" applyBorder="1" applyAlignment="1">
      <alignment horizontal="center" vertical="center"/>
    </xf>
    <xf numFmtId="0" fontId="0" fillId="2" borderId="87" xfId="0" applyFill="1" applyBorder="1" applyAlignment="1">
      <alignment horizontal="center" vertical="center"/>
    </xf>
    <xf numFmtId="0" fontId="0" fillId="2" borderId="107" xfId="0" applyFill="1" applyBorder="1" applyAlignment="1">
      <alignment horizontal="center" vertical="center"/>
    </xf>
    <xf numFmtId="0" fontId="0" fillId="2" borderId="87" xfId="0" applyFill="1" applyBorder="1" applyAlignment="1">
      <alignment horizontal="left" vertical="center"/>
    </xf>
    <xf numFmtId="0" fontId="0" fillId="2" borderId="66" xfId="0" applyFill="1" applyBorder="1" applyAlignment="1">
      <alignment horizontal="left" vertical="center"/>
    </xf>
    <xf numFmtId="0" fontId="0" fillId="2" borderId="108" xfId="0" applyFill="1" applyBorder="1" applyAlignment="1">
      <alignment horizontal="left" vertical="center"/>
    </xf>
    <xf numFmtId="0" fontId="0" fillId="2" borderId="19" xfId="0" applyFill="1" applyBorder="1" applyAlignment="1">
      <alignment horizontal="center" vertical="center"/>
    </xf>
    <xf numFmtId="0" fontId="0" fillId="2" borderId="19" xfId="0" applyFill="1" applyBorder="1" applyAlignment="1">
      <alignment horizontal="left" vertical="center"/>
    </xf>
    <xf numFmtId="0" fontId="0" fillId="2" borderId="88" xfId="0" applyFill="1" applyBorder="1" applyAlignment="1">
      <alignment horizontal="left" vertical="center"/>
    </xf>
    <xf numFmtId="0" fontId="0" fillId="2" borderId="96" xfId="0" applyFill="1" applyBorder="1" applyAlignment="1">
      <alignment horizontal="left" vertical="center"/>
    </xf>
    <xf numFmtId="0" fontId="0" fillId="2" borderId="70" xfId="0" applyFill="1" applyBorder="1" applyAlignment="1">
      <alignment horizontal="center" vertical="center"/>
    </xf>
    <xf numFmtId="0" fontId="0" fillId="2" borderId="66" xfId="0" applyFill="1" applyBorder="1">
      <alignment vertical="center"/>
    </xf>
    <xf numFmtId="0" fontId="0" fillId="2" borderId="67" xfId="0" applyFill="1" applyBorder="1">
      <alignment vertical="center"/>
    </xf>
    <xf numFmtId="0" fontId="0" fillId="2" borderId="70" xfId="0" applyFill="1" applyBorder="1">
      <alignment vertical="center"/>
    </xf>
    <xf numFmtId="0" fontId="0" fillId="2" borderId="12" xfId="0" applyFill="1" applyBorder="1" applyAlignment="1">
      <alignment horizontal="center" vertical="center"/>
    </xf>
    <xf numFmtId="0" fontId="0" fillId="2" borderId="11" xfId="0" applyFill="1" applyBorder="1" applyAlignment="1">
      <alignment horizontal="center" vertical="center"/>
    </xf>
    <xf numFmtId="0" fontId="0" fillId="2" borderId="10" xfId="0" applyFill="1" applyBorder="1" applyAlignment="1">
      <alignment horizontal="center" vertical="center"/>
    </xf>
    <xf numFmtId="0" fontId="0" fillId="2" borderId="12" xfId="0" applyFill="1" applyBorder="1" applyAlignment="1">
      <alignment horizontal="left" vertical="center"/>
    </xf>
    <xf numFmtId="0" fontId="0" fillId="2" borderId="11" xfId="0" applyFill="1" applyBorder="1" applyAlignment="1">
      <alignment horizontal="left" vertical="center"/>
    </xf>
    <xf numFmtId="0" fontId="0" fillId="2" borderId="10" xfId="0" applyFill="1" applyBorder="1" applyAlignment="1">
      <alignment horizontal="left" vertical="center"/>
    </xf>
    <xf numFmtId="0" fontId="0" fillId="2" borderId="71" xfId="0" applyFill="1" applyBorder="1" applyAlignment="1">
      <alignment horizontal="left" vertical="center"/>
    </xf>
    <xf numFmtId="0" fontId="0" fillId="2" borderId="92" xfId="0" applyFill="1" applyBorder="1" applyAlignment="1">
      <alignment horizontal="left" vertical="center"/>
    </xf>
    <xf numFmtId="0" fontId="0" fillId="4" borderId="12" xfId="0" applyFill="1" applyBorder="1" applyAlignment="1">
      <alignment horizontal="center" vertical="center"/>
    </xf>
    <xf numFmtId="0" fontId="0" fillId="4" borderId="11" xfId="0" applyFill="1" applyBorder="1" applyAlignment="1">
      <alignment horizontal="center" vertical="center"/>
    </xf>
    <xf numFmtId="0" fontId="0" fillId="4" borderId="10" xfId="0" applyFill="1" applyBorder="1" applyAlignment="1">
      <alignment horizontal="center" vertical="center"/>
    </xf>
    <xf numFmtId="46" fontId="0" fillId="5" borderId="4" xfId="0" applyNumberFormat="1" applyFill="1" applyBorder="1" applyAlignment="1">
      <alignment horizontal="center" vertical="center"/>
    </xf>
    <xf numFmtId="46" fontId="0" fillId="5" borderId="6" xfId="0" applyNumberFormat="1" applyFill="1" applyBorder="1" applyAlignment="1">
      <alignment horizontal="center" vertical="center"/>
    </xf>
    <xf numFmtId="46" fontId="0" fillId="5" borderId="17" xfId="0" applyNumberFormat="1" applyFill="1" applyBorder="1" applyAlignment="1">
      <alignment horizontal="center" vertical="center"/>
    </xf>
    <xf numFmtId="0" fontId="0" fillId="5" borderId="4" xfId="0" applyFill="1" applyBorder="1" applyAlignment="1">
      <alignment horizontal="center" vertical="center"/>
    </xf>
    <xf numFmtId="0" fontId="0" fillId="5" borderId="6" xfId="0" applyFill="1" applyBorder="1" applyAlignment="1">
      <alignment horizontal="center" vertical="center"/>
    </xf>
    <xf numFmtId="0" fontId="0" fillId="5" borderId="4" xfId="0" applyFill="1" applyBorder="1" applyAlignment="1">
      <alignment horizontal="left" vertical="center" wrapText="1"/>
    </xf>
    <xf numFmtId="0" fontId="0" fillId="5" borderId="17" xfId="0" applyFill="1" applyBorder="1" applyAlignment="1">
      <alignment horizontal="left" vertical="center" wrapText="1"/>
    </xf>
    <xf numFmtId="0" fontId="0" fillId="5" borderId="6" xfId="0" applyFill="1" applyBorder="1" applyAlignment="1">
      <alignment horizontal="left" vertical="center" wrapText="1"/>
    </xf>
    <xf numFmtId="0" fontId="0" fillId="4" borderId="12" xfId="0" applyFill="1" applyBorder="1" applyAlignment="1">
      <alignment horizontal="left" vertical="center" wrapText="1"/>
    </xf>
    <xf numFmtId="0" fontId="0" fillId="4" borderId="11" xfId="0" applyFill="1" applyBorder="1" applyAlignment="1">
      <alignment horizontal="left" vertical="center" wrapText="1"/>
    </xf>
    <xf numFmtId="0" fontId="0" fillId="4" borderId="10" xfId="0" applyFill="1" applyBorder="1" applyAlignment="1">
      <alignment horizontal="left" vertical="center" wrapText="1"/>
    </xf>
    <xf numFmtId="0" fontId="0" fillId="4" borderId="15"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13" xfId="0" applyFill="1" applyBorder="1" applyAlignment="1">
      <alignment horizontal="center" vertical="center" wrapText="1"/>
    </xf>
    <xf numFmtId="0" fontId="0" fillId="4" borderId="18" xfId="0" applyFill="1" applyBorder="1" applyAlignment="1">
      <alignment horizontal="center" vertical="center" wrapText="1"/>
    </xf>
    <xf numFmtId="0" fontId="0" fillId="4" borderId="0" xfId="0" applyFill="1" applyAlignment="1">
      <alignment horizontal="center" vertical="center" wrapText="1"/>
    </xf>
    <xf numFmtId="0" fontId="0" fillId="4" borderId="16" xfId="0" applyFill="1" applyBorder="1" applyAlignment="1">
      <alignment horizontal="center" vertical="center" wrapText="1"/>
    </xf>
    <xf numFmtId="0" fontId="0" fillId="4" borderId="12" xfId="0" applyFill="1" applyBorder="1" applyAlignment="1">
      <alignment horizontal="center" vertical="center" wrapText="1"/>
    </xf>
    <xf numFmtId="0" fontId="0" fillId="4" borderId="11" xfId="0" applyFill="1" applyBorder="1" applyAlignment="1">
      <alignment horizontal="center" vertical="center" wrapText="1"/>
    </xf>
    <xf numFmtId="0" fontId="0" fillId="4" borderId="10" xfId="0" applyFill="1" applyBorder="1" applyAlignment="1">
      <alignment horizontal="center" vertical="center" wrapText="1"/>
    </xf>
    <xf numFmtId="46" fontId="0" fillId="4" borderId="11" xfId="0" applyNumberFormat="1" applyFill="1" applyBorder="1" applyAlignment="1">
      <alignment horizontal="center" vertical="center"/>
    </xf>
    <xf numFmtId="46" fontId="0" fillId="4" borderId="5" xfId="0" applyNumberFormat="1" applyFill="1" applyBorder="1" applyAlignment="1">
      <alignment horizontal="center" vertical="center"/>
    </xf>
    <xf numFmtId="0" fontId="2" fillId="4" borderId="5" xfId="0" applyFont="1" applyFill="1" applyBorder="1" applyAlignment="1">
      <alignment horizontal="center" vertical="center" wrapText="1"/>
    </xf>
    <xf numFmtId="0" fontId="0" fillId="5" borderId="17" xfId="0" applyFill="1" applyBorder="1" applyAlignment="1">
      <alignment horizontal="center" vertical="center"/>
    </xf>
    <xf numFmtId="0" fontId="0" fillId="10" borderId="90" xfId="0" applyFill="1" applyBorder="1" applyAlignment="1">
      <alignment horizontal="center" vertical="center"/>
    </xf>
    <xf numFmtId="0" fontId="0" fillId="10" borderId="91" xfId="0" applyFill="1" applyBorder="1" applyAlignment="1">
      <alignment horizontal="center" vertical="center"/>
    </xf>
    <xf numFmtId="0" fontId="0" fillId="10" borderId="92" xfId="0" applyFill="1" applyBorder="1" applyAlignment="1">
      <alignment horizontal="center" vertical="center"/>
    </xf>
    <xf numFmtId="46" fontId="4" fillId="4" borderId="5" xfId="0" applyNumberFormat="1" applyFont="1" applyFill="1" applyBorder="1" applyAlignment="1">
      <alignment horizontal="center" vertical="center"/>
    </xf>
    <xf numFmtId="0" fontId="0" fillId="4" borderId="20" xfId="0" applyFill="1" applyBorder="1" applyAlignment="1">
      <alignment vertical="center" wrapText="1"/>
    </xf>
    <xf numFmtId="0" fontId="0" fillId="10" borderId="74" xfId="0" applyFill="1" applyBorder="1" applyAlignment="1">
      <alignment horizontal="center" vertical="center"/>
    </xf>
    <xf numFmtId="46" fontId="4" fillId="4" borderId="74" xfId="0" applyNumberFormat="1" applyFont="1" applyFill="1" applyBorder="1" applyAlignment="1">
      <alignment horizontal="center" vertical="center"/>
    </xf>
    <xf numFmtId="0" fontId="0" fillId="4" borderId="81" xfId="0" applyFill="1" applyBorder="1" applyAlignment="1">
      <alignment horizontal="center" vertical="center"/>
    </xf>
    <xf numFmtId="0" fontId="0" fillId="4" borderId="82" xfId="0" applyFill="1" applyBorder="1" applyAlignment="1">
      <alignment horizontal="center" vertical="center"/>
    </xf>
    <xf numFmtId="0" fontId="0" fillId="4" borderId="93" xfId="0" applyFill="1" applyBorder="1" applyAlignment="1">
      <alignment horizontal="center" vertical="center"/>
    </xf>
    <xf numFmtId="0" fontId="0" fillId="4" borderId="95" xfId="0" applyFill="1" applyBorder="1" applyAlignment="1">
      <alignment horizontal="center" vertical="center"/>
    </xf>
    <xf numFmtId="0" fontId="0" fillId="4" borderId="81" xfId="0" applyFill="1" applyBorder="1" applyAlignment="1">
      <alignment horizontal="left" vertical="center" wrapText="1"/>
    </xf>
    <xf numFmtId="0" fontId="0" fillId="4" borderId="83" xfId="0" applyFill="1" applyBorder="1" applyAlignment="1">
      <alignment horizontal="left" vertical="center" wrapText="1"/>
    </xf>
    <xf numFmtId="0" fontId="0" fillId="4" borderId="82" xfId="0" applyFill="1" applyBorder="1" applyAlignment="1">
      <alignment horizontal="left" vertical="center" wrapText="1"/>
    </xf>
    <xf numFmtId="0" fontId="0" fillId="4" borderId="93" xfId="0" applyFill="1" applyBorder="1" applyAlignment="1">
      <alignment horizontal="left" vertical="center" wrapText="1"/>
    </xf>
    <xf numFmtId="0" fontId="0" fillId="4" borderId="94" xfId="0" applyFill="1" applyBorder="1" applyAlignment="1">
      <alignment horizontal="left" vertical="center" wrapText="1"/>
    </xf>
    <xf numFmtId="0" fontId="0" fillId="4" borderId="95" xfId="0" applyFill="1" applyBorder="1" applyAlignment="1">
      <alignment horizontal="left" vertical="center" wrapText="1"/>
    </xf>
    <xf numFmtId="46" fontId="9" fillId="4" borderId="74" xfId="0" applyNumberFormat="1" applyFont="1" applyFill="1" applyBorder="1" applyAlignment="1">
      <alignment horizontal="center" vertical="center"/>
    </xf>
    <xf numFmtId="0" fontId="0" fillId="4" borderId="81" xfId="0" applyFill="1" applyBorder="1" applyAlignment="1">
      <alignment horizontal="center" vertical="center" wrapText="1"/>
    </xf>
    <xf numFmtId="0" fontId="0" fillId="4" borderId="83" xfId="0" applyFill="1" applyBorder="1" applyAlignment="1">
      <alignment horizontal="center" vertical="center" wrapText="1"/>
    </xf>
    <xf numFmtId="0" fontId="0" fillId="4" borderId="82" xfId="0" applyFill="1" applyBorder="1" applyAlignment="1">
      <alignment horizontal="center" vertical="center" wrapText="1"/>
    </xf>
    <xf numFmtId="0" fontId="0" fillId="4" borderId="93" xfId="0" applyFill="1" applyBorder="1" applyAlignment="1">
      <alignment horizontal="center" vertical="center" wrapText="1"/>
    </xf>
    <xf numFmtId="0" fontId="0" fillId="4" borderId="94" xfId="0" applyFill="1" applyBorder="1" applyAlignment="1">
      <alignment horizontal="center" vertical="center" wrapText="1"/>
    </xf>
    <xf numFmtId="0" fontId="0" fillId="4" borderId="95" xfId="0" applyFill="1" applyBorder="1" applyAlignment="1">
      <alignment horizontal="center" vertical="center" wrapText="1"/>
    </xf>
    <xf numFmtId="0" fontId="0" fillId="4" borderId="83" xfId="0" applyFill="1" applyBorder="1" applyAlignment="1">
      <alignment horizontal="center" vertical="center"/>
    </xf>
    <xf numFmtId="0" fontId="0" fillId="4" borderId="94" xfId="0" applyFill="1" applyBorder="1" applyAlignment="1">
      <alignment horizontal="center" vertical="center"/>
    </xf>
    <xf numFmtId="46" fontId="0" fillId="4" borderId="82" xfId="0" applyNumberFormat="1" applyFill="1" applyBorder="1" applyAlignment="1">
      <alignment horizontal="center" vertical="center"/>
    </xf>
    <xf numFmtId="46" fontId="0" fillId="4" borderId="93" xfId="0" applyNumberFormat="1" applyFill="1" applyBorder="1" applyAlignment="1">
      <alignment horizontal="center" vertical="center"/>
    </xf>
    <xf numFmtId="46" fontId="0" fillId="4" borderId="95" xfId="0" applyNumberFormat="1" applyFill="1" applyBorder="1" applyAlignment="1">
      <alignment horizontal="center" vertical="center"/>
    </xf>
    <xf numFmtId="46" fontId="4" fillId="4" borderId="81" xfId="0" applyNumberFormat="1" applyFont="1" applyFill="1" applyBorder="1" applyAlignment="1">
      <alignment horizontal="center" vertical="center"/>
    </xf>
    <xf numFmtId="46" fontId="4" fillId="4" borderId="83" xfId="0" applyNumberFormat="1" applyFont="1" applyFill="1" applyBorder="1" applyAlignment="1">
      <alignment horizontal="center" vertical="center"/>
    </xf>
    <xf numFmtId="46" fontId="4" fillId="4" borderId="82" xfId="0" applyNumberFormat="1" applyFont="1" applyFill="1" applyBorder="1" applyAlignment="1">
      <alignment horizontal="center" vertical="center"/>
    </xf>
    <xf numFmtId="46" fontId="4" fillId="4" borderId="93" xfId="0" applyNumberFormat="1" applyFont="1" applyFill="1" applyBorder="1" applyAlignment="1">
      <alignment horizontal="center" vertical="center"/>
    </xf>
    <xf numFmtId="46" fontId="4" fillId="4" borderId="94" xfId="0" applyNumberFormat="1" applyFont="1" applyFill="1" applyBorder="1" applyAlignment="1">
      <alignment horizontal="center" vertical="center"/>
    </xf>
    <xf numFmtId="46" fontId="4" fillId="4" borderId="95" xfId="0" applyNumberFormat="1" applyFont="1" applyFill="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_rels/drawing5.xml.rels><?xml version="1.0" encoding="UTF-8" standalone="yes"?>
<Relationships xmlns="http://schemas.openxmlformats.org/package/2006/relationships"><Relationship Id="rId3" Type="http://schemas.openxmlformats.org/officeDocument/2006/relationships/image" Target="../media/image7.jpg"/><Relationship Id="rId2" Type="http://schemas.openxmlformats.org/officeDocument/2006/relationships/image" Target="../media/image6.jpg"/><Relationship Id="rId1" Type="http://schemas.openxmlformats.org/officeDocument/2006/relationships/image" Target="../media/image5.jpg"/><Relationship Id="rId5" Type="http://schemas.openxmlformats.org/officeDocument/2006/relationships/image" Target="../media/image9.png"/><Relationship Id="rId4" Type="http://schemas.openxmlformats.org/officeDocument/2006/relationships/image" Target="../media/image8.jpg"/></Relationships>
</file>

<file path=xl/drawings/drawing1.xml><?xml version="1.0" encoding="utf-8"?>
<xdr:wsDr xmlns:xdr="http://schemas.openxmlformats.org/drawingml/2006/spreadsheetDrawing" xmlns:a="http://schemas.openxmlformats.org/drawingml/2006/main">
  <xdr:twoCellAnchor>
    <xdr:from>
      <xdr:col>5</xdr:col>
      <xdr:colOff>103670</xdr:colOff>
      <xdr:row>17</xdr:row>
      <xdr:rowOff>176213</xdr:rowOff>
    </xdr:from>
    <xdr:to>
      <xdr:col>29</xdr:col>
      <xdr:colOff>51289</xdr:colOff>
      <xdr:row>37</xdr:row>
      <xdr:rowOff>38101</xdr:rowOff>
    </xdr:to>
    <xdr:sp macro="" textlink="">
      <xdr:nvSpPr>
        <xdr:cNvPr id="101" name="正方形/長方形 100">
          <a:extLst>
            <a:ext uri="{FF2B5EF4-FFF2-40B4-BE49-F238E27FC236}">
              <a16:creationId xmlns:a16="http://schemas.microsoft.com/office/drawing/2014/main" id="{D08630EB-A04F-4FB8-A8E3-7D1FC73C1C89}"/>
            </a:ext>
          </a:extLst>
        </xdr:cNvPr>
        <xdr:cNvSpPr/>
      </xdr:nvSpPr>
      <xdr:spPr>
        <a:xfrm>
          <a:off x="1495785" y="4286617"/>
          <a:ext cx="6629773" cy="4697657"/>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400">
              <a:solidFill>
                <a:schemeClr val="tx1"/>
              </a:solidFill>
            </a:rPr>
            <a:t>e7awg_hw</a:t>
          </a:r>
          <a:endParaRPr kumimoji="1" lang="ja-JP" altLang="en-US" sz="1400">
            <a:solidFill>
              <a:schemeClr val="tx1"/>
            </a:solidFill>
          </a:endParaRPr>
        </a:p>
      </xdr:txBody>
    </xdr:sp>
    <xdr:clientData/>
  </xdr:twoCellAnchor>
  <xdr:twoCellAnchor>
    <xdr:from>
      <xdr:col>13</xdr:col>
      <xdr:colOff>272459</xdr:colOff>
      <xdr:row>24</xdr:row>
      <xdr:rowOff>160542</xdr:rowOff>
    </xdr:from>
    <xdr:to>
      <xdr:col>14</xdr:col>
      <xdr:colOff>263194</xdr:colOff>
      <xdr:row>26</xdr:row>
      <xdr:rowOff>223933</xdr:rowOff>
    </xdr:to>
    <xdr:sp macro="" textlink="">
      <xdr:nvSpPr>
        <xdr:cNvPr id="102" name="正方形/長方形 101">
          <a:extLst>
            <a:ext uri="{FF2B5EF4-FFF2-40B4-BE49-F238E27FC236}">
              <a16:creationId xmlns:a16="http://schemas.microsoft.com/office/drawing/2014/main" id="{32D950EB-1FAD-49C7-B111-35A7D9AD6C7B}"/>
            </a:ext>
          </a:extLst>
        </xdr:cNvPr>
        <xdr:cNvSpPr/>
      </xdr:nvSpPr>
      <xdr:spPr>
        <a:xfrm rot="5400000">
          <a:off x="3855631" y="7912120"/>
          <a:ext cx="539641" cy="27648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a:t>
          </a:r>
        </a:p>
      </xdr:txBody>
    </xdr:sp>
    <xdr:clientData/>
  </xdr:twoCellAnchor>
  <xdr:twoCellAnchor>
    <xdr:from>
      <xdr:col>5</xdr:col>
      <xdr:colOff>104539</xdr:colOff>
      <xdr:row>23</xdr:row>
      <xdr:rowOff>48691</xdr:rowOff>
    </xdr:from>
    <xdr:to>
      <xdr:col>10</xdr:col>
      <xdr:colOff>230986</xdr:colOff>
      <xdr:row>27</xdr:row>
      <xdr:rowOff>203238</xdr:rowOff>
    </xdr:to>
    <xdr:sp macro="" textlink="">
      <xdr:nvSpPr>
        <xdr:cNvPr id="104" name="正方形/長方形 103">
          <a:extLst>
            <a:ext uri="{FF2B5EF4-FFF2-40B4-BE49-F238E27FC236}">
              <a16:creationId xmlns:a16="http://schemas.microsoft.com/office/drawing/2014/main" id="{C1A028C0-688C-4016-83AE-D53E5066BD15}"/>
            </a:ext>
          </a:extLst>
        </xdr:cNvPr>
        <xdr:cNvSpPr/>
      </xdr:nvSpPr>
      <xdr:spPr>
        <a:xfrm>
          <a:off x="1533289" y="7430566"/>
          <a:ext cx="1555197" cy="1107047"/>
        </a:xfrm>
        <a:prstGeom prst="rect">
          <a:avLst/>
        </a:prstGeom>
        <a:solidFill>
          <a:schemeClr val="accent1">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awg ctrl</a:t>
          </a:r>
        </a:p>
        <a:p>
          <a:pPr algn="ctr"/>
          <a:endParaRPr kumimoji="1" lang="en-US" altLang="ja-JP" sz="1100">
            <a:solidFill>
              <a:schemeClr val="tx1"/>
            </a:solidFill>
          </a:endParaRPr>
        </a:p>
        <a:p>
          <a:pPr algn="ctr"/>
          <a:r>
            <a:rPr kumimoji="1" lang="en-US" altLang="ja-JP" sz="1100">
              <a:solidFill>
                <a:schemeClr val="tx1"/>
              </a:solidFill>
            </a:rPr>
            <a:t>(UDP</a:t>
          </a:r>
          <a:r>
            <a:rPr kumimoji="1" lang="ja-JP" altLang="en-US" sz="1100">
              <a:solidFill>
                <a:schemeClr val="tx1"/>
              </a:solidFill>
            </a:rPr>
            <a:t>ポート </a:t>
          </a:r>
          <a:r>
            <a:rPr kumimoji="1" lang="en-US" altLang="ja-JP" sz="1100">
              <a:solidFill>
                <a:schemeClr val="tx1"/>
              </a:solidFill>
            </a:rPr>
            <a:t>: 16385)</a:t>
          </a:r>
        </a:p>
      </xdr:txBody>
    </xdr:sp>
    <xdr:clientData/>
  </xdr:twoCellAnchor>
  <xdr:twoCellAnchor>
    <xdr:from>
      <xdr:col>15</xdr:col>
      <xdr:colOff>142991</xdr:colOff>
      <xdr:row>23</xdr:row>
      <xdr:rowOff>47895</xdr:rowOff>
    </xdr:from>
    <xdr:to>
      <xdr:col>15</xdr:col>
      <xdr:colOff>281624</xdr:colOff>
      <xdr:row>23</xdr:row>
      <xdr:rowOff>143015</xdr:rowOff>
    </xdr:to>
    <xdr:sp macro="" textlink="">
      <xdr:nvSpPr>
        <xdr:cNvPr id="105" name="楕円 104">
          <a:extLst>
            <a:ext uri="{FF2B5EF4-FFF2-40B4-BE49-F238E27FC236}">
              <a16:creationId xmlns:a16="http://schemas.microsoft.com/office/drawing/2014/main" id="{418E22D5-C07C-4619-9A02-E2583E071E7D}"/>
            </a:ext>
          </a:extLst>
        </xdr:cNvPr>
        <xdr:cNvSpPr/>
      </xdr:nvSpPr>
      <xdr:spPr>
        <a:xfrm>
          <a:off x="4429241" y="7429770"/>
          <a:ext cx="138633" cy="95120"/>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75050</xdr:colOff>
      <xdr:row>21</xdr:row>
      <xdr:rowOff>192775</xdr:rowOff>
    </xdr:from>
    <xdr:to>
      <xdr:col>20</xdr:col>
      <xdr:colOff>23800</xdr:colOff>
      <xdr:row>22</xdr:row>
      <xdr:rowOff>199346</xdr:rowOff>
    </xdr:to>
    <xdr:sp macro="" textlink="">
      <xdr:nvSpPr>
        <xdr:cNvPr id="109" name="正方形/長方形 108">
          <a:extLst>
            <a:ext uri="{FF2B5EF4-FFF2-40B4-BE49-F238E27FC236}">
              <a16:creationId xmlns:a16="http://schemas.microsoft.com/office/drawing/2014/main" id="{47C81BA7-4094-49EC-A666-09EB74DBEFAB}"/>
            </a:ext>
          </a:extLst>
        </xdr:cNvPr>
        <xdr:cNvSpPr/>
      </xdr:nvSpPr>
      <xdr:spPr>
        <a:xfrm>
          <a:off x="4529819" y="5270333"/>
          <a:ext cx="1062443" cy="24835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aseline="0">
              <a:solidFill>
                <a:schemeClr val="tx1"/>
              </a:solidFill>
            </a:rPr>
            <a:t>サンプルデータ</a:t>
          </a:r>
          <a:endParaRPr kumimoji="1" lang="en-US" altLang="ja-JP" sz="900">
            <a:solidFill>
              <a:schemeClr val="tx1"/>
            </a:solidFill>
          </a:endParaRPr>
        </a:p>
      </xdr:txBody>
    </xdr:sp>
    <xdr:clientData/>
  </xdr:twoCellAnchor>
  <xdr:twoCellAnchor>
    <xdr:from>
      <xdr:col>16</xdr:col>
      <xdr:colOff>6193</xdr:colOff>
      <xdr:row>24</xdr:row>
      <xdr:rowOff>103332</xdr:rowOff>
    </xdr:from>
    <xdr:to>
      <xdr:col>29</xdr:col>
      <xdr:colOff>43962</xdr:colOff>
      <xdr:row>24</xdr:row>
      <xdr:rowOff>103332</xdr:rowOff>
    </xdr:to>
    <xdr:cxnSp macro="">
      <xdr:nvCxnSpPr>
        <xdr:cNvPr id="110" name="直線矢印コネクタ 109">
          <a:extLst>
            <a:ext uri="{FF2B5EF4-FFF2-40B4-BE49-F238E27FC236}">
              <a16:creationId xmlns:a16="http://schemas.microsoft.com/office/drawing/2014/main" id="{8594D38E-534C-446E-AD0F-A4BD835E7F2D}"/>
            </a:ext>
          </a:extLst>
        </xdr:cNvPr>
        <xdr:cNvCxnSpPr/>
      </xdr:nvCxnSpPr>
      <xdr:spPr>
        <a:xfrm>
          <a:off x="4460962" y="5906255"/>
          <a:ext cx="3657269" cy="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274042</xdr:colOff>
      <xdr:row>28</xdr:row>
      <xdr:rowOff>166502</xdr:rowOff>
    </xdr:from>
    <xdr:to>
      <xdr:col>29</xdr:col>
      <xdr:colOff>43962</xdr:colOff>
      <xdr:row>28</xdr:row>
      <xdr:rowOff>166502</xdr:rowOff>
    </xdr:to>
    <xdr:cxnSp macro="">
      <xdr:nvCxnSpPr>
        <xdr:cNvPr id="111" name="直線矢印コネクタ 110">
          <a:extLst>
            <a:ext uri="{FF2B5EF4-FFF2-40B4-BE49-F238E27FC236}">
              <a16:creationId xmlns:a16="http://schemas.microsoft.com/office/drawing/2014/main" id="{3B0EC3EB-F118-44E9-B034-DB83C1802BCA}"/>
            </a:ext>
          </a:extLst>
        </xdr:cNvPr>
        <xdr:cNvCxnSpPr/>
      </xdr:nvCxnSpPr>
      <xdr:spPr>
        <a:xfrm>
          <a:off x="4450388" y="6936579"/>
          <a:ext cx="3667843" cy="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270847</xdr:colOff>
      <xdr:row>23</xdr:row>
      <xdr:rowOff>105730</xdr:rowOff>
    </xdr:from>
    <xdr:to>
      <xdr:col>29</xdr:col>
      <xdr:colOff>55557</xdr:colOff>
      <xdr:row>24</xdr:row>
      <xdr:rowOff>107195</xdr:rowOff>
    </xdr:to>
    <xdr:sp macro="" textlink="">
      <xdr:nvSpPr>
        <xdr:cNvPr id="112" name="正方形/長方形 111">
          <a:extLst>
            <a:ext uri="{FF2B5EF4-FFF2-40B4-BE49-F238E27FC236}">
              <a16:creationId xmlns:a16="http://schemas.microsoft.com/office/drawing/2014/main" id="{79F1C59F-663B-4E59-A8B6-2B2A05F02444}"/>
            </a:ext>
          </a:extLst>
        </xdr:cNvPr>
        <xdr:cNvSpPr/>
      </xdr:nvSpPr>
      <xdr:spPr>
        <a:xfrm>
          <a:off x="6953001" y="5666865"/>
          <a:ext cx="1176825" cy="24325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出力波形データ </a:t>
          </a:r>
          <a:r>
            <a:rPr kumimoji="1" lang="en-US" altLang="ja-JP" sz="900">
              <a:solidFill>
                <a:schemeClr val="tx1"/>
              </a:solidFill>
            </a:rPr>
            <a:t>0</a:t>
          </a:r>
        </a:p>
      </xdr:txBody>
    </xdr:sp>
    <xdr:clientData/>
  </xdr:twoCellAnchor>
  <xdr:twoCellAnchor>
    <xdr:from>
      <xdr:col>13</xdr:col>
      <xdr:colOff>26724</xdr:colOff>
      <xdr:row>22</xdr:row>
      <xdr:rowOff>80596</xdr:rowOff>
    </xdr:from>
    <xdr:to>
      <xdr:col>15</xdr:col>
      <xdr:colOff>273056</xdr:colOff>
      <xdr:row>24</xdr:row>
      <xdr:rowOff>219662</xdr:rowOff>
    </xdr:to>
    <xdr:sp macro="" textlink="">
      <xdr:nvSpPr>
        <xdr:cNvPr id="113" name="正方形/長方形 112">
          <a:extLst>
            <a:ext uri="{FF2B5EF4-FFF2-40B4-BE49-F238E27FC236}">
              <a16:creationId xmlns:a16="http://schemas.microsoft.com/office/drawing/2014/main" id="{3CC4B1B2-F5BF-46F4-9E31-27365C2DB1EA}"/>
            </a:ext>
          </a:extLst>
        </xdr:cNvPr>
        <xdr:cNvSpPr/>
      </xdr:nvSpPr>
      <xdr:spPr>
        <a:xfrm>
          <a:off x="3646224" y="5399942"/>
          <a:ext cx="803178" cy="622643"/>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AWG</a:t>
          </a:r>
          <a:r>
            <a:rPr kumimoji="1" lang="en-US" altLang="ja-JP" sz="1100" baseline="0">
              <a:solidFill>
                <a:schemeClr val="tx1"/>
              </a:solidFill>
            </a:rPr>
            <a:t> 0</a:t>
          </a:r>
          <a:endParaRPr kumimoji="1" lang="en-US" altLang="ja-JP" sz="1100">
            <a:solidFill>
              <a:schemeClr val="tx1"/>
            </a:solidFill>
          </a:endParaRPr>
        </a:p>
      </xdr:txBody>
    </xdr:sp>
    <xdr:clientData/>
  </xdr:twoCellAnchor>
  <xdr:twoCellAnchor>
    <xdr:from>
      <xdr:col>13</xdr:col>
      <xdr:colOff>26723</xdr:colOff>
      <xdr:row>26</xdr:row>
      <xdr:rowOff>126526</xdr:rowOff>
    </xdr:from>
    <xdr:to>
      <xdr:col>15</xdr:col>
      <xdr:colOff>273056</xdr:colOff>
      <xdr:row>29</xdr:row>
      <xdr:rowOff>21986</xdr:rowOff>
    </xdr:to>
    <xdr:sp macro="" textlink="">
      <xdr:nvSpPr>
        <xdr:cNvPr id="114" name="正方形/長方形 113">
          <a:extLst>
            <a:ext uri="{FF2B5EF4-FFF2-40B4-BE49-F238E27FC236}">
              <a16:creationId xmlns:a16="http://schemas.microsoft.com/office/drawing/2014/main" id="{C80301CA-0D07-4D27-9A3E-391A3C43046C}"/>
            </a:ext>
          </a:extLst>
        </xdr:cNvPr>
        <xdr:cNvSpPr/>
      </xdr:nvSpPr>
      <xdr:spPr>
        <a:xfrm>
          <a:off x="3646223" y="6413026"/>
          <a:ext cx="803179" cy="620825"/>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AWG</a:t>
          </a:r>
          <a:r>
            <a:rPr kumimoji="1" lang="en-US" altLang="ja-JP" sz="1100" baseline="0">
              <a:solidFill>
                <a:schemeClr val="tx1"/>
              </a:solidFill>
            </a:rPr>
            <a:t> 15</a:t>
          </a:r>
          <a:endParaRPr kumimoji="1" lang="en-US" altLang="ja-JP" sz="1100">
            <a:solidFill>
              <a:schemeClr val="tx1"/>
            </a:solidFill>
          </a:endParaRPr>
        </a:p>
      </xdr:txBody>
    </xdr:sp>
    <xdr:clientData/>
  </xdr:twoCellAnchor>
  <xdr:twoCellAnchor>
    <xdr:from>
      <xdr:col>10</xdr:col>
      <xdr:colOff>228029</xdr:colOff>
      <xdr:row>23</xdr:row>
      <xdr:rowOff>97569</xdr:rowOff>
    </xdr:from>
    <xdr:to>
      <xdr:col>13</xdr:col>
      <xdr:colOff>15969</xdr:colOff>
      <xdr:row>23</xdr:row>
      <xdr:rowOff>97569</xdr:rowOff>
    </xdr:to>
    <xdr:cxnSp macro="">
      <xdr:nvCxnSpPr>
        <xdr:cNvPr id="115" name="直線矢印コネクタ 114">
          <a:extLst>
            <a:ext uri="{FF2B5EF4-FFF2-40B4-BE49-F238E27FC236}">
              <a16:creationId xmlns:a16="http://schemas.microsoft.com/office/drawing/2014/main" id="{7FD5A925-B9E9-46CD-A3E2-0C0ECF6AA6B9}"/>
            </a:ext>
          </a:extLst>
        </xdr:cNvPr>
        <xdr:cNvCxnSpPr/>
      </xdr:nvCxnSpPr>
      <xdr:spPr>
        <a:xfrm>
          <a:off x="3085529" y="7479444"/>
          <a:ext cx="645190"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232667</xdr:colOff>
      <xdr:row>26</xdr:row>
      <xdr:rowOff>221590</xdr:rowOff>
    </xdr:from>
    <xdr:to>
      <xdr:col>13</xdr:col>
      <xdr:colOff>27175</xdr:colOff>
      <xdr:row>26</xdr:row>
      <xdr:rowOff>221590</xdr:rowOff>
    </xdr:to>
    <xdr:cxnSp macro="">
      <xdr:nvCxnSpPr>
        <xdr:cNvPr id="116" name="直線矢印コネクタ 115">
          <a:extLst>
            <a:ext uri="{FF2B5EF4-FFF2-40B4-BE49-F238E27FC236}">
              <a16:creationId xmlns:a16="http://schemas.microsoft.com/office/drawing/2014/main" id="{7D1FECB3-0E20-4B10-B5D1-A61E28C293F6}"/>
            </a:ext>
          </a:extLst>
        </xdr:cNvPr>
        <xdr:cNvCxnSpPr/>
      </xdr:nvCxnSpPr>
      <xdr:spPr>
        <a:xfrm>
          <a:off x="3090167" y="8317840"/>
          <a:ext cx="65175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104539</xdr:colOff>
      <xdr:row>19</xdr:row>
      <xdr:rowOff>91537</xdr:rowOff>
    </xdr:from>
    <xdr:to>
      <xdr:col>10</xdr:col>
      <xdr:colOff>250263</xdr:colOff>
      <xdr:row>22</xdr:row>
      <xdr:rowOff>85168</xdr:rowOff>
    </xdr:to>
    <xdr:sp macro="" textlink="">
      <xdr:nvSpPr>
        <xdr:cNvPr id="117" name="正方形/長方形 116">
          <a:extLst>
            <a:ext uri="{FF2B5EF4-FFF2-40B4-BE49-F238E27FC236}">
              <a16:creationId xmlns:a16="http://schemas.microsoft.com/office/drawing/2014/main" id="{E08A7DD2-F799-4801-A446-30CCA4991DF9}"/>
            </a:ext>
          </a:extLst>
        </xdr:cNvPr>
        <xdr:cNvSpPr/>
      </xdr:nvSpPr>
      <xdr:spPr>
        <a:xfrm>
          <a:off x="1533289" y="6520912"/>
          <a:ext cx="1574474" cy="708006"/>
        </a:xfrm>
        <a:prstGeom prst="rect">
          <a:avLst/>
        </a:prstGeom>
        <a:solidFill>
          <a:schemeClr val="accent1">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upl axi rw</a:t>
          </a:r>
        </a:p>
        <a:p>
          <a:pPr algn="ctr"/>
          <a:endParaRPr kumimoji="1" lang="en-US" altLang="ja-JP" sz="1100">
            <a:solidFill>
              <a:schemeClr val="tx1"/>
            </a:solidFill>
          </a:endParaRPr>
        </a:p>
        <a:p>
          <a:pPr algn="ctr"/>
          <a:r>
            <a:rPr kumimoji="1" lang="en-US" altLang="ja-JP" sz="1100">
              <a:solidFill>
                <a:schemeClr val="tx1"/>
              </a:solidFill>
            </a:rPr>
            <a:t>(UDP</a:t>
          </a:r>
          <a:r>
            <a:rPr kumimoji="1" lang="ja-JP" altLang="en-US" sz="1100">
              <a:solidFill>
                <a:schemeClr val="tx1"/>
              </a:solidFill>
            </a:rPr>
            <a:t>ポート </a:t>
          </a:r>
          <a:r>
            <a:rPr kumimoji="1" lang="en-US" altLang="ja-JP" sz="1100">
              <a:solidFill>
                <a:schemeClr val="tx1"/>
              </a:solidFill>
            </a:rPr>
            <a:t>: 16384)</a:t>
          </a:r>
        </a:p>
      </xdr:txBody>
    </xdr:sp>
    <xdr:clientData/>
  </xdr:twoCellAnchor>
  <xdr:twoCellAnchor>
    <xdr:from>
      <xdr:col>10</xdr:col>
      <xdr:colOff>239828</xdr:colOff>
      <xdr:row>20</xdr:row>
      <xdr:rowOff>48993</xdr:rowOff>
    </xdr:from>
    <xdr:to>
      <xdr:col>25</xdr:col>
      <xdr:colOff>0</xdr:colOff>
      <xdr:row>20</xdr:row>
      <xdr:rowOff>48993</xdr:rowOff>
    </xdr:to>
    <xdr:cxnSp macro="">
      <xdr:nvCxnSpPr>
        <xdr:cNvPr id="118" name="直線矢印コネクタ 117">
          <a:extLst>
            <a:ext uri="{FF2B5EF4-FFF2-40B4-BE49-F238E27FC236}">
              <a16:creationId xmlns:a16="http://schemas.microsoft.com/office/drawing/2014/main" id="{3DB15761-A8D8-4080-9EA6-9AF1DAC3FD5A}"/>
            </a:ext>
          </a:extLst>
        </xdr:cNvPr>
        <xdr:cNvCxnSpPr/>
      </xdr:nvCxnSpPr>
      <xdr:spPr>
        <a:xfrm>
          <a:off x="2998794" y="4778648"/>
          <a:ext cx="3898620"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148457</xdr:colOff>
      <xdr:row>33</xdr:row>
      <xdr:rowOff>215619</xdr:rowOff>
    </xdr:from>
    <xdr:to>
      <xdr:col>5</xdr:col>
      <xdr:colOff>89612</xdr:colOff>
      <xdr:row>33</xdr:row>
      <xdr:rowOff>215619</xdr:rowOff>
    </xdr:to>
    <xdr:cxnSp macro="">
      <xdr:nvCxnSpPr>
        <xdr:cNvPr id="119" name="直線矢印コネクタ 118">
          <a:extLst>
            <a:ext uri="{FF2B5EF4-FFF2-40B4-BE49-F238E27FC236}">
              <a16:creationId xmlns:a16="http://schemas.microsoft.com/office/drawing/2014/main" id="{03B707DB-1E0F-4315-A867-33AA0629120B}"/>
            </a:ext>
          </a:extLst>
        </xdr:cNvPr>
        <xdr:cNvCxnSpPr/>
      </xdr:nvCxnSpPr>
      <xdr:spPr>
        <a:xfrm>
          <a:off x="1005707" y="9978744"/>
          <a:ext cx="512655"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154318</xdr:colOff>
      <xdr:row>20</xdr:row>
      <xdr:rowOff>214154</xdr:rowOff>
    </xdr:from>
    <xdr:to>
      <xdr:col>5</xdr:col>
      <xdr:colOff>102991</xdr:colOff>
      <xdr:row>20</xdr:row>
      <xdr:rowOff>214154</xdr:rowOff>
    </xdr:to>
    <xdr:cxnSp macro="">
      <xdr:nvCxnSpPr>
        <xdr:cNvPr id="120" name="直線矢印コネクタ 119">
          <a:extLst>
            <a:ext uri="{FF2B5EF4-FFF2-40B4-BE49-F238E27FC236}">
              <a16:creationId xmlns:a16="http://schemas.microsoft.com/office/drawing/2014/main" id="{7336E658-DDA9-4BD0-A35E-EF2547778CEE}"/>
            </a:ext>
          </a:extLst>
        </xdr:cNvPr>
        <xdr:cNvCxnSpPr/>
      </xdr:nvCxnSpPr>
      <xdr:spPr>
        <a:xfrm>
          <a:off x="1011568" y="6881654"/>
          <a:ext cx="520173"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164409</xdr:colOff>
      <xdr:row>25</xdr:row>
      <xdr:rowOff>101427</xdr:rowOff>
    </xdr:from>
    <xdr:to>
      <xdr:col>5</xdr:col>
      <xdr:colOff>98404</xdr:colOff>
      <xdr:row>25</xdr:row>
      <xdr:rowOff>101427</xdr:rowOff>
    </xdr:to>
    <xdr:cxnSp macro="">
      <xdr:nvCxnSpPr>
        <xdr:cNvPr id="121" name="直線矢印コネクタ 120">
          <a:extLst>
            <a:ext uri="{FF2B5EF4-FFF2-40B4-BE49-F238E27FC236}">
              <a16:creationId xmlns:a16="http://schemas.microsoft.com/office/drawing/2014/main" id="{D5F10923-927F-47A0-AC54-0334FB7DA27C}"/>
            </a:ext>
          </a:extLst>
        </xdr:cNvPr>
        <xdr:cNvCxnSpPr/>
      </xdr:nvCxnSpPr>
      <xdr:spPr>
        <a:xfrm>
          <a:off x="1021659" y="7959552"/>
          <a:ext cx="505495"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157163</xdr:colOff>
      <xdr:row>27</xdr:row>
      <xdr:rowOff>51883</xdr:rowOff>
    </xdr:from>
    <xdr:to>
      <xdr:col>3</xdr:col>
      <xdr:colOff>140183</xdr:colOff>
      <xdr:row>28</xdr:row>
      <xdr:rowOff>163511</xdr:rowOff>
    </xdr:to>
    <xdr:sp macro="" textlink="">
      <xdr:nvSpPr>
        <xdr:cNvPr id="122" name="矢印: 左右 121">
          <a:extLst>
            <a:ext uri="{FF2B5EF4-FFF2-40B4-BE49-F238E27FC236}">
              <a16:creationId xmlns:a16="http://schemas.microsoft.com/office/drawing/2014/main" id="{0C0846F3-C838-44B0-A828-B9A6FB81A640}"/>
            </a:ext>
          </a:extLst>
        </xdr:cNvPr>
        <xdr:cNvSpPr/>
      </xdr:nvSpPr>
      <xdr:spPr>
        <a:xfrm>
          <a:off x="157163" y="8386258"/>
          <a:ext cx="840270" cy="349753"/>
        </a:xfrm>
        <a:prstGeom prst="leftRightArrow">
          <a:avLst>
            <a:gd name="adj1" fmla="val 54651"/>
            <a:gd name="adj2" fmla="val 47764"/>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a:t>10GbE</a:t>
          </a:r>
          <a:endParaRPr kumimoji="1" lang="ja-JP" altLang="en-US" sz="1100">
            <a:solidFill>
              <a:schemeClr val="bg1"/>
            </a:solidFill>
          </a:endParaRPr>
        </a:p>
      </xdr:txBody>
    </xdr:sp>
    <xdr:clientData/>
  </xdr:twoCellAnchor>
  <xdr:twoCellAnchor>
    <xdr:from>
      <xdr:col>3</xdr:col>
      <xdr:colOff>154206</xdr:colOff>
      <xdr:row>20</xdr:row>
      <xdr:rowOff>179318</xdr:rowOff>
    </xdr:from>
    <xdr:to>
      <xdr:col>3</xdr:col>
      <xdr:colOff>154206</xdr:colOff>
      <xdr:row>33</xdr:row>
      <xdr:rowOff>237297</xdr:rowOff>
    </xdr:to>
    <xdr:cxnSp macro="">
      <xdr:nvCxnSpPr>
        <xdr:cNvPr id="123" name="直線コネクタ 122">
          <a:extLst>
            <a:ext uri="{FF2B5EF4-FFF2-40B4-BE49-F238E27FC236}">
              <a16:creationId xmlns:a16="http://schemas.microsoft.com/office/drawing/2014/main" id="{D772470C-5494-46E2-9A03-1710C77B67A2}"/>
            </a:ext>
          </a:extLst>
        </xdr:cNvPr>
        <xdr:cNvCxnSpPr/>
      </xdr:nvCxnSpPr>
      <xdr:spPr>
        <a:xfrm>
          <a:off x="1011456" y="6846818"/>
          <a:ext cx="0" cy="315360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270933</xdr:colOff>
      <xdr:row>27</xdr:row>
      <xdr:rowOff>158352</xdr:rowOff>
    </xdr:from>
    <xdr:to>
      <xdr:col>29</xdr:col>
      <xdr:colOff>60740</xdr:colOff>
      <xdr:row>28</xdr:row>
      <xdr:rowOff>166618</xdr:rowOff>
    </xdr:to>
    <xdr:sp macro="" textlink="">
      <xdr:nvSpPr>
        <xdr:cNvPr id="124" name="正方形/長方形 123">
          <a:extLst>
            <a:ext uri="{FF2B5EF4-FFF2-40B4-BE49-F238E27FC236}">
              <a16:creationId xmlns:a16="http://schemas.microsoft.com/office/drawing/2014/main" id="{6CFF1324-3AFE-4EA0-9601-050C361BDD97}"/>
            </a:ext>
          </a:extLst>
        </xdr:cNvPr>
        <xdr:cNvSpPr/>
      </xdr:nvSpPr>
      <xdr:spPr>
        <a:xfrm>
          <a:off x="6953087" y="6686640"/>
          <a:ext cx="1181922" cy="25005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出力波形データ </a:t>
          </a:r>
          <a:r>
            <a:rPr kumimoji="1" lang="en-US" altLang="ja-JP" sz="900">
              <a:solidFill>
                <a:schemeClr val="tx1"/>
              </a:solidFill>
            </a:rPr>
            <a:t>15</a:t>
          </a:r>
        </a:p>
      </xdr:txBody>
    </xdr:sp>
    <xdr:clientData/>
  </xdr:twoCellAnchor>
  <xdr:twoCellAnchor>
    <xdr:from>
      <xdr:col>29</xdr:col>
      <xdr:colOff>57025</xdr:colOff>
      <xdr:row>23</xdr:row>
      <xdr:rowOff>180735</xdr:rowOff>
    </xdr:from>
    <xdr:to>
      <xdr:col>32</xdr:col>
      <xdr:colOff>53512</xdr:colOff>
      <xdr:row>25</xdr:row>
      <xdr:rowOff>30209</xdr:rowOff>
    </xdr:to>
    <xdr:sp macro="" textlink="">
      <xdr:nvSpPr>
        <xdr:cNvPr id="125" name="正方形/長方形 124">
          <a:extLst>
            <a:ext uri="{FF2B5EF4-FFF2-40B4-BE49-F238E27FC236}">
              <a16:creationId xmlns:a16="http://schemas.microsoft.com/office/drawing/2014/main" id="{4492564A-C77D-4348-829F-54EBFB1FA1A8}"/>
            </a:ext>
          </a:extLst>
        </xdr:cNvPr>
        <xdr:cNvSpPr/>
      </xdr:nvSpPr>
      <xdr:spPr>
        <a:xfrm>
          <a:off x="8131294" y="5741870"/>
          <a:ext cx="831756" cy="333051"/>
        </a:xfrm>
        <a:prstGeom prst="rect">
          <a:avLst/>
        </a:prstGeom>
        <a:noFill/>
        <a:ln>
          <a:no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chemeClr val="tx1"/>
              </a:solidFill>
            </a:rPr>
            <a:t>AXI4</a:t>
          </a:r>
          <a:r>
            <a:rPr kumimoji="1" lang="en-US" altLang="ja-JP" sz="900" baseline="0">
              <a:solidFill>
                <a:schemeClr val="tx1"/>
              </a:solidFill>
            </a:rPr>
            <a:t>-Stream</a:t>
          </a:r>
          <a:endParaRPr kumimoji="1" lang="en-US" altLang="ja-JP" sz="900">
            <a:solidFill>
              <a:schemeClr val="tx1"/>
            </a:solidFill>
          </a:endParaRPr>
        </a:p>
      </xdr:txBody>
    </xdr:sp>
    <xdr:clientData/>
  </xdr:twoCellAnchor>
  <xdr:twoCellAnchor>
    <xdr:from>
      <xdr:col>29</xdr:col>
      <xdr:colOff>40977</xdr:colOff>
      <xdr:row>28</xdr:row>
      <xdr:rowOff>5397</xdr:rowOff>
    </xdr:from>
    <xdr:to>
      <xdr:col>32</xdr:col>
      <xdr:colOff>46185</xdr:colOff>
      <xdr:row>29</xdr:row>
      <xdr:rowOff>67200</xdr:rowOff>
    </xdr:to>
    <xdr:sp macro="" textlink="">
      <xdr:nvSpPr>
        <xdr:cNvPr id="126" name="正方形/長方形 125">
          <a:extLst>
            <a:ext uri="{FF2B5EF4-FFF2-40B4-BE49-F238E27FC236}">
              <a16:creationId xmlns:a16="http://schemas.microsoft.com/office/drawing/2014/main" id="{25341472-79FB-47C8-85F4-793C21507D30}"/>
            </a:ext>
          </a:extLst>
        </xdr:cNvPr>
        <xdr:cNvSpPr/>
      </xdr:nvSpPr>
      <xdr:spPr>
        <a:xfrm>
          <a:off x="8115246" y="6775474"/>
          <a:ext cx="840477" cy="303591"/>
        </a:xfrm>
        <a:prstGeom prst="rect">
          <a:avLst/>
        </a:prstGeom>
        <a:noFill/>
        <a:ln>
          <a:no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baseline="0">
              <a:solidFill>
                <a:schemeClr val="tx1"/>
              </a:solidFill>
            </a:rPr>
            <a:t>AXI4-Stream</a:t>
          </a:r>
          <a:endParaRPr kumimoji="1" lang="en-US" altLang="ja-JP" sz="900">
            <a:solidFill>
              <a:schemeClr val="tx1"/>
            </a:solidFill>
          </a:endParaRPr>
        </a:p>
      </xdr:txBody>
    </xdr:sp>
    <xdr:clientData/>
  </xdr:twoCellAnchor>
  <xdr:twoCellAnchor>
    <xdr:from>
      <xdr:col>16</xdr:col>
      <xdr:colOff>5225</xdr:colOff>
      <xdr:row>22</xdr:row>
      <xdr:rowOff>162015</xdr:rowOff>
    </xdr:from>
    <xdr:to>
      <xdr:col>20</xdr:col>
      <xdr:colOff>29249</xdr:colOff>
      <xdr:row>22</xdr:row>
      <xdr:rowOff>162015</xdr:rowOff>
    </xdr:to>
    <xdr:cxnSp macro="">
      <xdr:nvCxnSpPr>
        <xdr:cNvPr id="129" name="直線矢印コネクタ 128">
          <a:extLst>
            <a:ext uri="{FF2B5EF4-FFF2-40B4-BE49-F238E27FC236}">
              <a16:creationId xmlns:a16="http://schemas.microsoft.com/office/drawing/2014/main" id="{498CFBAA-7F58-4EED-BF35-06F70A4693D5}"/>
            </a:ext>
          </a:extLst>
        </xdr:cNvPr>
        <xdr:cNvCxnSpPr/>
      </xdr:nvCxnSpPr>
      <xdr:spPr>
        <a:xfrm flipH="1">
          <a:off x="4459994" y="5481361"/>
          <a:ext cx="1137717" cy="0"/>
        </a:xfrm>
        <a:prstGeom prst="straightConnector1">
          <a:avLst/>
        </a:prstGeom>
        <a:ln>
          <a:solidFill>
            <a:schemeClr val="tx1"/>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274856</xdr:colOff>
      <xdr:row>27</xdr:row>
      <xdr:rowOff>19875</xdr:rowOff>
    </xdr:from>
    <xdr:to>
      <xdr:col>20</xdr:col>
      <xdr:colOff>37957</xdr:colOff>
      <xdr:row>27</xdr:row>
      <xdr:rowOff>19875</xdr:rowOff>
    </xdr:to>
    <xdr:cxnSp macro="">
      <xdr:nvCxnSpPr>
        <xdr:cNvPr id="130" name="直線矢印コネクタ 129">
          <a:extLst>
            <a:ext uri="{FF2B5EF4-FFF2-40B4-BE49-F238E27FC236}">
              <a16:creationId xmlns:a16="http://schemas.microsoft.com/office/drawing/2014/main" id="{B8EAD62A-13AF-45EF-8EA6-F5BDA08C0320}"/>
            </a:ext>
          </a:extLst>
        </xdr:cNvPr>
        <xdr:cNvCxnSpPr/>
      </xdr:nvCxnSpPr>
      <xdr:spPr>
        <a:xfrm flipH="1" flipV="1">
          <a:off x="4561106" y="8354250"/>
          <a:ext cx="1191851" cy="0"/>
        </a:xfrm>
        <a:prstGeom prst="straightConnector1">
          <a:avLst/>
        </a:prstGeom>
        <a:ln>
          <a:solidFill>
            <a:schemeClr val="tx1"/>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183899</xdr:colOff>
      <xdr:row>21</xdr:row>
      <xdr:rowOff>221244</xdr:rowOff>
    </xdr:from>
    <xdr:to>
      <xdr:col>25</xdr:col>
      <xdr:colOff>0</xdr:colOff>
      <xdr:row>21</xdr:row>
      <xdr:rowOff>221244</xdr:rowOff>
    </xdr:to>
    <xdr:cxnSp macro="">
      <xdr:nvCxnSpPr>
        <xdr:cNvPr id="131" name="直線矢印コネクタ 130">
          <a:extLst>
            <a:ext uri="{FF2B5EF4-FFF2-40B4-BE49-F238E27FC236}">
              <a16:creationId xmlns:a16="http://schemas.microsoft.com/office/drawing/2014/main" id="{AEEB8674-1EB0-448D-A2CC-C8B303E08935}"/>
            </a:ext>
          </a:extLst>
        </xdr:cNvPr>
        <xdr:cNvCxnSpPr/>
      </xdr:nvCxnSpPr>
      <xdr:spPr>
        <a:xfrm>
          <a:off x="6529520" y="5187382"/>
          <a:ext cx="367894"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101818</xdr:colOff>
      <xdr:row>31</xdr:row>
      <xdr:rowOff>143309</xdr:rowOff>
    </xdr:from>
    <xdr:to>
      <xdr:col>10</xdr:col>
      <xdr:colOff>228265</xdr:colOff>
      <xdr:row>36</xdr:row>
      <xdr:rowOff>56929</xdr:rowOff>
    </xdr:to>
    <xdr:sp macro="" textlink="">
      <xdr:nvSpPr>
        <xdr:cNvPr id="132" name="正方形/長方形 131">
          <a:extLst>
            <a:ext uri="{FF2B5EF4-FFF2-40B4-BE49-F238E27FC236}">
              <a16:creationId xmlns:a16="http://schemas.microsoft.com/office/drawing/2014/main" id="{55E6195D-2B70-4C99-BCC7-E3B0D54B60CB}"/>
            </a:ext>
          </a:extLst>
        </xdr:cNvPr>
        <xdr:cNvSpPr/>
      </xdr:nvSpPr>
      <xdr:spPr>
        <a:xfrm>
          <a:off x="1530568" y="9430184"/>
          <a:ext cx="1555197" cy="1104245"/>
        </a:xfrm>
        <a:prstGeom prst="rect">
          <a:avLst/>
        </a:prstGeom>
        <a:solidFill>
          <a:schemeClr val="accent1">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digital out ctrl</a:t>
          </a:r>
        </a:p>
        <a:p>
          <a:pPr algn="ctr"/>
          <a:endParaRPr kumimoji="1" lang="en-US" altLang="ja-JP" sz="1100">
            <a:solidFill>
              <a:schemeClr val="tx1"/>
            </a:solidFill>
          </a:endParaRPr>
        </a:p>
        <a:p>
          <a:pPr algn="ctr"/>
          <a:r>
            <a:rPr kumimoji="1" lang="en-US" altLang="ja-JP" sz="1100">
              <a:solidFill>
                <a:schemeClr val="tx1"/>
              </a:solidFill>
            </a:rPr>
            <a:t>(UDP</a:t>
          </a:r>
          <a:r>
            <a:rPr kumimoji="1" lang="ja-JP" altLang="en-US" sz="1100">
              <a:solidFill>
                <a:schemeClr val="tx1"/>
              </a:solidFill>
            </a:rPr>
            <a:t>ポート </a:t>
          </a:r>
          <a:r>
            <a:rPr kumimoji="1" lang="en-US" altLang="ja-JP" sz="1100">
              <a:solidFill>
                <a:schemeClr val="tx1"/>
              </a:solidFill>
            </a:rPr>
            <a:t>: 16385)</a:t>
          </a:r>
        </a:p>
      </xdr:txBody>
    </xdr:sp>
    <xdr:clientData/>
  </xdr:twoCellAnchor>
  <xdr:twoCellAnchor>
    <xdr:from>
      <xdr:col>13</xdr:col>
      <xdr:colOff>228194</xdr:colOff>
      <xdr:row>32</xdr:row>
      <xdr:rowOff>199769</xdr:rowOff>
    </xdr:from>
    <xdr:to>
      <xdr:col>14</xdr:col>
      <xdr:colOff>218929</xdr:colOff>
      <xdr:row>35</xdr:row>
      <xdr:rowOff>25035</xdr:rowOff>
    </xdr:to>
    <xdr:sp macro="" textlink="">
      <xdr:nvSpPr>
        <xdr:cNvPr id="135" name="正方形/長方形 134">
          <a:extLst>
            <a:ext uri="{FF2B5EF4-FFF2-40B4-BE49-F238E27FC236}">
              <a16:creationId xmlns:a16="http://schemas.microsoft.com/office/drawing/2014/main" id="{6E83D87E-3C13-43DA-B0FB-A885519F12F4}"/>
            </a:ext>
          </a:extLst>
        </xdr:cNvPr>
        <xdr:cNvSpPr/>
      </xdr:nvSpPr>
      <xdr:spPr>
        <a:xfrm rot="5400000">
          <a:off x="3811366" y="9856347"/>
          <a:ext cx="539641" cy="27648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a:t>
          </a:r>
        </a:p>
      </xdr:txBody>
    </xdr:sp>
    <xdr:clientData/>
  </xdr:twoCellAnchor>
  <xdr:twoCellAnchor>
    <xdr:from>
      <xdr:col>10</xdr:col>
      <xdr:colOff>242997</xdr:colOff>
      <xdr:row>32</xdr:row>
      <xdr:rowOff>75647</xdr:rowOff>
    </xdr:from>
    <xdr:to>
      <xdr:col>12</xdr:col>
      <xdr:colOff>126727</xdr:colOff>
      <xdr:row>32</xdr:row>
      <xdr:rowOff>75647</xdr:rowOff>
    </xdr:to>
    <xdr:cxnSp macro="">
      <xdr:nvCxnSpPr>
        <xdr:cNvPr id="136" name="直線矢印コネクタ 135">
          <a:extLst>
            <a:ext uri="{FF2B5EF4-FFF2-40B4-BE49-F238E27FC236}">
              <a16:creationId xmlns:a16="http://schemas.microsoft.com/office/drawing/2014/main" id="{CF7F6FD2-02F1-4D25-A81E-CEE6B25BD15F}"/>
            </a:ext>
          </a:extLst>
        </xdr:cNvPr>
        <xdr:cNvCxnSpPr/>
      </xdr:nvCxnSpPr>
      <xdr:spPr>
        <a:xfrm>
          <a:off x="3100497" y="9600647"/>
          <a:ext cx="455230"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236429</xdr:colOff>
      <xdr:row>35</xdr:row>
      <xdr:rowOff>143638</xdr:rowOff>
    </xdr:from>
    <xdr:to>
      <xdr:col>12</xdr:col>
      <xdr:colOff>120158</xdr:colOff>
      <xdr:row>35</xdr:row>
      <xdr:rowOff>143638</xdr:rowOff>
    </xdr:to>
    <xdr:cxnSp macro="">
      <xdr:nvCxnSpPr>
        <xdr:cNvPr id="137" name="直線矢印コネクタ 136">
          <a:extLst>
            <a:ext uri="{FF2B5EF4-FFF2-40B4-BE49-F238E27FC236}">
              <a16:creationId xmlns:a16="http://schemas.microsoft.com/office/drawing/2014/main" id="{6E8DBF96-D5E1-432B-974B-D0130E1D12B1}"/>
            </a:ext>
          </a:extLst>
        </xdr:cNvPr>
        <xdr:cNvCxnSpPr/>
      </xdr:nvCxnSpPr>
      <xdr:spPr>
        <a:xfrm>
          <a:off x="3093929" y="10383013"/>
          <a:ext cx="455229"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179550</xdr:colOff>
      <xdr:row>24</xdr:row>
      <xdr:rowOff>76761</xdr:rowOff>
    </xdr:from>
    <xdr:to>
      <xdr:col>11</xdr:col>
      <xdr:colOff>179550</xdr:colOff>
      <xdr:row>30</xdr:row>
      <xdr:rowOff>142875</xdr:rowOff>
    </xdr:to>
    <xdr:cxnSp macro="">
      <xdr:nvCxnSpPr>
        <xdr:cNvPr id="157" name="直線コネクタ 156">
          <a:extLst>
            <a:ext uri="{FF2B5EF4-FFF2-40B4-BE49-F238E27FC236}">
              <a16:creationId xmlns:a16="http://schemas.microsoft.com/office/drawing/2014/main" id="{485D345C-8790-44A9-92AC-CB34D5D8FF89}"/>
            </a:ext>
          </a:extLst>
        </xdr:cNvPr>
        <xdr:cNvCxnSpPr/>
      </xdr:nvCxnSpPr>
      <xdr:spPr>
        <a:xfrm>
          <a:off x="3322800" y="7696761"/>
          <a:ext cx="0" cy="1494864"/>
        </a:xfrm>
        <a:prstGeom prst="line">
          <a:avLst/>
        </a:prstGeom>
        <a:ln w="15875">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169985</xdr:colOff>
      <xdr:row>24</xdr:row>
      <xdr:rowOff>109694</xdr:rowOff>
    </xdr:from>
    <xdr:to>
      <xdr:col>13</xdr:col>
      <xdr:colOff>31771</xdr:colOff>
      <xdr:row>24</xdr:row>
      <xdr:rowOff>109694</xdr:rowOff>
    </xdr:to>
    <xdr:cxnSp macro="">
      <xdr:nvCxnSpPr>
        <xdr:cNvPr id="159" name="直線矢印コネクタ 158">
          <a:extLst>
            <a:ext uri="{FF2B5EF4-FFF2-40B4-BE49-F238E27FC236}">
              <a16:creationId xmlns:a16="http://schemas.microsoft.com/office/drawing/2014/main" id="{E681F5F6-A722-441D-8246-FE7E931F0717}"/>
            </a:ext>
          </a:extLst>
        </xdr:cNvPr>
        <xdr:cNvCxnSpPr/>
      </xdr:nvCxnSpPr>
      <xdr:spPr>
        <a:xfrm flipH="1">
          <a:off x="3313235" y="7729694"/>
          <a:ext cx="433286" cy="0"/>
        </a:xfrm>
        <a:prstGeom prst="straightConnector1">
          <a:avLst/>
        </a:prstGeom>
        <a:ln>
          <a:solidFill>
            <a:srgbClr val="00B05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168088</xdr:colOff>
      <xdr:row>28</xdr:row>
      <xdr:rowOff>22288</xdr:rowOff>
    </xdr:from>
    <xdr:to>
      <xdr:col>13</xdr:col>
      <xdr:colOff>16083</xdr:colOff>
      <xdr:row>28</xdr:row>
      <xdr:rowOff>22288</xdr:rowOff>
    </xdr:to>
    <xdr:cxnSp macro="">
      <xdr:nvCxnSpPr>
        <xdr:cNvPr id="168" name="直線矢印コネクタ 167">
          <a:extLst>
            <a:ext uri="{FF2B5EF4-FFF2-40B4-BE49-F238E27FC236}">
              <a16:creationId xmlns:a16="http://schemas.microsoft.com/office/drawing/2014/main" id="{532CAAA7-8361-4F87-B25D-91FBB96CA0D9}"/>
            </a:ext>
          </a:extLst>
        </xdr:cNvPr>
        <xdr:cNvCxnSpPr/>
      </xdr:nvCxnSpPr>
      <xdr:spPr>
        <a:xfrm flipH="1">
          <a:off x="3311338" y="8594788"/>
          <a:ext cx="419495" cy="0"/>
        </a:xfrm>
        <a:prstGeom prst="straightConnector1">
          <a:avLst/>
        </a:prstGeom>
        <a:ln>
          <a:solidFill>
            <a:srgbClr val="00B05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22167</xdr:colOff>
      <xdr:row>30</xdr:row>
      <xdr:rowOff>83426</xdr:rowOff>
    </xdr:from>
    <xdr:to>
      <xdr:col>11</xdr:col>
      <xdr:colOff>182620</xdr:colOff>
      <xdr:row>31</xdr:row>
      <xdr:rowOff>143309</xdr:rowOff>
    </xdr:to>
    <xdr:cxnSp macro="">
      <xdr:nvCxnSpPr>
        <xdr:cNvPr id="171" name="コネクタ: カギ線 170">
          <a:extLst>
            <a:ext uri="{FF2B5EF4-FFF2-40B4-BE49-F238E27FC236}">
              <a16:creationId xmlns:a16="http://schemas.microsoft.com/office/drawing/2014/main" id="{5A99FAB8-96B7-3F7B-7904-BDC1BB449333}"/>
            </a:ext>
          </a:extLst>
        </xdr:cNvPr>
        <xdr:cNvCxnSpPr>
          <a:endCxn id="132" idx="0"/>
        </xdr:cNvCxnSpPr>
      </xdr:nvCxnSpPr>
      <xdr:spPr>
        <a:xfrm rot="10800000" flipV="1">
          <a:off x="2308167" y="9132176"/>
          <a:ext cx="1017703" cy="298008"/>
        </a:xfrm>
        <a:prstGeom prst="bentConnector2">
          <a:avLst/>
        </a:prstGeom>
        <a:ln>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14185</xdr:colOff>
      <xdr:row>28</xdr:row>
      <xdr:rowOff>96047</xdr:rowOff>
    </xdr:from>
    <xdr:to>
      <xdr:col>10</xdr:col>
      <xdr:colOff>256075</xdr:colOff>
      <xdr:row>30</xdr:row>
      <xdr:rowOff>118097</xdr:rowOff>
    </xdr:to>
    <xdr:sp macro="" textlink="">
      <xdr:nvSpPr>
        <xdr:cNvPr id="195" name="正方形/長方形 194">
          <a:extLst>
            <a:ext uri="{FF2B5EF4-FFF2-40B4-BE49-F238E27FC236}">
              <a16:creationId xmlns:a16="http://schemas.microsoft.com/office/drawing/2014/main" id="{EB7881A6-C15C-45F1-9B14-5639F9CAB5D5}"/>
            </a:ext>
          </a:extLst>
        </xdr:cNvPr>
        <xdr:cNvSpPr/>
      </xdr:nvSpPr>
      <xdr:spPr>
        <a:xfrm>
          <a:off x="2014435" y="8668547"/>
          <a:ext cx="1099140" cy="4983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ディジタル出力</a:t>
          </a:r>
          <a:endParaRPr kumimoji="1" lang="en-US" altLang="ja-JP" sz="900">
            <a:solidFill>
              <a:schemeClr val="tx1"/>
            </a:solidFill>
          </a:endParaRPr>
        </a:p>
        <a:p>
          <a:pPr algn="ctr"/>
          <a:r>
            <a:rPr kumimoji="1" lang="ja-JP" altLang="en-US" sz="900">
              <a:solidFill>
                <a:schemeClr val="tx1"/>
              </a:solidFill>
            </a:rPr>
            <a:t>制御信号</a:t>
          </a:r>
          <a:endParaRPr kumimoji="1" lang="en-US" altLang="ja-JP" sz="900">
            <a:solidFill>
              <a:schemeClr val="tx1"/>
            </a:solidFill>
          </a:endParaRPr>
        </a:p>
      </xdr:txBody>
    </xdr:sp>
    <xdr:clientData/>
  </xdr:twoCellAnchor>
  <xdr:twoCellAnchor>
    <xdr:from>
      <xdr:col>16</xdr:col>
      <xdr:colOff>9506</xdr:colOff>
      <xdr:row>32</xdr:row>
      <xdr:rowOff>43697</xdr:rowOff>
    </xdr:from>
    <xdr:to>
      <xdr:col>29</xdr:col>
      <xdr:colOff>36635</xdr:colOff>
      <xdr:row>32</xdr:row>
      <xdr:rowOff>43697</xdr:rowOff>
    </xdr:to>
    <xdr:cxnSp macro="">
      <xdr:nvCxnSpPr>
        <xdr:cNvPr id="244" name="直線矢印コネクタ 243">
          <a:extLst>
            <a:ext uri="{FF2B5EF4-FFF2-40B4-BE49-F238E27FC236}">
              <a16:creationId xmlns:a16="http://schemas.microsoft.com/office/drawing/2014/main" id="{3DBE9911-62F3-444A-B573-93801378F3D8}"/>
            </a:ext>
          </a:extLst>
        </xdr:cNvPr>
        <xdr:cNvCxnSpPr/>
      </xdr:nvCxnSpPr>
      <xdr:spPr>
        <a:xfrm>
          <a:off x="4464275" y="7780928"/>
          <a:ext cx="3646629" cy="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1130</xdr:colOff>
      <xdr:row>35</xdr:row>
      <xdr:rowOff>129708</xdr:rowOff>
    </xdr:from>
    <xdr:to>
      <xdr:col>29</xdr:col>
      <xdr:colOff>36635</xdr:colOff>
      <xdr:row>35</xdr:row>
      <xdr:rowOff>129708</xdr:rowOff>
    </xdr:to>
    <xdr:cxnSp macro="">
      <xdr:nvCxnSpPr>
        <xdr:cNvPr id="246" name="直線矢印コネクタ 245">
          <a:extLst>
            <a:ext uri="{FF2B5EF4-FFF2-40B4-BE49-F238E27FC236}">
              <a16:creationId xmlns:a16="http://schemas.microsoft.com/office/drawing/2014/main" id="{E35FD2B0-906F-48F8-AF37-E9228A4A5800}"/>
            </a:ext>
          </a:extLst>
        </xdr:cNvPr>
        <xdr:cNvCxnSpPr/>
      </xdr:nvCxnSpPr>
      <xdr:spPr>
        <a:xfrm>
          <a:off x="4455899" y="8592304"/>
          <a:ext cx="3655005" cy="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90121</xdr:colOff>
      <xdr:row>31</xdr:row>
      <xdr:rowOff>30678</xdr:rowOff>
    </xdr:from>
    <xdr:to>
      <xdr:col>29</xdr:col>
      <xdr:colOff>50592</xdr:colOff>
      <xdr:row>32</xdr:row>
      <xdr:rowOff>43736</xdr:rowOff>
    </xdr:to>
    <xdr:sp macro="" textlink="">
      <xdr:nvSpPr>
        <xdr:cNvPr id="248" name="正方形/長方形 247">
          <a:extLst>
            <a:ext uri="{FF2B5EF4-FFF2-40B4-BE49-F238E27FC236}">
              <a16:creationId xmlns:a16="http://schemas.microsoft.com/office/drawing/2014/main" id="{78D301CC-F524-4D01-9AB8-3EF0DACE257A}"/>
            </a:ext>
          </a:extLst>
        </xdr:cNvPr>
        <xdr:cNvSpPr/>
      </xdr:nvSpPr>
      <xdr:spPr>
        <a:xfrm>
          <a:off x="6772275" y="7526120"/>
          <a:ext cx="1352586" cy="25484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900">
              <a:solidFill>
                <a:schemeClr val="tx1"/>
              </a:solidFill>
            </a:rPr>
            <a:t>16-bit  </a:t>
          </a:r>
          <a:r>
            <a:rPr kumimoji="1" lang="ja-JP" altLang="en-US" sz="900">
              <a:solidFill>
                <a:schemeClr val="tx1"/>
              </a:solidFill>
            </a:rPr>
            <a:t>ディジタル値 </a:t>
          </a:r>
          <a:r>
            <a:rPr kumimoji="1" lang="en-US" altLang="ja-JP" sz="900">
              <a:solidFill>
                <a:schemeClr val="tx1"/>
              </a:solidFill>
            </a:rPr>
            <a:t>0</a:t>
          </a:r>
        </a:p>
      </xdr:txBody>
    </xdr:sp>
    <xdr:clientData/>
  </xdr:twoCellAnchor>
  <xdr:twoCellAnchor>
    <xdr:from>
      <xdr:col>24</xdr:col>
      <xdr:colOff>42496</xdr:colOff>
      <xdr:row>34</xdr:row>
      <xdr:rowOff>121558</xdr:rowOff>
    </xdr:from>
    <xdr:to>
      <xdr:col>29</xdr:col>
      <xdr:colOff>50355</xdr:colOff>
      <xdr:row>35</xdr:row>
      <xdr:rowOff>129822</xdr:rowOff>
    </xdr:to>
    <xdr:sp macro="" textlink="">
      <xdr:nvSpPr>
        <xdr:cNvPr id="250" name="正方形/長方形 249">
          <a:extLst>
            <a:ext uri="{FF2B5EF4-FFF2-40B4-BE49-F238E27FC236}">
              <a16:creationId xmlns:a16="http://schemas.microsoft.com/office/drawing/2014/main" id="{5437574E-F061-460A-9858-05F0967D00E0}"/>
            </a:ext>
          </a:extLst>
        </xdr:cNvPr>
        <xdr:cNvSpPr/>
      </xdr:nvSpPr>
      <xdr:spPr>
        <a:xfrm>
          <a:off x="6724650" y="8342366"/>
          <a:ext cx="1399974" cy="25005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chemeClr val="tx1"/>
              </a:solidFill>
            </a:rPr>
            <a:t>16-bit  </a:t>
          </a:r>
          <a:r>
            <a:rPr kumimoji="1" lang="ja-JP" altLang="en-US" sz="900">
              <a:solidFill>
                <a:schemeClr val="tx1"/>
              </a:solidFill>
            </a:rPr>
            <a:t>ディジタル値 </a:t>
          </a:r>
          <a:r>
            <a:rPr kumimoji="1" lang="en-US" altLang="ja-JP" sz="900">
              <a:solidFill>
                <a:schemeClr val="tx1"/>
              </a:solidFill>
            </a:rPr>
            <a:t>33</a:t>
          </a:r>
        </a:p>
      </xdr:txBody>
    </xdr:sp>
    <xdr:clientData/>
  </xdr:twoCellAnchor>
  <xdr:twoCellAnchor>
    <xdr:from>
      <xdr:col>12</xdr:col>
      <xdr:colOff>146904</xdr:colOff>
      <xdr:row>31</xdr:row>
      <xdr:rowOff>63549</xdr:rowOff>
    </xdr:from>
    <xdr:to>
      <xdr:col>16</xdr:col>
      <xdr:colOff>9525</xdr:colOff>
      <xdr:row>33</xdr:row>
      <xdr:rowOff>26207</xdr:rowOff>
    </xdr:to>
    <xdr:sp macro="" textlink="">
      <xdr:nvSpPr>
        <xdr:cNvPr id="133" name="正方形/長方形 132">
          <a:extLst>
            <a:ext uri="{FF2B5EF4-FFF2-40B4-BE49-F238E27FC236}">
              <a16:creationId xmlns:a16="http://schemas.microsoft.com/office/drawing/2014/main" id="{A4F3B4CD-7D5B-4B74-A191-B1331AF91925}"/>
            </a:ext>
          </a:extLst>
        </xdr:cNvPr>
        <xdr:cNvSpPr/>
      </xdr:nvSpPr>
      <xdr:spPr>
        <a:xfrm>
          <a:off x="3575904" y="9350424"/>
          <a:ext cx="1005621" cy="438908"/>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aseline="0">
              <a:solidFill>
                <a:schemeClr val="tx1"/>
              </a:solidFill>
            </a:rPr>
            <a:t>digital out 0</a:t>
          </a:r>
          <a:endParaRPr kumimoji="1" lang="en-US" altLang="ja-JP" sz="1100">
            <a:solidFill>
              <a:schemeClr val="tx1"/>
            </a:solidFill>
          </a:endParaRPr>
        </a:p>
      </xdr:txBody>
    </xdr:sp>
    <xdr:clientData/>
  </xdr:twoCellAnchor>
  <xdr:twoCellAnchor>
    <xdr:from>
      <xdr:col>12</xdr:col>
      <xdr:colOff>146903</xdr:colOff>
      <xdr:row>34</xdr:row>
      <xdr:rowOff>166063</xdr:rowOff>
    </xdr:from>
    <xdr:to>
      <xdr:col>16</xdr:col>
      <xdr:colOff>19050</xdr:colOff>
      <xdr:row>36</xdr:row>
      <xdr:rowOff>151942</xdr:rowOff>
    </xdr:to>
    <xdr:sp macro="" textlink="">
      <xdr:nvSpPr>
        <xdr:cNvPr id="134" name="正方形/長方形 133">
          <a:extLst>
            <a:ext uri="{FF2B5EF4-FFF2-40B4-BE49-F238E27FC236}">
              <a16:creationId xmlns:a16="http://schemas.microsoft.com/office/drawing/2014/main" id="{D339D079-709D-4218-8ECB-0553F53F7DBF}"/>
            </a:ext>
          </a:extLst>
        </xdr:cNvPr>
        <xdr:cNvSpPr/>
      </xdr:nvSpPr>
      <xdr:spPr>
        <a:xfrm>
          <a:off x="3575903" y="10167313"/>
          <a:ext cx="1015147" cy="462129"/>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aseline="0">
              <a:solidFill>
                <a:schemeClr val="tx1"/>
              </a:solidFill>
            </a:rPr>
            <a:t>digital out 33</a:t>
          </a:r>
          <a:endParaRPr kumimoji="1" lang="en-US" altLang="ja-JP" sz="1100">
            <a:solidFill>
              <a:schemeClr val="tx1"/>
            </a:solidFill>
          </a:endParaRPr>
        </a:p>
      </xdr:txBody>
    </xdr:sp>
    <xdr:clientData/>
  </xdr:twoCellAnchor>
  <xdr:twoCellAnchor>
    <xdr:from>
      <xdr:col>12</xdr:col>
      <xdr:colOff>255104</xdr:colOff>
      <xdr:row>40</xdr:row>
      <xdr:rowOff>214313</xdr:rowOff>
    </xdr:from>
    <xdr:to>
      <xdr:col>37</xdr:col>
      <xdr:colOff>44932</xdr:colOff>
      <xdr:row>91</xdr:row>
      <xdr:rowOff>219075</xdr:rowOff>
    </xdr:to>
    <xdr:sp macro="" textlink="">
      <xdr:nvSpPr>
        <xdr:cNvPr id="2" name="正方形/長方形 1">
          <a:extLst>
            <a:ext uri="{FF2B5EF4-FFF2-40B4-BE49-F238E27FC236}">
              <a16:creationId xmlns:a16="http://schemas.microsoft.com/office/drawing/2014/main" id="{214DD5B8-5074-4635-AC54-04E1B92317F7}"/>
            </a:ext>
          </a:extLst>
        </xdr:cNvPr>
        <xdr:cNvSpPr/>
      </xdr:nvSpPr>
      <xdr:spPr>
        <a:xfrm>
          <a:off x="3569804" y="9739313"/>
          <a:ext cx="6695453" cy="12149137"/>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400">
              <a:solidFill>
                <a:schemeClr val="tx1"/>
              </a:solidFill>
            </a:rPr>
            <a:t>ZCU216</a:t>
          </a:r>
          <a:endParaRPr kumimoji="1" lang="ja-JP" altLang="en-US" sz="1400">
            <a:solidFill>
              <a:schemeClr val="tx1"/>
            </a:solidFill>
          </a:endParaRPr>
        </a:p>
      </xdr:txBody>
    </xdr:sp>
    <xdr:clientData/>
  </xdr:twoCellAnchor>
  <xdr:twoCellAnchor>
    <xdr:from>
      <xdr:col>31</xdr:col>
      <xdr:colOff>63097</xdr:colOff>
      <xdr:row>42</xdr:row>
      <xdr:rowOff>189879</xdr:rowOff>
    </xdr:from>
    <xdr:to>
      <xdr:col>36</xdr:col>
      <xdr:colOff>118234</xdr:colOff>
      <xdr:row>85</xdr:row>
      <xdr:rowOff>142875</xdr:rowOff>
    </xdr:to>
    <xdr:sp macro="" textlink="">
      <xdr:nvSpPr>
        <xdr:cNvPr id="3" name="正方形/長方形 2">
          <a:extLst>
            <a:ext uri="{FF2B5EF4-FFF2-40B4-BE49-F238E27FC236}">
              <a16:creationId xmlns:a16="http://schemas.microsoft.com/office/drawing/2014/main" id="{8B91D669-0F97-4689-9614-D3CC0F64725E}"/>
            </a:ext>
          </a:extLst>
        </xdr:cNvPr>
        <xdr:cNvSpPr/>
      </xdr:nvSpPr>
      <xdr:spPr>
        <a:xfrm>
          <a:off x="8626072" y="10191129"/>
          <a:ext cx="1436262" cy="10192371"/>
        </a:xfrm>
        <a:prstGeom prst="rect">
          <a:avLst/>
        </a:prstGeom>
        <a:solidFill>
          <a:schemeClr val="accent6">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200">
              <a:solidFill>
                <a:schemeClr val="tx1"/>
              </a:solidFill>
            </a:rPr>
            <a:t>RF</a:t>
          </a:r>
          <a:r>
            <a:rPr kumimoji="1" lang="en-US" altLang="ja-JP" sz="1200" baseline="0">
              <a:solidFill>
                <a:schemeClr val="tx1"/>
              </a:solidFill>
            </a:rPr>
            <a:t> Data Converter</a:t>
          </a:r>
          <a:endParaRPr kumimoji="1" lang="ja-JP" altLang="en-US" sz="1400">
            <a:solidFill>
              <a:schemeClr val="tx1"/>
            </a:solidFill>
          </a:endParaRPr>
        </a:p>
      </xdr:txBody>
    </xdr:sp>
    <xdr:clientData/>
  </xdr:twoCellAnchor>
  <xdr:twoCellAnchor>
    <xdr:from>
      <xdr:col>31</xdr:col>
      <xdr:colOff>268185</xdr:colOff>
      <xdr:row>46</xdr:row>
      <xdr:rowOff>121018</xdr:rowOff>
    </xdr:from>
    <xdr:to>
      <xdr:col>35</xdr:col>
      <xdr:colOff>257186</xdr:colOff>
      <xdr:row>48</xdr:row>
      <xdr:rowOff>173197</xdr:rowOff>
    </xdr:to>
    <xdr:sp macro="" textlink="">
      <xdr:nvSpPr>
        <xdr:cNvPr id="4" name="正方形/長方形 3">
          <a:extLst>
            <a:ext uri="{FF2B5EF4-FFF2-40B4-BE49-F238E27FC236}">
              <a16:creationId xmlns:a16="http://schemas.microsoft.com/office/drawing/2014/main" id="{9701789C-7D50-445F-9E41-52BE3D8E634F}"/>
            </a:ext>
          </a:extLst>
        </xdr:cNvPr>
        <xdr:cNvSpPr/>
      </xdr:nvSpPr>
      <xdr:spPr>
        <a:xfrm>
          <a:off x="8831160" y="11074768"/>
          <a:ext cx="1093901" cy="528429"/>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DAC</a:t>
          </a:r>
        </a:p>
        <a:p>
          <a:pPr algn="ctr"/>
          <a:r>
            <a:rPr kumimoji="1" lang="en-US" altLang="ja-JP" sz="1200">
              <a:solidFill>
                <a:schemeClr val="tx1"/>
              </a:solidFill>
            </a:rPr>
            <a:t>Tile</a:t>
          </a:r>
          <a:r>
            <a:rPr kumimoji="1" lang="en-US" altLang="ja-JP" sz="1200" baseline="0">
              <a:solidFill>
                <a:schemeClr val="tx1"/>
              </a:solidFill>
            </a:rPr>
            <a:t> 228   Ch 0</a:t>
          </a:r>
          <a:endParaRPr kumimoji="1" lang="ja-JP" altLang="en-US" sz="1400">
            <a:solidFill>
              <a:schemeClr val="tx1"/>
            </a:solidFill>
          </a:endParaRPr>
        </a:p>
      </xdr:txBody>
    </xdr:sp>
    <xdr:clientData/>
  </xdr:twoCellAnchor>
  <xdr:twoCellAnchor>
    <xdr:from>
      <xdr:col>29</xdr:col>
      <xdr:colOff>23852</xdr:colOff>
      <xdr:row>47</xdr:row>
      <xdr:rowOff>12017</xdr:rowOff>
    </xdr:from>
    <xdr:to>
      <xdr:col>31</xdr:col>
      <xdr:colOff>276845</xdr:colOff>
      <xdr:row>47</xdr:row>
      <xdr:rowOff>12017</xdr:rowOff>
    </xdr:to>
    <xdr:cxnSp macro="">
      <xdr:nvCxnSpPr>
        <xdr:cNvPr id="5" name="直線矢印コネクタ 4">
          <a:extLst>
            <a:ext uri="{FF2B5EF4-FFF2-40B4-BE49-F238E27FC236}">
              <a16:creationId xmlns:a16="http://schemas.microsoft.com/office/drawing/2014/main" id="{6931812C-8C95-4155-A870-54C3F44C619A}"/>
            </a:ext>
          </a:extLst>
        </xdr:cNvPr>
        <xdr:cNvCxnSpPr/>
      </xdr:nvCxnSpPr>
      <xdr:spPr>
        <a:xfrm>
          <a:off x="8310602" y="13108892"/>
          <a:ext cx="824493"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263216</xdr:colOff>
      <xdr:row>48</xdr:row>
      <xdr:rowOff>218861</xdr:rowOff>
    </xdr:from>
    <xdr:to>
      <xdr:col>35</xdr:col>
      <xdr:colOff>252217</xdr:colOff>
      <xdr:row>51</xdr:row>
      <xdr:rowOff>28585</xdr:rowOff>
    </xdr:to>
    <xdr:sp macro="" textlink="">
      <xdr:nvSpPr>
        <xdr:cNvPr id="6" name="正方形/長方形 5">
          <a:extLst>
            <a:ext uri="{FF2B5EF4-FFF2-40B4-BE49-F238E27FC236}">
              <a16:creationId xmlns:a16="http://schemas.microsoft.com/office/drawing/2014/main" id="{8E4D3500-D309-4486-A000-81E5E89D2015}"/>
            </a:ext>
          </a:extLst>
        </xdr:cNvPr>
        <xdr:cNvSpPr/>
      </xdr:nvSpPr>
      <xdr:spPr>
        <a:xfrm>
          <a:off x="8826191" y="11648861"/>
          <a:ext cx="1093901" cy="524099"/>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DAC</a:t>
          </a:r>
        </a:p>
        <a:p>
          <a:pPr algn="ctr"/>
          <a:r>
            <a:rPr kumimoji="1" lang="en-US" altLang="ja-JP" sz="1200">
              <a:solidFill>
                <a:schemeClr val="tx1"/>
              </a:solidFill>
            </a:rPr>
            <a:t>Tile</a:t>
          </a:r>
          <a:r>
            <a:rPr kumimoji="1" lang="en-US" altLang="ja-JP" sz="1200" baseline="0">
              <a:solidFill>
                <a:schemeClr val="tx1"/>
              </a:solidFill>
            </a:rPr>
            <a:t> 228   Ch 1</a:t>
          </a:r>
          <a:endParaRPr kumimoji="1" lang="ja-JP" altLang="en-US" sz="1400">
            <a:solidFill>
              <a:schemeClr val="tx1"/>
            </a:solidFill>
          </a:endParaRPr>
        </a:p>
      </xdr:txBody>
    </xdr:sp>
    <xdr:clientData/>
  </xdr:twoCellAnchor>
  <xdr:twoCellAnchor>
    <xdr:from>
      <xdr:col>29</xdr:col>
      <xdr:colOff>27166</xdr:colOff>
      <xdr:row>49</xdr:row>
      <xdr:rowOff>136336</xdr:rowOff>
    </xdr:from>
    <xdr:to>
      <xdr:col>31</xdr:col>
      <xdr:colOff>260280</xdr:colOff>
      <xdr:row>49</xdr:row>
      <xdr:rowOff>136336</xdr:rowOff>
    </xdr:to>
    <xdr:cxnSp macro="">
      <xdr:nvCxnSpPr>
        <xdr:cNvPr id="7" name="直線矢印コネクタ 6">
          <a:extLst>
            <a:ext uri="{FF2B5EF4-FFF2-40B4-BE49-F238E27FC236}">
              <a16:creationId xmlns:a16="http://schemas.microsoft.com/office/drawing/2014/main" id="{4F8F1802-834B-4B51-8B42-D87621C35FA5}"/>
            </a:ext>
          </a:extLst>
        </xdr:cNvPr>
        <xdr:cNvCxnSpPr/>
      </xdr:nvCxnSpPr>
      <xdr:spPr>
        <a:xfrm>
          <a:off x="8313916" y="13709461"/>
          <a:ext cx="804614"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266528</xdr:colOff>
      <xdr:row>51</xdr:row>
      <xdr:rowOff>92438</xdr:rowOff>
    </xdr:from>
    <xdr:to>
      <xdr:col>35</xdr:col>
      <xdr:colOff>255529</xdr:colOff>
      <xdr:row>53</xdr:row>
      <xdr:rowOff>154141</xdr:rowOff>
    </xdr:to>
    <xdr:sp macro="" textlink="">
      <xdr:nvSpPr>
        <xdr:cNvPr id="8" name="正方形/長方形 7">
          <a:extLst>
            <a:ext uri="{FF2B5EF4-FFF2-40B4-BE49-F238E27FC236}">
              <a16:creationId xmlns:a16="http://schemas.microsoft.com/office/drawing/2014/main" id="{D0C3400B-0F39-43D0-8C56-327AF232B59B}"/>
            </a:ext>
          </a:extLst>
        </xdr:cNvPr>
        <xdr:cNvSpPr/>
      </xdr:nvSpPr>
      <xdr:spPr>
        <a:xfrm>
          <a:off x="8829503" y="12236813"/>
          <a:ext cx="1093901" cy="537953"/>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DAC</a:t>
          </a:r>
        </a:p>
        <a:p>
          <a:pPr algn="ctr"/>
          <a:r>
            <a:rPr kumimoji="1" lang="en-US" altLang="ja-JP" sz="1200">
              <a:solidFill>
                <a:schemeClr val="tx1"/>
              </a:solidFill>
            </a:rPr>
            <a:t>Tile</a:t>
          </a:r>
          <a:r>
            <a:rPr kumimoji="1" lang="en-US" altLang="ja-JP" sz="1200" baseline="0">
              <a:solidFill>
                <a:schemeClr val="tx1"/>
              </a:solidFill>
            </a:rPr>
            <a:t> 228   Ch 2</a:t>
          </a:r>
          <a:endParaRPr kumimoji="1" lang="ja-JP" altLang="en-US" sz="1400">
            <a:solidFill>
              <a:schemeClr val="tx1"/>
            </a:solidFill>
          </a:endParaRPr>
        </a:p>
      </xdr:txBody>
    </xdr:sp>
    <xdr:clientData/>
  </xdr:twoCellAnchor>
  <xdr:twoCellAnchor>
    <xdr:from>
      <xdr:col>29</xdr:col>
      <xdr:colOff>30478</xdr:colOff>
      <xdr:row>51</xdr:row>
      <xdr:rowOff>230437</xdr:rowOff>
    </xdr:from>
    <xdr:to>
      <xdr:col>31</xdr:col>
      <xdr:colOff>268563</xdr:colOff>
      <xdr:row>51</xdr:row>
      <xdr:rowOff>230437</xdr:rowOff>
    </xdr:to>
    <xdr:cxnSp macro="">
      <xdr:nvCxnSpPr>
        <xdr:cNvPr id="9" name="直線矢印コネクタ 8">
          <a:extLst>
            <a:ext uri="{FF2B5EF4-FFF2-40B4-BE49-F238E27FC236}">
              <a16:creationId xmlns:a16="http://schemas.microsoft.com/office/drawing/2014/main" id="{3D501895-162C-44A0-B83E-0688837913B5}"/>
            </a:ext>
          </a:extLst>
        </xdr:cNvPr>
        <xdr:cNvCxnSpPr/>
      </xdr:nvCxnSpPr>
      <xdr:spPr>
        <a:xfrm>
          <a:off x="8317228" y="14279812"/>
          <a:ext cx="809585"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269841</xdr:colOff>
      <xdr:row>53</xdr:row>
      <xdr:rowOff>197624</xdr:rowOff>
    </xdr:from>
    <xdr:to>
      <xdr:col>35</xdr:col>
      <xdr:colOff>258842</xdr:colOff>
      <xdr:row>56</xdr:row>
      <xdr:rowOff>8877</xdr:rowOff>
    </xdr:to>
    <xdr:sp macro="" textlink="">
      <xdr:nvSpPr>
        <xdr:cNvPr id="10" name="正方形/長方形 9">
          <a:extLst>
            <a:ext uri="{FF2B5EF4-FFF2-40B4-BE49-F238E27FC236}">
              <a16:creationId xmlns:a16="http://schemas.microsoft.com/office/drawing/2014/main" id="{10D386B0-3B00-419F-A14F-2E7CC1B75D2F}"/>
            </a:ext>
          </a:extLst>
        </xdr:cNvPr>
        <xdr:cNvSpPr/>
      </xdr:nvSpPr>
      <xdr:spPr>
        <a:xfrm>
          <a:off x="8832816" y="12818249"/>
          <a:ext cx="1093901" cy="525628"/>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DAC</a:t>
          </a:r>
        </a:p>
        <a:p>
          <a:pPr algn="ctr"/>
          <a:r>
            <a:rPr kumimoji="1" lang="en-US" altLang="ja-JP" sz="1200">
              <a:solidFill>
                <a:schemeClr val="tx1"/>
              </a:solidFill>
            </a:rPr>
            <a:t>Tile</a:t>
          </a:r>
          <a:r>
            <a:rPr kumimoji="1" lang="en-US" altLang="ja-JP" sz="1200" baseline="0">
              <a:solidFill>
                <a:schemeClr val="tx1"/>
              </a:solidFill>
            </a:rPr>
            <a:t> 228   Ch 3</a:t>
          </a:r>
          <a:endParaRPr kumimoji="1" lang="ja-JP" altLang="en-US" sz="1400">
            <a:solidFill>
              <a:schemeClr val="tx1"/>
            </a:solidFill>
          </a:endParaRPr>
        </a:p>
      </xdr:txBody>
    </xdr:sp>
    <xdr:clientData/>
  </xdr:twoCellAnchor>
  <xdr:twoCellAnchor>
    <xdr:from>
      <xdr:col>29</xdr:col>
      <xdr:colOff>33791</xdr:colOff>
      <xdr:row>54</xdr:row>
      <xdr:rowOff>107756</xdr:rowOff>
    </xdr:from>
    <xdr:to>
      <xdr:col>31</xdr:col>
      <xdr:colOff>268563</xdr:colOff>
      <xdr:row>54</xdr:row>
      <xdr:rowOff>107756</xdr:rowOff>
    </xdr:to>
    <xdr:cxnSp macro="">
      <xdr:nvCxnSpPr>
        <xdr:cNvPr id="11" name="直線矢印コネクタ 10">
          <a:extLst>
            <a:ext uri="{FF2B5EF4-FFF2-40B4-BE49-F238E27FC236}">
              <a16:creationId xmlns:a16="http://schemas.microsoft.com/office/drawing/2014/main" id="{2381506B-85C9-41C6-A858-99E8D497FE26}"/>
            </a:ext>
          </a:extLst>
        </xdr:cNvPr>
        <xdr:cNvCxnSpPr/>
      </xdr:nvCxnSpPr>
      <xdr:spPr>
        <a:xfrm>
          <a:off x="8320541" y="14871506"/>
          <a:ext cx="806272"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263215</xdr:colOff>
      <xdr:row>56</xdr:row>
      <xdr:rowOff>60883</xdr:rowOff>
    </xdr:from>
    <xdr:to>
      <xdr:col>35</xdr:col>
      <xdr:colOff>252216</xdr:colOff>
      <xdr:row>58</xdr:row>
      <xdr:rowOff>113061</xdr:rowOff>
    </xdr:to>
    <xdr:sp macro="" textlink="">
      <xdr:nvSpPr>
        <xdr:cNvPr id="12" name="正方形/長方形 11">
          <a:extLst>
            <a:ext uri="{FF2B5EF4-FFF2-40B4-BE49-F238E27FC236}">
              <a16:creationId xmlns:a16="http://schemas.microsoft.com/office/drawing/2014/main" id="{E265619C-808C-44C1-B56E-F88C5762B445}"/>
            </a:ext>
          </a:extLst>
        </xdr:cNvPr>
        <xdr:cNvSpPr/>
      </xdr:nvSpPr>
      <xdr:spPr>
        <a:xfrm>
          <a:off x="8826190" y="13395883"/>
          <a:ext cx="1093901" cy="528428"/>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DAC</a:t>
          </a:r>
        </a:p>
        <a:p>
          <a:pPr algn="ctr"/>
          <a:r>
            <a:rPr kumimoji="1" lang="en-US" altLang="ja-JP" sz="1200">
              <a:solidFill>
                <a:schemeClr val="tx1"/>
              </a:solidFill>
            </a:rPr>
            <a:t>Tile</a:t>
          </a:r>
          <a:r>
            <a:rPr kumimoji="1" lang="en-US" altLang="ja-JP" sz="1200" baseline="0">
              <a:solidFill>
                <a:schemeClr val="tx1"/>
              </a:solidFill>
            </a:rPr>
            <a:t> 229   Ch 0</a:t>
          </a:r>
          <a:endParaRPr kumimoji="1" lang="ja-JP" altLang="en-US" sz="1400">
            <a:solidFill>
              <a:schemeClr val="tx1"/>
            </a:solidFill>
          </a:endParaRPr>
        </a:p>
      </xdr:txBody>
    </xdr:sp>
    <xdr:clientData/>
  </xdr:twoCellAnchor>
  <xdr:twoCellAnchor>
    <xdr:from>
      <xdr:col>29</xdr:col>
      <xdr:colOff>25451</xdr:colOff>
      <xdr:row>56</xdr:row>
      <xdr:rowOff>211289</xdr:rowOff>
    </xdr:from>
    <xdr:to>
      <xdr:col>31</xdr:col>
      <xdr:colOff>260280</xdr:colOff>
      <xdr:row>56</xdr:row>
      <xdr:rowOff>211289</xdr:rowOff>
    </xdr:to>
    <xdr:cxnSp macro="">
      <xdr:nvCxnSpPr>
        <xdr:cNvPr id="13" name="直線矢印コネクタ 12">
          <a:extLst>
            <a:ext uri="{FF2B5EF4-FFF2-40B4-BE49-F238E27FC236}">
              <a16:creationId xmlns:a16="http://schemas.microsoft.com/office/drawing/2014/main" id="{4C598B0E-C2D4-4846-A879-3622B30C628F}"/>
            </a:ext>
          </a:extLst>
        </xdr:cNvPr>
        <xdr:cNvCxnSpPr/>
      </xdr:nvCxnSpPr>
      <xdr:spPr>
        <a:xfrm>
          <a:off x="8312201" y="15451289"/>
          <a:ext cx="806329"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246320</xdr:colOff>
      <xdr:row>58</xdr:row>
      <xdr:rowOff>167391</xdr:rowOff>
    </xdr:from>
    <xdr:to>
      <xdr:col>35</xdr:col>
      <xdr:colOff>247649</xdr:colOff>
      <xdr:row>60</xdr:row>
      <xdr:rowOff>219569</xdr:rowOff>
    </xdr:to>
    <xdr:sp macro="" textlink="">
      <xdr:nvSpPr>
        <xdr:cNvPr id="14" name="正方形/長方形 13">
          <a:extLst>
            <a:ext uri="{FF2B5EF4-FFF2-40B4-BE49-F238E27FC236}">
              <a16:creationId xmlns:a16="http://schemas.microsoft.com/office/drawing/2014/main" id="{195BA859-B98A-4FF4-AE7E-F55140E99027}"/>
            </a:ext>
          </a:extLst>
        </xdr:cNvPr>
        <xdr:cNvSpPr/>
      </xdr:nvSpPr>
      <xdr:spPr>
        <a:xfrm>
          <a:off x="8809295" y="13978641"/>
          <a:ext cx="1106229" cy="528428"/>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DAC</a:t>
          </a:r>
        </a:p>
        <a:p>
          <a:pPr algn="ctr"/>
          <a:r>
            <a:rPr kumimoji="1" lang="en-US" altLang="ja-JP" sz="1200">
              <a:solidFill>
                <a:schemeClr val="tx1"/>
              </a:solidFill>
            </a:rPr>
            <a:t>Tile</a:t>
          </a:r>
          <a:r>
            <a:rPr kumimoji="1" lang="en-US" altLang="ja-JP" sz="1200" baseline="0">
              <a:solidFill>
                <a:schemeClr val="tx1"/>
              </a:solidFill>
            </a:rPr>
            <a:t> 229   Ch 1</a:t>
          </a:r>
          <a:endParaRPr kumimoji="1" lang="ja-JP" altLang="en-US" sz="1400">
            <a:solidFill>
              <a:schemeClr val="tx1"/>
            </a:solidFill>
          </a:endParaRPr>
        </a:p>
      </xdr:txBody>
    </xdr:sp>
    <xdr:clientData/>
  </xdr:twoCellAnchor>
  <xdr:twoCellAnchor>
    <xdr:from>
      <xdr:col>29</xdr:col>
      <xdr:colOff>22196</xdr:colOff>
      <xdr:row>59</xdr:row>
      <xdr:rowOff>67265</xdr:rowOff>
    </xdr:from>
    <xdr:to>
      <xdr:col>31</xdr:col>
      <xdr:colOff>251998</xdr:colOff>
      <xdr:row>59</xdr:row>
      <xdr:rowOff>67265</xdr:rowOff>
    </xdr:to>
    <xdr:cxnSp macro="">
      <xdr:nvCxnSpPr>
        <xdr:cNvPr id="15" name="直線矢印コネクタ 14">
          <a:extLst>
            <a:ext uri="{FF2B5EF4-FFF2-40B4-BE49-F238E27FC236}">
              <a16:creationId xmlns:a16="http://schemas.microsoft.com/office/drawing/2014/main" id="{497B49C1-5B67-4FA5-BE7F-55B45F2D5DB5}"/>
            </a:ext>
          </a:extLst>
        </xdr:cNvPr>
        <xdr:cNvCxnSpPr/>
      </xdr:nvCxnSpPr>
      <xdr:spPr>
        <a:xfrm>
          <a:off x="8308946" y="16021640"/>
          <a:ext cx="801302"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253554</xdr:colOff>
      <xdr:row>61</xdr:row>
      <xdr:rowOff>34453</xdr:rowOff>
    </xdr:from>
    <xdr:to>
      <xdr:col>35</xdr:col>
      <xdr:colOff>250829</xdr:colOff>
      <xdr:row>63</xdr:row>
      <xdr:rowOff>93356</xdr:rowOff>
    </xdr:to>
    <xdr:sp macro="" textlink="">
      <xdr:nvSpPr>
        <xdr:cNvPr id="16" name="正方形/長方形 15">
          <a:extLst>
            <a:ext uri="{FF2B5EF4-FFF2-40B4-BE49-F238E27FC236}">
              <a16:creationId xmlns:a16="http://schemas.microsoft.com/office/drawing/2014/main" id="{6C8C3D1B-65A8-48A6-8979-088A88824053}"/>
            </a:ext>
          </a:extLst>
        </xdr:cNvPr>
        <xdr:cNvSpPr/>
      </xdr:nvSpPr>
      <xdr:spPr>
        <a:xfrm>
          <a:off x="8816529" y="14560078"/>
          <a:ext cx="1102175" cy="535153"/>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DAC</a:t>
          </a:r>
        </a:p>
        <a:p>
          <a:pPr algn="ctr"/>
          <a:r>
            <a:rPr kumimoji="1" lang="en-US" altLang="ja-JP" sz="1200">
              <a:solidFill>
                <a:schemeClr val="tx1"/>
              </a:solidFill>
            </a:rPr>
            <a:t>Tile</a:t>
          </a:r>
          <a:r>
            <a:rPr kumimoji="1" lang="en-US" altLang="ja-JP" sz="1200" baseline="0">
              <a:solidFill>
                <a:schemeClr val="tx1"/>
              </a:solidFill>
            </a:rPr>
            <a:t> 229   Ch 2</a:t>
          </a:r>
          <a:endParaRPr kumimoji="1" lang="ja-JP" altLang="en-US" sz="1400">
            <a:solidFill>
              <a:schemeClr val="tx1"/>
            </a:solidFill>
          </a:endParaRPr>
        </a:p>
      </xdr:txBody>
    </xdr:sp>
    <xdr:clientData/>
  </xdr:twoCellAnchor>
  <xdr:twoCellAnchor>
    <xdr:from>
      <xdr:col>29</xdr:col>
      <xdr:colOff>25508</xdr:colOff>
      <xdr:row>61</xdr:row>
      <xdr:rowOff>182708</xdr:rowOff>
    </xdr:from>
    <xdr:to>
      <xdr:col>31</xdr:col>
      <xdr:colOff>260280</xdr:colOff>
      <xdr:row>61</xdr:row>
      <xdr:rowOff>182708</xdr:rowOff>
    </xdr:to>
    <xdr:cxnSp macro="">
      <xdr:nvCxnSpPr>
        <xdr:cNvPr id="17" name="直線矢印コネクタ 16">
          <a:extLst>
            <a:ext uri="{FF2B5EF4-FFF2-40B4-BE49-F238E27FC236}">
              <a16:creationId xmlns:a16="http://schemas.microsoft.com/office/drawing/2014/main" id="{1726D27A-1015-4601-9429-5A362A6E40E7}"/>
            </a:ext>
          </a:extLst>
        </xdr:cNvPr>
        <xdr:cNvCxnSpPr/>
      </xdr:nvCxnSpPr>
      <xdr:spPr>
        <a:xfrm>
          <a:off x="8312258" y="16613333"/>
          <a:ext cx="806272"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264871</xdr:colOff>
      <xdr:row>63</xdr:row>
      <xdr:rowOff>129207</xdr:rowOff>
    </xdr:from>
    <xdr:to>
      <xdr:col>35</xdr:col>
      <xdr:colOff>253872</xdr:colOff>
      <xdr:row>65</xdr:row>
      <xdr:rowOff>181386</xdr:rowOff>
    </xdr:to>
    <xdr:sp macro="" textlink="">
      <xdr:nvSpPr>
        <xdr:cNvPr id="18" name="正方形/長方形 17">
          <a:extLst>
            <a:ext uri="{FF2B5EF4-FFF2-40B4-BE49-F238E27FC236}">
              <a16:creationId xmlns:a16="http://schemas.microsoft.com/office/drawing/2014/main" id="{40CBEB9F-17B5-425B-901A-810EBDA78DFF}"/>
            </a:ext>
          </a:extLst>
        </xdr:cNvPr>
        <xdr:cNvSpPr/>
      </xdr:nvSpPr>
      <xdr:spPr>
        <a:xfrm>
          <a:off x="8827846" y="15131082"/>
          <a:ext cx="1093901" cy="528429"/>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DAC</a:t>
          </a:r>
        </a:p>
        <a:p>
          <a:pPr algn="ctr"/>
          <a:r>
            <a:rPr kumimoji="1" lang="en-US" altLang="ja-JP" sz="1200">
              <a:solidFill>
                <a:schemeClr val="tx1"/>
              </a:solidFill>
            </a:rPr>
            <a:t>Tile</a:t>
          </a:r>
          <a:r>
            <a:rPr kumimoji="1" lang="en-US" altLang="ja-JP" sz="1200" baseline="0">
              <a:solidFill>
                <a:schemeClr val="tx1"/>
              </a:solidFill>
            </a:rPr>
            <a:t> 229   Ch 3</a:t>
          </a:r>
          <a:endParaRPr kumimoji="1" lang="ja-JP" altLang="en-US" sz="1400">
            <a:solidFill>
              <a:schemeClr val="tx1"/>
            </a:solidFill>
          </a:endParaRPr>
        </a:p>
      </xdr:txBody>
    </xdr:sp>
    <xdr:clientData/>
  </xdr:twoCellAnchor>
  <xdr:twoCellAnchor>
    <xdr:from>
      <xdr:col>29</xdr:col>
      <xdr:colOff>28821</xdr:colOff>
      <xdr:row>64</xdr:row>
      <xdr:rowOff>59300</xdr:rowOff>
    </xdr:from>
    <xdr:to>
      <xdr:col>31</xdr:col>
      <xdr:colOff>276845</xdr:colOff>
      <xdr:row>64</xdr:row>
      <xdr:rowOff>59300</xdr:rowOff>
    </xdr:to>
    <xdr:cxnSp macro="">
      <xdr:nvCxnSpPr>
        <xdr:cNvPr id="19" name="直線矢印コネクタ 18">
          <a:extLst>
            <a:ext uri="{FF2B5EF4-FFF2-40B4-BE49-F238E27FC236}">
              <a16:creationId xmlns:a16="http://schemas.microsoft.com/office/drawing/2014/main" id="{949FB5D0-F5F8-4795-BB3F-4F5AE304409D}"/>
            </a:ext>
          </a:extLst>
        </xdr:cNvPr>
        <xdr:cNvCxnSpPr/>
      </xdr:nvCxnSpPr>
      <xdr:spPr>
        <a:xfrm>
          <a:off x="8315571" y="17204300"/>
          <a:ext cx="819524"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37551</xdr:colOff>
      <xdr:row>47</xdr:row>
      <xdr:rowOff>136345</xdr:rowOff>
    </xdr:from>
    <xdr:to>
      <xdr:col>23</xdr:col>
      <xdr:colOff>13569</xdr:colOff>
      <xdr:row>51</xdr:row>
      <xdr:rowOff>176929</xdr:rowOff>
    </xdr:to>
    <xdr:sp macro="" textlink="">
      <xdr:nvSpPr>
        <xdr:cNvPr id="20" name="正方形/長方形 19">
          <a:extLst>
            <a:ext uri="{FF2B5EF4-FFF2-40B4-BE49-F238E27FC236}">
              <a16:creationId xmlns:a16="http://schemas.microsoft.com/office/drawing/2014/main" id="{03E6EF31-8E43-4008-8E15-857EB2A3AF32}"/>
            </a:ext>
          </a:extLst>
        </xdr:cNvPr>
        <xdr:cNvSpPr/>
      </xdr:nvSpPr>
      <xdr:spPr>
        <a:xfrm>
          <a:off x="5181051" y="13233220"/>
          <a:ext cx="1404768" cy="993084"/>
        </a:xfrm>
        <a:prstGeom prst="rect">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AWG </a:t>
          </a:r>
        </a:p>
        <a:p>
          <a:pPr algn="ctr"/>
          <a:r>
            <a:rPr kumimoji="1" lang="ja-JP" altLang="en-US" sz="1100">
              <a:solidFill>
                <a:schemeClr val="tx1"/>
              </a:solidFill>
            </a:rPr>
            <a:t>コントローラ</a:t>
          </a:r>
          <a:endParaRPr kumimoji="1" lang="en-US" altLang="ja-JP" sz="1100">
            <a:solidFill>
              <a:schemeClr val="tx1"/>
            </a:solidFill>
          </a:endParaRPr>
        </a:p>
        <a:p>
          <a:pPr algn="ctr"/>
          <a:endParaRPr kumimoji="1" lang="ja-JP" altLang="en-US" sz="1100">
            <a:solidFill>
              <a:schemeClr val="tx1"/>
            </a:solidFill>
          </a:endParaRPr>
        </a:p>
      </xdr:txBody>
    </xdr:sp>
    <xdr:clientData/>
  </xdr:twoCellAnchor>
  <xdr:twoCellAnchor>
    <xdr:from>
      <xdr:col>18</xdr:col>
      <xdr:colOff>142659</xdr:colOff>
      <xdr:row>49</xdr:row>
      <xdr:rowOff>196492</xdr:rowOff>
    </xdr:from>
    <xdr:to>
      <xdr:col>22</xdr:col>
      <xdr:colOff>209542</xdr:colOff>
      <xdr:row>51</xdr:row>
      <xdr:rowOff>51369</xdr:rowOff>
    </xdr:to>
    <xdr:sp macro="" textlink="">
      <xdr:nvSpPr>
        <xdr:cNvPr id="21" name="正方形/長方形 20">
          <a:extLst>
            <a:ext uri="{FF2B5EF4-FFF2-40B4-BE49-F238E27FC236}">
              <a16:creationId xmlns:a16="http://schemas.microsoft.com/office/drawing/2014/main" id="{93736ADE-E449-4282-8F35-BE7F76706904}"/>
            </a:ext>
          </a:extLst>
        </xdr:cNvPr>
        <xdr:cNvSpPr/>
      </xdr:nvSpPr>
      <xdr:spPr>
        <a:xfrm>
          <a:off x="5286159" y="13769617"/>
          <a:ext cx="1209883" cy="331127"/>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制御レジスタ</a:t>
          </a:r>
        </a:p>
      </xdr:txBody>
    </xdr:sp>
    <xdr:clientData/>
  </xdr:twoCellAnchor>
  <xdr:twoCellAnchor>
    <xdr:from>
      <xdr:col>23</xdr:col>
      <xdr:colOff>14591</xdr:colOff>
      <xdr:row>49</xdr:row>
      <xdr:rowOff>169475</xdr:rowOff>
    </xdr:from>
    <xdr:to>
      <xdr:col>24</xdr:col>
      <xdr:colOff>146231</xdr:colOff>
      <xdr:row>49</xdr:row>
      <xdr:rowOff>169475</xdr:rowOff>
    </xdr:to>
    <xdr:cxnSp macro="">
      <xdr:nvCxnSpPr>
        <xdr:cNvPr id="22" name="直線矢印コネクタ 21">
          <a:extLst>
            <a:ext uri="{FF2B5EF4-FFF2-40B4-BE49-F238E27FC236}">
              <a16:creationId xmlns:a16="http://schemas.microsoft.com/office/drawing/2014/main" id="{D802539D-84D8-40A1-A955-0C7EE4A39E9B}"/>
            </a:ext>
          </a:extLst>
        </xdr:cNvPr>
        <xdr:cNvCxnSpPr/>
      </xdr:nvCxnSpPr>
      <xdr:spPr>
        <a:xfrm>
          <a:off x="6586841" y="13742600"/>
          <a:ext cx="417390" cy="0"/>
        </a:xfrm>
        <a:prstGeom prst="straightConnector1">
          <a:avLst/>
        </a:prstGeom>
        <a:ln>
          <a:headEnd type="triangle" w="sm" len="med"/>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144527</xdr:colOff>
      <xdr:row>48</xdr:row>
      <xdr:rowOff>6579</xdr:rowOff>
    </xdr:from>
    <xdr:to>
      <xdr:col>24</xdr:col>
      <xdr:colOff>144527</xdr:colOff>
      <xdr:row>84</xdr:row>
      <xdr:rowOff>231913</xdr:rowOff>
    </xdr:to>
    <xdr:cxnSp macro="">
      <xdr:nvCxnSpPr>
        <xdr:cNvPr id="23" name="直線コネクタ 22">
          <a:extLst>
            <a:ext uri="{FF2B5EF4-FFF2-40B4-BE49-F238E27FC236}">
              <a16:creationId xmlns:a16="http://schemas.microsoft.com/office/drawing/2014/main" id="{50872549-0EB5-4A4E-9E41-17FB6B99955F}"/>
            </a:ext>
          </a:extLst>
        </xdr:cNvPr>
        <xdr:cNvCxnSpPr/>
      </xdr:nvCxnSpPr>
      <xdr:spPr>
        <a:xfrm>
          <a:off x="6704353" y="11535970"/>
          <a:ext cx="0" cy="8872378"/>
        </a:xfrm>
        <a:prstGeom prst="line">
          <a:avLst/>
        </a:prstGeom>
        <a:ln>
          <a:solidFill>
            <a:schemeClr val="tx1"/>
          </a:solidFill>
          <a:headEnd type="none"/>
          <a:tailEnd w="sm"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141006</xdr:colOff>
      <xdr:row>48</xdr:row>
      <xdr:rowOff>65655</xdr:rowOff>
    </xdr:from>
    <xdr:to>
      <xdr:col>26</xdr:col>
      <xdr:colOff>137693</xdr:colOff>
      <xdr:row>48</xdr:row>
      <xdr:rowOff>65655</xdr:rowOff>
    </xdr:to>
    <xdr:cxnSp macro="">
      <xdr:nvCxnSpPr>
        <xdr:cNvPr id="24" name="直線矢印コネクタ 23">
          <a:extLst>
            <a:ext uri="{FF2B5EF4-FFF2-40B4-BE49-F238E27FC236}">
              <a16:creationId xmlns:a16="http://schemas.microsoft.com/office/drawing/2014/main" id="{793A0D3A-D557-4F5E-AF86-6C819577F40C}"/>
            </a:ext>
          </a:extLst>
        </xdr:cNvPr>
        <xdr:cNvCxnSpPr/>
      </xdr:nvCxnSpPr>
      <xdr:spPr>
        <a:xfrm>
          <a:off x="6999006" y="13400655"/>
          <a:ext cx="568187" cy="0"/>
        </a:xfrm>
        <a:prstGeom prst="straightConnector1">
          <a:avLst/>
        </a:prstGeom>
        <a:ln>
          <a:headEnd type="triangle" w="sm" len="med"/>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136922</xdr:colOff>
      <xdr:row>65</xdr:row>
      <xdr:rowOff>89930</xdr:rowOff>
    </xdr:from>
    <xdr:to>
      <xdr:col>26</xdr:col>
      <xdr:colOff>143778</xdr:colOff>
      <xdr:row>65</xdr:row>
      <xdr:rowOff>89930</xdr:rowOff>
    </xdr:to>
    <xdr:cxnSp macro="">
      <xdr:nvCxnSpPr>
        <xdr:cNvPr id="25" name="直線矢印コネクタ 24">
          <a:extLst>
            <a:ext uri="{FF2B5EF4-FFF2-40B4-BE49-F238E27FC236}">
              <a16:creationId xmlns:a16="http://schemas.microsoft.com/office/drawing/2014/main" id="{C34E9DC5-0B78-42BF-B70D-57930CA0B662}"/>
            </a:ext>
          </a:extLst>
        </xdr:cNvPr>
        <xdr:cNvCxnSpPr/>
      </xdr:nvCxnSpPr>
      <xdr:spPr>
        <a:xfrm>
          <a:off x="6709172" y="15568055"/>
          <a:ext cx="554544" cy="0"/>
        </a:xfrm>
        <a:prstGeom prst="straightConnector1">
          <a:avLst/>
        </a:prstGeom>
        <a:ln>
          <a:headEnd type="triangle" w="sm" len="med"/>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187183</xdr:colOff>
      <xdr:row>47</xdr:row>
      <xdr:rowOff>1172</xdr:rowOff>
    </xdr:from>
    <xdr:to>
      <xdr:col>25</xdr:col>
      <xdr:colOff>187183</xdr:colOff>
      <xdr:row>83</xdr:row>
      <xdr:rowOff>190500</xdr:rowOff>
    </xdr:to>
    <xdr:cxnSp macro="">
      <xdr:nvCxnSpPr>
        <xdr:cNvPr id="26" name="直線コネクタ 25">
          <a:extLst>
            <a:ext uri="{FF2B5EF4-FFF2-40B4-BE49-F238E27FC236}">
              <a16:creationId xmlns:a16="http://schemas.microsoft.com/office/drawing/2014/main" id="{BA66420B-D5DA-4853-A04F-FCDB0470CFB8}"/>
            </a:ext>
          </a:extLst>
        </xdr:cNvPr>
        <xdr:cNvCxnSpPr/>
      </xdr:nvCxnSpPr>
      <xdr:spPr>
        <a:xfrm>
          <a:off x="7084597" y="11115862"/>
          <a:ext cx="0" cy="8702707"/>
        </a:xfrm>
        <a:prstGeom prst="line">
          <a:avLst/>
        </a:prstGeom>
        <a:ln>
          <a:solidFill>
            <a:srgbClr val="FF0000"/>
          </a:solidFill>
          <a:headEnd type="none"/>
          <a:tailEnd w="sm"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240346</xdr:colOff>
      <xdr:row>48</xdr:row>
      <xdr:rowOff>74725</xdr:rowOff>
    </xdr:from>
    <xdr:to>
      <xdr:col>30</xdr:col>
      <xdr:colOff>138276</xdr:colOff>
      <xdr:row>48</xdr:row>
      <xdr:rowOff>74725</xdr:rowOff>
    </xdr:to>
    <xdr:cxnSp macro="">
      <xdr:nvCxnSpPr>
        <xdr:cNvPr id="28" name="直線矢印コネクタ 27">
          <a:extLst>
            <a:ext uri="{FF2B5EF4-FFF2-40B4-BE49-F238E27FC236}">
              <a16:creationId xmlns:a16="http://schemas.microsoft.com/office/drawing/2014/main" id="{4120BBBB-09FE-45FF-A4F1-0A197B31A4E5}"/>
            </a:ext>
          </a:extLst>
        </xdr:cNvPr>
        <xdr:cNvCxnSpPr/>
      </xdr:nvCxnSpPr>
      <xdr:spPr>
        <a:xfrm>
          <a:off x="7974646" y="11504725"/>
          <a:ext cx="450380" cy="0"/>
        </a:xfrm>
        <a:prstGeom prst="straightConnector1">
          <a:avLst/>
        </a:prstGeom>
        <a:ln>
          <a:solidFill>
            <a:srgbClr val="00B05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141614</xdr:colOff>
      <xdr:row>48</xdr:row>
      <xdr:rowOff>22068</xdr:rowOff>
    </xdr:from>
    <xdr:to>
      <xdr:col>30</xdr:col>
      <xdr:colOff>141614</xdr:colOff>
      <xdr:row>86</xdr:row>
      <xdr:rowOff>60797</xdr:rowOff>
    </xdr:to>
    <xdr:cxnSp macro="">
      <xdr:nvCxnSpPr>
        <xdr:cNvPr id="29" name="直線コネクタ 28">
          <a:extLst>
            <a:ext uri="{FF2B5EF4-FFF2-40B4-BE49-F238E27FC236}">
              <a16:creationId xmlns:a16="http://schemas.microsoft.com/office/drawing/2014/main" id="{537292C7-F7D5-4DCE-ACC0-217007580FA0}"/>
            </a:ext>
          </a:extLst>
        </xdr:cNvPr>
        <xdr:cNvCxnSpPr/>
      </xdr:nvCxnSpPr>
      <xdr:spPr>
        <a:xfrm>
          <a:off x="8410125" y="11500706"/>
          <a:ext cx="0" cy="9125985"/>
        </a:xfrm>
        <a:prstGeom prst="line">
          <a:avLst/>
        </a:prstGeom>
        <a:ln>
          <a:solidFill>
            <a:srgbClr val="00B050"/>
          </a:solidFill>
          <a:headEnd type="none"/>
          <a:tailEnd w="sm"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228440</xdr:colOff>
      <xdr:row>50</xdr:row>
      <xdr:rowOff>174738</xdr:rowOff>
    </xdr:from>
    <xdr:to>
      <xdr:col>30</xdr:col>
      <xdr:colOff>135895</xdr:colOff>
      <xdr:row>50</xdr:row>
      <xdr:rowOff>174738</xdr:rowOff>
    </xdr:to>
    <xdr:cxnSp macro="">
      <xdr:nvCxnSpPr>
        <xdr:cNvPr id="30" name="直線矢印コネクタ 29">
          <a:extLst>
            <a:ext uri="{FF2B5EF4-FFF2-40B4-BE49-F238E27FC236}">
              <a16:creationId xmlns:a16="http://schemas.microsoft.com/office/drawing/2014/main" id="{0C7E0043-2D4F-4FDF-97BC-F343AFF5FA8F}"/>
            </a:ext>
          </a:extLst>
        </xdr:cNvPr>
        <xdr:cNvCxnSpPr/>
      </xdr:nvCxnSpPr>
      <xdr:spPr>
        <a:xfrm>
          <a:off x="8229440" y="13985988"/>
          <a:ext cx="478955" cy="0"/>
        </a:xfrm>
        <a:prstGeom prst="straightConnector1">
          <a:avLst/>
        </a:prstGeom>
        <a:ln>
          <a:solidFill>
            <a:srgbClr val="00B05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247490</xdr:colOff>
      <xdr:row>53</xdr:row>
      <xdr:rowOff>27020</xdr:rowOff>
    </xdr:from>
    <xdr:to>
      <xdr:col>30</xdr:col>
      <xdr:colOff>145420</xdr:colOff>
      <xdr:row>53</xdr:row>
      <xdr:rowOff>27020</xdr:rowOff>
    </xdr:to>
    <xdr:cxnSp macro="">
      <xdr:nvCxnSpPr>
        <xdr:cNvPr id="31" name="直線矢印コネクタ 30">
          <a:extLst>
            <a:ext uri="{FF2B5EF4-FFF2-40B4-BE49-F238E27FC236}">
              <a16:creationId xmlns:a16="http://schemas.microsoft.com/office/drawing/2014/main" id="{F408E7D2-DFDC-4839-A96E-2D450F296138}"/>
            </a:ext>
          </a:extLst>
        </xdr:cNvPr>
        <xdr:cNvCxnSpPr/>
      </xdr:nvCxnSpPr>
      <xdr:spPr>
        <a:xfrm>
          <a:off x="8248490" y="14552645"/>
          <a:ext cx="469430" cy="0"/>
        </a:xfrm>
        <a:prstGeom prst="straightConnector1">
          <a:avLst/>
        </a:prstGeom>
        <a:ln>
          <a:solidFill>
            <a:srgbClr val="00B05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239156</xdr:colOff>
      <xdr:row>55</xdr:row>
      <xdr:rowOff>155686</xdr:rowOff>
    </xdr:from>
    <xdr:to>
      <xdr:col>30</xdr:col>
      <xdr:colOff>137086</xdr:colOff>
      <xdr:row>55</xdr:row>
      <xdr:rowOff>155686</xdr:rowOff>
    </xdr:to>
    <xdr:cxnSp macro="">
      <xdr:nvCxnSpPr>
        <xdr:cNvPr id="32" name="直線矢印コネクタ 31">
          <a:extLst>
            <a:ext uri="{FF2B5EF4-FFF2-40B4-BE49-F238E27FC236}">
              <a16:creationId xmlns:a16="http://schemas.microsoft.com/office/drawing/2014/main" id="{1F60FB15-B32C-416A-AF83-B572C5EE82E3}"/>
            </a:ext>
          </a:extLst>
        </xdr:cNvPr>
        <xdr:cNvCxnSpPr/>
      </xdr:nvCxnSpPr>
      <xdr:spPr>
        <a:xfrm>
          <a:off x="8240156" y="15157561"/>
          <a:ext cx="469430" cy="0"/>
        </a:xfrm>
        <a:prstGeom prst="straightConnector1">
          <a:avLst/>
        </a:prstGeom>
        <a:ln>
          <a:solidFill>
            <a:srgbClr val="00B05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242728</xdr:colOff>
      <xdr:row>58</xdr:row>
      <xdr:rowOff>14004</xdr:rowOff>
    </xdr:from>
    <xdr:to>
      <xdr:col>30</xdr:col>
      <xdr:colOff>140658</xdr:colOff>
      <xdr:row>58</xdr:row>
      <xdr:rowOff>14004</xdr:rowOff>
    </xdr:to>
    <xdr:cxnSp macro="">
      <xdr:nvCxnSpPr>
        <xdr:cNvPr id="33" name="直線矢印コネクタ 32">
          <a:extLst>
            <a:ext uri="{FF2B5EF4-FFF2-40B4-BE49-F238E27FC236}">
              <a16:creationId xmlns:a16="http://schemas.microsoft.com/office/drawing/2014/main" id="{1948A2A1-1ACA-4E12-BFFA-FE35CE070B45}"/>
            </a:ext>
          </a:extLst>
        </xdr:cNvPr>
        <xdr:cNvCxnSpPr/>
      </xdr:nvCxnSpPr>
      <xdr:spPr>
        <a:xfrm>
          <a:off x="8243728" y="15730254"/>
          <a:ext cx="469430" cy="0"/>
        </a:xfrm>
        <a:prstGeom prst="straightConnector1">
          <a:avLst/>
        </a:prstGeom>
        <a:ln>
          <a:solidFill>
            <a:srgbClr val="00B05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240346</xdr:colOff>
      <xdr:row>60</xdr:row>
      <xdr:rowOff>91705</xdr:rowOff>
    </xdr:from>
    <xdr:to>
      <xdr:col>30</xdr:col>
      <xdr:colOff>138276</xdr:colOff>
      <xdr:row>60</xdr:row>
      <xdr:rowOff>91705</xdr:rowOff>
    </xdr:to>
    <xdr:cxnSp macro="">
      <xdr:nvCxnSpPr>
        <xdr:cNvPr id="34" name="直線矢印コネクタ 33">
          <a:extLst>
            <a:ext uri="{FF2B5EF4-FFF2-40B4-BE49-F238E27FC236}">
              <a16:creationId xmlns:a16="http://schemas.microsoft.com/office/drawing/2014/main" id="{22978210-593A-4C43-92CF-7F1A258FC18F}"/>
            </a:ext>
          </a:extLst>
        </xdr:cNvPr>
        <xdr:cNvCxnSpPr/>
      </xdr:nvCxnSpPr>
      <xdr:spPr>
        <a:xfrm>
          <a:off x="8241346" y="16284205"/>
          <a:ext cx="469430" cy="0"/>
        </a:xfrm>
        <a:prstGeom prst="straightConnector1">
          <a:avLst/>
        </a:prstGeom>
        <a:ln>
          <a:solidFill>
            <a:srgbClr val="00B05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243918</xdr:colOff>
      <xdr:row>62</xdr:row>
      <xdr:rowOff>206150</xdr:rowOff>
    </xdr:from>
    <xdr:to>
      <xdr:col>30</xdr:col>
      <xdr:colOff>141848</xdr:colOff>
      <xdr:row>62</xdr:row>
      <xdr:rowOff>206150</xdr:rowOff>
    </xdr:to>
    <xdr:cxnSp macro="">
      <xdr:nvCxnSpPr>
        <xdr:cNvPr id="35" name="直線矢印コネクタ 34">
          <a:extLst>
            <a:ext uri="{FF2B5EF4-FFF2-40B4-BE49-F238E27FC236}">
              <a16:creationId xmlns:a16="http://schemas.microsoft.com/office/drawing/2014/main" id="{27685933-8B33-4F29-A2AB-B1C38BA3AF1D}"/>
            </a:ext>
          </a:extLst>
        </xdr:cNvPr>
        <xdr:cNvCxnSpPr/>
      </xdr:nvCxnSpPr>
      <xdr:spPr>
        <a:xfrm>
          <a:off x="8244918" y="16874900"/>
          <a:ext cx="469430" cy="0"/>
        </a:xfrm>
        <a:prstGeom prst="straightConnector1">
          <a:avLst/>
        </a:prstGeom>
        <a:ln>
          <a:solidFill>
            <a:srgbClr val="00B05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241537</xdr:colOff>
      <xdr:row>65</xdr:row>
      <xdr:rowOff>98117</xdr:rowOff>
    </xdr:from>
    <xdr:to>
      <xdr:col>30</xdr:col>
      <xdr:colOff>139467</xdr:colOff>
      <xdr:row>65</xdr:row>
      <xdr:rowOff>98117</xdr:rowOff>
    </xdr:to>
    <xdr:cxnSp macro="">
      <xdr:nvCxnSpPr>
        <xdr:cNvPr id="36" name="直線矢印コネクタ 35">
          <a:extLst>
            <a:ext uri="{FF2B5EF4-FFF2-40B4-BE49-F238E27FC236}">
              <a16:creationId xmlns:a16="http://schemas.microsoft.com/office/drawing/2014/main" id="{D07FE484-E3C4-4132-9E7F-C80299B17DB1}"/>
            </a:ext>
          </a:extLst>
        </xdr:cNvPr>
        <xdr:cNvCxnSpPr/>
      </xdr:nvCxnSpPr>
      <xdr:spPr>
        <a:xfrm>
          <a:off x="8242537" y="17481242"/>
          <a:ext cx="469430" cy="0"/>
        </a:xfrm>
        <a:prstGeom prst="straightConnector1">
          <a:avLst/>
        </a:prstGeom>
        <a:ln>
          <a:solidFill>
            <a:srgbClr val="00B05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145022</xdr:colOff>
      <xdr:row>46</xdr:row>
      <xdr:rowOff>167220</xdr:rowOff>
    </xdr:from>
    <xdr:to>
      <xdr:col>29</xdr:col>
      <xdr:colOff>95716</xdr:colOff>
      <xdr:row>48</xdr:row>
      <xdr:rowOff>137495</xdr:rowOff>
    </xdr:to>
    <xdr:sp macro="" textlink="">
      <xdr:nvSpPr>
        <xdr:cNvPr id="37" name="正方形/長方形 36">
          <a:extLst>
            <a:ext uri="{FF2B5EF4-FFF2-40B4-BE49-F238E27FC236}">
              <a16:creationId xmlns:a16="http://schemas.microsoft.com/office/drawing/2014/main" id="{21AFD589-FFCD-464A-A9D0-A8C5D6C04CA6}"/>
            </a:ext>
          </a:extLst>
        </xdr:cNvPr>
        <xdr:cNvSpPr/>
      </xdr:nvSpPr>
      <xdr:spPr>
        <a:xfrm>
          <a:off x="7574522" y="13025970"/>
          <a:ext cx="807944" cy="446525"/>
        </a:xfrm>
        <a:prstGeom prst="rect">
          <a:avLst/>
        </a:prstGeom>
        <a:solidFill>
          <a:schemeClr val="accent5">
            <a:lumMod val="20000"/>
            <a:lumOff val="80000"/>
          </a:schemeClr>
        </a:solidFill>
        <a:ln>
          <a:solidFill>
            <a:schemeClr val="tx1"/>
          </a:solidFill>
          <a:headEnd type="none"/>
          <a:tailEnd w="sm"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AWG 0</a:t>
          </a:r>
          <a:endParaRPr kumimoji="1" lang="ja-JP" altLang="en-US" sz="1200">
            <a:solidFill>
              <a:schemeClr val="tx1"/>
            </a:solidFill>
          </a:endParaRPr>
        </a:p>
      </xdr:txBody>
    </xdr:sp>
    <xdr:clientData/>
  </xdr:twoCellAnchor>
  <xdr:twoCellAnchor>
    <xdr:from>
      <xdr:col>26</xdr:col>
      <xdr:colOff>140053</xdr:colOff>
      <xdr:row>49</xdr:row>
      <xdr:rowOff>23817</xdr:rowOff>
    </xdr:from>
    <xdr:to>
      <xdr:col>29</xdr:col>
      <xdr:colOff>82743</xdr:colOff>
      <xdr:row>50</xdr:row>
      <xdr:rowOff>233744</xdr:rowOff>
    </xdr:to>
    <xdr:sp macro="" textlink="">
      <xdr:nvSpPr>
        <xdr:cNvPr id="38" name="正方形/長方形 37">
          <a:extLst>
            <a:ext uri="{FF2B5EF4-FFF2-40B4-BE49-F238E27FC236}">
              <a16:creationId xmlns:a16="http://schemas.microsoft.com/office/drawing/2014/main" id="{2A626AF9-913D-42E4-923A-B842226F80BC}"/>
            </a:ext>
          </a:extLst>
        </xdr:cNvPr>
        <xdr:cNvSpPr/>
      </xdr:nvSpPr>
      <xdr:spPr>
        <a:xfrm>
          <a:off x="7569553" y="13596942"/>
          <a:ext cx="799940" cy="448052"/>
        </a:xfrm>
        <a:prstGeom prst="rect">
          <a:avLst/>
        </a:prstGeom>
        <a:solidFill>
          <a:schemeClr val="accent5">
            <a:lumMod val="20000"/>
            <a:lumOff val="80000"/>
          </a:schemeClr>
        </a:solidFill>
        <a:ln>
          <a:solidFill>
            <a:schemeClr val="tx1"/>
          </a:solidFill>
          <a:headEnd type="none"/>
          <a:tailEnd w="sm"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AWG 1</a:t>
          </a:r>
          <a:endParaRPr kumimoji="1" lang="ja-JP" altLang="en-US" sz="1200">
            <a:solidFill>
              <a:schemeClr val="tx1"/>
            </a:solidFill>
          </a:endParaRPr>
        </a:p>
      </xdr:txBody>
    </xdr:sp>
    <xdr:clientData/>
  </xdr:twoCellAnchor>
  <xdr:twoCellAnchor>
    <xdr:from>
      <xdr:col>26</xdr:col>
      <xdr:colOff>143365</xdr:colOff>
      <xdr:row>51</xdr:row>
      <xdr:rowOff>150966</xdr:rowOff>
    </xdr:from>
    <xdr:to>
      <xdr:col>29</xdr:col>
      <xdr:colOff>94059</xdr:colOff>
      <xdr:row>53</xdr:row>
      <xdr:rowOff>99389</xdr:rowOff>
    </xdr:to>
    <xdr:sp macro="" textlink="">
      <xdr:nvSpPr>
        <xdr:cNvPr id="39" name="正方形/長方形 38">
          <a:extLst>
            <a:ext uri="{FF2B5EF4-FFF2-40B4-BE49-F238E27FC236}">
              <a16:creationId xmlns:a16="http://schemas.microsoft.com/office/drawing/2014/main" id="{BA9FE93C-0AF5-4B9F-B498-FCEBA29C4227}"/>
            </a:ext>
          </a:extLst>
        </xdr:cNvPr>
        <xdr:cNvSpPr/>
      </xdr:nvSpPr>
      <xdr:spPr>
        <a:xfrm>
          <a:off x="7572865" y="14200341"/>
          <a:ext cx="807944" cy="424673"/>
        </a:xfrm>
        <a:prstGeom prst="rect">
          <a:avLst/>
        </a:prstGeom>
        <a:solidFill>
          <a:schemeClr val="accent5">
            <a:lumMod val="20000"/>
            <a:lumOff val="80000"/>
          </a:schemeClr>
        </a:solidFill>
        <a:ln>
          <a:solidFill>
            <a:schemeClr val="tx1"/>
          </a:solidFill>
          <a:headEnd type="none"/>
          <a:tailEnd w="sm"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AWG 2</a:t>
          </a:r>
          <a:endParaRPr kumimoji="1" lang="ja-JP" altLang="en-US" sz="1200">
            <a:solidFill>
              <a:schemeClr val="tx1"/>
            </a:solidFill>
          </a:endParaRPr>
        </a:p>
      </xdr:txBody>
    </xdr:sp>
    <xdr:clientData/>
  </xdr:twoCellAnchor>
  <xdr:twoCellAnchor>
    <xdr:from>
      <xdr:col>26</xdr:col>
      <xdr:colOff>146678</xdr:colOff>
      <xdr:row>54</xdr:row>
      <xdr:rowOff>5702</xdr:rowOff>
    </xdr:from>
    <xdr:to>
      <xdr:col>29</xdr:col>
      <xdr:colOff>97372</xdr:colOff>
      <xdr:row>55</xdr:row>
      <xdr:rowOff>214101</xdr:rowOff>
    </xdr:to>
    <xdr:sp macro="" textlink="">
      <xdr:nvSpPr>
        <xdr:cNvPr id="40" name="正方形/長方形 39">
          <a:extLst>
            <a:ext uri="{FF2B5EF4-FFF2-40B4-BE49-F238E27FC236}">
              <a16:creationId xmlns:a16="http://schemas.microsoft.com/office/drawing/2014/main" id="{E8E3117E-66DF-4623-9F2B-8D1A2AA727A8}"/>
            </a:ext>
          </a:extLst>
        </xdr:cNvPr>
        <xdr:cNvSpPr/>
      </xdr:nvSpPr>
      <xdr:spPr>
        <a:xfrm>
          <a:off x="7576178" y="14769452"/>
          <a:ext cx="807944" cy="446524"/>
        </a:xfrm>
        <a:prstGeom prst="rect">
          <a:avLst/>
        </a:prstGeom>
        <a:solidFill>
          <a:schemeClr val="accent5">
            <a:lumMod val="20000"/>
            <a:lumOff val="80000"/>
          </a:schemeClr>
        </a:solidFill>
        <a:ln>
          <a:solidFill>
            <a:schemeClr val="tx1"/>
          </a:solidFill>
          <a:headEnd type="none"/>
          <a:tailEnd w="sm"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AWG 3</a:t>
          </a:r>
          <a:endParaRPr kumimoji="1" lang="ja-JP" altLang="en-US" sz="1200">
            <a:solidFill>
              <a:schemeClr val="tx1"/>
            </a:solidFill>
          </a:endParaRPr>
        </a:p>
      </xdr:txBody>
    </xdr:sp>
    <xdr:clientData/>
  </xdr:twoCellAnchor>
  <xdr:twoCellAnchor>
    <xdr:from>
      <xdr:col>26</xdr:col>
      <xdr:colOff>140052</xdr:colOff>
      <xdr:row>56</xdr:row>
      <xdr:rowOff>108294</xdr:rowOff>
    </xdr:from>
    <xdr:to>
      <xdr:col>29</xdr:col>
      <xdr:colOff>82742</xdr:colOff>
      <xdr:row>58</xdr:row>
      <xdr:rowOff>80097</xdr:rowOff>
    </xdr:to>
    <xdr:sp macro="" textlink="">
      <xdr:nvSpPr>
        <xdr:cNvPr id="41" name="正方形/長方形 40">
          <a:extLst>
            <a:ext uri="{FF2B5EF4-FFF2-40B4-BE49-F238E27FC236}">
              <a16:creationId xmlns:a16="http://schemas.microsoft.com/office/drawing/2014/main" id="{FC58578A-B402-4D82-B9CB-0BD8CAF19784}"/>
            </a:ext>
          </a:extLst>
        </xdr:cNvPr>
        <xdr:cNvSpPr/>
      </xdr:nvSpPr>
      <xdr:spPr>
        <a:xfrm>
          <a:off x="7569552" y="15348294"/>
          <a:ext cx="799940" cy="448053"/>
        </a:xfrm>
        <a:prstGeom prst="rect">
          <a:avLst/>
        </a:prstGeom>
        <a:solidFill>
          <a:schemeClr val="accent5">
            <a:lumMod val="20000"/>
            <a:lumOff val="80000"/>
          </a:schemeClr>
        </a:solidFill>
        <a:ln>
          <a:solidFill>
            <a:schemeClr val="tx1"/>
          </a:solidFill>
          <a:headEnd type="none"/>
          <a:tailEnd w="sm"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AWG 4</a:t>
          </a:r>
          <a:endParaRPr kumimoji="1" lang="ja-JP" altLang="en-US" sz="1200">
            <a:solidFill>
              <a:schemeClr val="tx1"/>
            </a:solidFill>
          </a:endParaRPr>
        </a:p>
      </xdr:txBody>
    </xdr:sp>
    <xdr:clientData/>
  </xdr:twoCellAnchor>
  <xdr:twoCellAnchor>
    <xdr:from>
      <xdr:col>26</xdr:col>
      <xdr:colOff>135083</xdr:colOff>
      <xdr:row>58</xdr:row>
      <xdr:rowOff>216395</xdr:rowOff>
    </xdr:from>
    <xdr:to>
      <xdr:col>29</xdr:col>
      <xdr:colOff>73851</xdr:colOff>
      <xdr:row>60</xdr:row>
      <xdr:rowOff>183867</xdr:rowOff>
    </xdr:to>
    <xdr:sp macro="" textlink="">
      <xdr:nvSpPr>
        <xdr:cNvPr id="42" name="正方形/長方形 41">
          <a:extLst>
            <a:ext uri="{FF2B5EF4-FFF2-40B4-BE49-F238E27FC236}">
              <a16:creationId xmlns:a16="http://schemas.microsoft.com/office/drawing/2014/main" id="{5B3678FA-95ED-49CF-A6C6-B3EC758E7010}"/>
            </a:ext>
          </a:extLst>
        </xdr:cNvPr>
        <xdr:cNvSpPr/>
      </xdr:nvSpPr>
      <xdr:spPr>
        <a:xfrm>
          <a:off x="7564583" y="15932645"/>
          <a:ext cx="796018" cy="443722"/>
        </a:xfrm>
        <a:prstGeom prst="rect">
          <a:avLst/>
        </a:prstGeom>
        <a:solidFill>
          <a:schemeClr val="accent5">
            <a:lumMod val="20000"/>
            <a:lumOff val="80000"/>
          </a:schemeClr>
        </a:solidFill>
        <a:ln>
          <a:solidFill>
            <a:schemeClr val="tx1"/>
          </a:solidFill>
          <a:headEnd type="none"/>
          <a:tailEnd w="sm"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AWG 5</a:t>
          </a:r>
          <a:endParaRPr kumimoji="1" lang="ja-JP" altLang="en-US" sz="1200">
            <a:solidFill>
              <a:schemeClr val="tx1"/>
            </a:solidFill>
          </a:endParaRPr>
        </a:p>
      </xdr:txBody>
    </xdr:sp>
    <xdr:clientData/>
  </xdr:twoCellAnchor>
  <xdr:twoCellAnchor>
    <xdr:from>
      <xdr:col>26</xdr:col>
      <xdr:colOff>138395</xdr:colOff>
      <xdr:row>61</xdr:row>
      <xdr:rowOff>97310</xdr:rowOff>
    </xdr:from>
    <xdr:to>
      <xdr:col>29</xdr:col>
      <xdr:colOff>77163</xdr:colOff>
      <xdr:row>63</xdr:row>
      <xdr:rowOff>60454</xdr:rowOff>
    </xdr:to>
    <xdr:sp macro="" textlink="">
      <xdr:nvSpPr>
        <xdr:cNvPr id="43" name="正方形/長方形 42">
          <a:extLst>
            <a:ext uri="{FF2B5EF4-FFF2-40B4-BE49-F238E27FC236}">
              <a16:creationId xmlns:a16="http://schemas.microsoft.com/office/drawing/2014/main" id="{4AB74AE7-73AF-4C21-AE4C-1CFF5A818DE3}"/>
            </a:ext>
          </a:extLst>
        </xdr:cNvPr>
        <xdr:cNvSpPr/>
      </xdr:nvSpPr>
      <xdr:spPr>
        <a:xfrm>
          <a:off x="7567895" y="16527935"/>
          <a:ext cx="796018" cy="439394"/>
        </a:xfrm>
        <a:prstGeom prst="rect">
          <a:avLst/>
        </a:prstGeom>
        <a:solidFill>
          <a:schemeClr val="accent5">
            <a:lumMod val="20000"/>
            <a:lumOff val="80000"/>
          </a:schemeClr>
        </a:solidFill>
        <a:ln>
          <a:solidFill>
            <a:schemeClr val="tx1"/>
          </a:solidFill>
          <a:headEnd type="none"/>
          <a:tailEnd w="sm"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AWG 6</a:t>
          </a:r>
          <a:endParaRPr kumimoji="1" lang="ja-JP" altLang="en-US" sz="1200">
            <a:solidFill>
              <a:schemeClr val="tx1"/>
            </a:solidFill>
          </a:endParaRPr>
        </a:p>
      </xdr:txBody>
    </xdr:sp>
    <xdr:clientData/>
  </xdr:twoCellAnchor>
  <xdr:twoCellAnchor>
    <xdr:from>
      <xdr:col>26</xdr:col>
      <xdr:colOff>141708</xdr:colOff>
      <xdr:row>63</xdr:row>
      <xdr:rowOff>176618</xdr:rowOff>
    </xdr:from>
    <xdr:to>
      <xdr:col>29</xdr:col>
      <xdr:colOff>84398</xdr:colOff>
      <xdr:row>65</xdr:row>
      <xdr:rowOff>193415</xdr:rowOff>
    </xdr:to>
    <xdr:sp macro="" textlink="">
      <xdr:nvSpPr>
        <xdr:cNvPr id="44" name="正方形/長方形 43">
          <a:extLst>
            <a:ext uri="{FF2B5EF4-FFF2-40B4-BE49-F238E27FC236}">
              <a16:creationId xmlns:a16="http://schemas.microsoft.com/office/drawing/2014/main" id="{31209245-8D54-4252-A390-5CEAB568FAA5}"/>
            </a:ext>
          </a:extLst>
        </xdr:cNvPr>
        <xdr:cNvSpPr/>
      </xdr:nvSpPr>
      <xdr:spPr>
        <a:xfrm>
          <a:off x="7571208" y="17083493"/>
          <a:ext cx="799940" cy="493047"/>
        </a:xfrm>
        <a:prstGeom prst="rect">
          <a:avLst/>
        </a:prstGeom>
        <a:solidFill>
          <a:schemeClr val="accent5">
            <a:lumMod val="20000"/>
            <a:lumOff val="80000"/>
          </a:schemeClr>
        </a:solidFill>
        <a:ln>
          <a:solidFill>
            <a:schemeClr val="tx1"/>
          </a:solidFill>
          <a:headEnd type="none"/>
          <a:tailEnd w="sm"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AWG 7</a:t>
          </a:r>
          <a:endParaRPr kumimoji="1" lang="ja-JP" altLang="en-US" sz="1200">
            <a:solidFill>
              <a:schemeClr val="tx1"/>
            </a:solidFill>
          </a:endParaRPr>
        </a:p>
      </xdr:txBody>
    </xdr:sp>
    <xdr:clientData/>
  </xdr:twoCellAnchor>
  <xdr:twoCellAnchor>
    <xdr:from>
      <xdr:col>25</xdr:col>
      <xdr:colOff>193455</xdr:colOff>
      <xdr:row>47</xdr:row>
      <xdr:rowOff>13096</xdr:rowOff>
    </xdr:from>
    <xdr:to>
      <xdr:col>26</xdr:col>
      <xdr:colOff>126269</xdr:colOff>
      <xdr:row>47</xdr:row>
      <xdr:rowOff>13096</xdr:rowOff>
    </xdr:to>
    <xdr:cxnSp macro="">
      <xdr:nvCxnSpPr>
        <xdr:cNvPr id="45" name="直線矢印コネクタ 44">
          <a:extLst>
            <a:ext uri="{FF2B5EF4-FFF2-40B4-BE49-F238E27FC236}">
              <a16:creationId xmlns:a16="http://schemas.microsoft.com/office/drawing/2014/main" id="{0E6E6528-6DB6-4F0B-8BFE-CA0579AFD4A6}"/>
            </a:ext>
          </a:extLst>
        </xdr:cNvPr>
        <xdr:cNvCxnSpPr/>
      </xdr:nvCxnSpPr>
      <xdr:spPr>
        <a:xfrm>
          <a:off x="7337205" y="13109971"/>
          <a:ext cx="218564"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191074</xdr:colOff>
      <xdr:row>49</xdr:row>
      <xdr:rowOff>132239</xdr:rowOff>
    </xdr:from>
    <xdr:to>
      <xdr:col>26</xdr:col>
      <xdr:colOff>123888</xdr:colOff>
      <xdr:row>49</xdr:row>
      <xdr:rowOff>132239</xdr:rowOff>
    </xdr:to>
    <xdr:cxnSp macro="">
      <xdr:nvCxnSpPr>
        <xdr:cNvPr id="46" name="直線矢印コネクタ 45">
          <a:extLst>
            <a:ext uri="{FF2B5EF4-FFF2-40B4-BE49-F238E27FC236}">
              <a16:creationId xmlns:a16="http://schemas.microsoft.com/office/drawing/2014/main" id="{79EC2135-3946-42FE-9FB9-8B6EB0616DD4}"/>
            </a:ext>
          </a:extLst>
        </xdr:cNvPr>
        <xdr:cNvCxnSpPr/>
      </xdr:nvCxnSpPr>
      <xdr:spPr>
        <a:xfrm>
          <a:off x="7334824" y="13705364"/>
          <a:ext cx="218564"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200599</xdr:colOff>
      <xdr:row>52</xdr:row>
      <xdr:rowOff>2120</xdr:rowOff>
    </xdr:from>
    <xdr:to>
      <xdr:col>26</xdr:col>
      <xdr:colOff>133413</xdr:colOff>
      <xdr:row>52</xdr:row>
      <xdr:rowOff>2120</xdr:rowOff>
    </xdr:to>
    <xdr:cxnSp macro="">
      <xdr:nvCxnSpPr>
        <xdr:cNvPr id="47" name="直線矢印コネクタ 46">
          <a:extLst>
            <a:ext uri="{FF2B5EF4-FFF2-40B4-BE49-F238E27FC236}">
              <a16:creationId xmlns:a16="http://schemas.microsoft.com/office/drawing/2014/main" id="{08BED102-9250-499C-887A-77C12EFA7AF8}"/>
            </a:ext>
          </a:extLst>
        </xdr:cNvPr>
        <xdr:cNvCxnSpPr/>
      </xdr:nvCxnSpPr>
      <xdr:spPr>
        <a:xfrm>
          <a:off x="7344349" y="14289620"/>
          <a:ext cx="218564"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192265</xdr:colOff>
      <xdr:row>54</xdr:row>
      <xdr:rowOff>94059</xdr:rowOff>
    </xdr:from>
    <xdr:to>
      <xdr:col>26</xdr:col>
      <xdr:colOff>125079</xdr:colOff>
      <xdr:row>54</xdr:row>
      <xdr:rowOff>94059</xdr:rowOff>
    </xdr:to>
    <xdr:cxnSp macro="">
      <xdr:nvCxnSpPr>
        <xdr:cNvPr id="48" name="直線矢印コネクタ 47">
          <a:extLst>
            <a:ext uri="{FF2B5EF4-FFF2-40B4-BE49-F238E27FC236}">
              <a16:creationId xmlns:a16="http://schemas.microsoft.com/office/drawing/2014/main" id="{E41FCD33-DAB3-4604-A04F-A971C7F25B78}"/>
            </a:ext>
          </a:extLst>
        </xdr:cNvPr>
        <xdr:cNvCxnSpPr/>
      </xdr:nvCxnSpPr>
      <xdr:spPr>
        <a:xfrm>
          <a:off x="7336015" y="14857809"/>
          <a:ext cx="218564"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195837</xdr:colOff>
      <xdr:row>56</xdr:row>
      <xdr:rowOff>209630</xdr:rowOff>
    </xdr:from>
    <xdr:to>
      <xdr:col>26</xdr:col>
      <xdr:colOff>128651</xdr:colOff>
      <xdr:row>56</xdr:row>
      <xdr:rowOff>209630</xdr:rowOff>
    </xdr:to>
    <xdr:cxnSp macro="">
      <xdr:nvCxnSpPr>
        <xdr:cNvPr id="49" name="直線矢印コネクタ 48">
          <a:extLst>
            <a:ext uri="{FF2B5EF4-FFF2-40B4-BE49-F238E27FC236}">
              <a16:creationId xmlns:a16="http://schemas.microsoft.com/office/drawing/2014/main" id="{B257B6B4-C6B9-403D-9E3C-66B6991FBE70}"/>
            </a:ext>
          </a:extLst>
        </xdr:cNvPr>
        <xdr:cNvCxnSpPr/>
      </xdr:nvCxnSpPr>
      <xdr:spPr>
        <a:xfrm>
          <a:off x="7339587" y="15449630"/>
          <a:ext cx="218564"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193455</xdr:colOff>
      <xdr:row>59</xdr:row>
      <xdr:rowOff>77128</xdr:rowOff>
    </xdr:from>
    <xdr:to>
      <xdr:col>26</xdr:col>
      <xdr:colOff>126269</xdr:colOff>
      <xdr:row>59</xdr:row>
      <xdr:rowOff>77128</xdr:rowOff>
    </xdr:to>
    <xdr:cxnSp macro="">
      <xdr:nvCxnSpPr>
        <xdr:cNvPr id="50" name="直線矢印コネクタ 49">
          <a:extLst>
            <a:ext uri="{FF2B5EF4-FFF2-40B4-BE49-F238E27FC236}">
              <a16:creationId xmlns:a16="http://schemas.microsoft.com/office/drawing/2014/main" id="{1FEAC3B7-3CE6-4BE1-AEEF-EFA6F42438A1}"/>
            </a:ext>
          </a:extLst>
        </xdr:cNvPr>
        <xdr:cNvCxnSpPr/>
      </xdr:nvCxnSpPr>
      <xdr:spPr>
        <a:xfrm>
          <a:off x="7337205" y="16031503"/>
          <a:ext cx="218564"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197027</xdr:colOff>
      <xdr:row>61</xdr:row>
      <xdr:rowOff>192961</xdr:rowOff>
    </xdr:from>
    <xdr:to>
      <xdr:col>26</xdr:col>
      <xdr:colOff>129841</xdr:colOff>
      <xdr:row>61</xdr:row>
      <xdr:rowOff>192961</xdr:rowOff>
    </xdr:to>
    <xdr:cxnSp macro="">
      <xdr:nvCxnSpPr>
        <xdr:cNvPr id="51" name="直線矢印コネクタ 50">
          <a:extLst>
            <a:ext uri="{FF2B5EF4-FFF2-40B4-BE49-F238E27FC236}">
              <a16:creationId xmlns:a16="http://schemas.microsoft.com/office/drawing/2014/main" id="{A67CB0EE-A8D4-4C38-B677-72D2BE3D8A61}"/>
            </a:ext>
          </a:extLst>
        </xdr:cNvPr>
        <xdr:cNvCxnSpPr/>
      </xdr:nvCxnSpPr>
      <xdr:spPr>
        <a:xfrm>
          <a:off x="7340777" y="16623586"/>
          <a:ext cx="218564"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194646</xdr:colOff>
      <xdr:row>64</xdr:row>
      <xdr:rowOff>58421</xdr:rowOff>
    </xdr:from>
    <xdr:to>
      <xdr:col>26</xdr:col>
      <xdr:colOff>127460</xdr:colOff>
      <xdr:row>64</xdr:row>
      <xdr:rowOff>58421</xdr:rowOff>
    </xdr:to>
    <xdr:cxnSp macro="">
      <xdr:nvCxnSpPr>
        <xdr:cNvPr id="52" name="直線矢印コネクタ 51">
          <a:extLst>
            <a:ext uri="{FF2B5EF4-FFF2-40B4-BE49-F238E27FC236}">
              <a16:creationId xmlns:a16="http://schemas.microsoft.com/office/drawing/2014/main" id="{9ECF8143-5A47-4820-8A1D-FE1FE5D18FFD}"/>
            </a:ext>
          </a:extLst>
        </xdr:cNvPr>
        <xdr:cNvCxnSpPr/>
      </xdr:nvCxnSpPr>
      <xdr:spPr>
        <a:xfrm>
          <a:off x="7338396" y="17203421"/>
          <a:ext cx="218564"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109356</xdr:colOff>
      <xdr:row>87</xdr:row>
      <xdr:rowOff>42259</xdr:rowOff>
    </xdr:from>
    <xdr:to>
      <xdr:col>23</xdr:col>
      <xdr:colOff>171253</xdr:colOff>
      <xdr:row>91</xdr:row>
      <xdr:rowOff>116023</xdr:rowOff>
    </xdr:to>
    <xdr:sp macro="" textlink="">
      <xdr:nvSpPr>
        <xdr:cNvPr id="53" name="正方形/長方形 52">
          <a:extLst>
            <a:ext uri="{FF2B5EF4-FFF2-40B4-BE49-F238E27FC236}">
              <a16:creationId xmlns:a16="http://schemas.microsoft.com/office/drawing/2014/main" id="{7C58330C-86CE-4EED-ABDE-49918DC0BF11}"/>
            </a:ext>
          </a:extLst>
        </xdr:cNvPr>
        <xdr:cNvSpPr/>
      </xdr:nvSpPr>
      <xdr:spPr>
        <a:xfrm>
          <a:off x="5081406" y="20759134"/>
          <a:ext cx="1443022" cy="1026264"/>
        </a:xfrm>
        <a:prstGeom prst="rect">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chemeClr val="tx1"/>
              </a:solidFill>
            </a:rPr>
            <a:t>ディジタル出力</a:t>
          </a:r>
          <a:endParaRPr kumimoji="1" lang="en-US" altLang="ja-JP" sz="1100">
            <a:solidFill>
              <a:schemeClr val="tx1"/>
            </a:solidFill>
          </a:endParaRPr>
        </a:p>
        <a:p>
          <a:pPr algn="ctr"/>
          <a:r>
            <a:rPr kumimoji="1" lang="ja-JP" altLang="en-US" sz="1100">
              <a:solidFill>
                <a:schemeClr val="tx1"/>
              </a:solidFill>
            </a:rPr>
            <a:t>コントローラ</a:t>
          </a:r>
          <a:endParaRPr kumimoji="1" lang="en-US" altLang="ja-JP" sz="1100">
            <a:solidFill>
              <a:schemeClr val="tx1"/>
            </a:solidFill>
          </a:endParaRPr>
        </a:p>
        <a:p>
          <a:pPr algn="ctr"/>
          <a:endParaRPr kumimoji="1" lang="ja-JP" altLang="en-US" sz="1100">
            <a:solidFill>
              <a:schemeClr val="tx1"/>
            </a:solidFill>
          </a:endParaRPr>
        </a:p>
      </xdr:txBody>
    </xdr:sp>
    <xdr:clientData/>
  </xdr:twoCellAnchor>
  <xdr:twoCellAnchor>
    <xdr:from>
      <xdr:col>18</xdr:col>
      <xdr:colOff>259259</xdr:colOff>
      <xdr:row>89</xdr:row>
      <xdr:rowOff>164032</xdr:rowOff>
    </xdr:from>
    <xdr:to>
      <xdr:col>23</xdr:col>
      <xdr:colOff>8918</xdr:colOff>
      <xdr:row>91</xdr:row>
      <xdr:rowOff>26571</xdr:rowOff>
    </xdr:to>
    <xdr:sp macro="" textlink="">
      <xdr:nvSpPr>
        <xdr:cNvPr id="54" name="正方形/長方形 53">
          <a:extLst>
            <a:ext uri="{FF2B5EF4-FFF2-40B4-BE49-F238E27FC236}">
              <a16:creationId xmlns:a16="http://schemas.microsoft.com/office/drawing/2014/main" id="{47038D67-A728-49F0-A90A-E79F3B745AAC}"/>
            </a:ext>
          </a:extLst>
        </xdr:cNvPr>
        <xdr:cNvSpPr/>
      </xdr:nvSpPr>
      <xdr:spPr>
        <a:xfrm>
          <a:off x="5231309" y="21357157"/>
          <a:ext cx="1130784" cy="338789"/>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制御レジスタ</a:t>
          </a:r>
        </a:p>
      </xdr:txBody>
    </xdr:sp>
    <xdr:clientData/>
  </xdr:twoCellAnchor>
  <xdr:twoCellAnchor>
    <xdr:from>
      <xdr:col>25</xdr:col>
      <xdr:colOff>146154</xdr:colOff>
      <xdr:row>87</xdr:row>
      <xdr:rowOff>196173</xdr:rowOff>
    </xdr:from>
    <xdr:to>
      <xdr:col>30</xdr:col>
      <xdr:colOff>138415</xdr:colOff>
      <xdr:row>90</xdr:row>
      <xdr:rowOff>162013</xdr:rowOff>
    </xdr:to>
    <xdr:sp macro="" textlink="">
      <xdr:nvSpPr>
        <xdr:cNvPr id="55" name="正方形/長方形 54">
          <a:extLst>
            <a:ext uri="{FF2B5EF4-FFF2-40B4-BE49-F238E27FC236}">
              <a16:creationId xmlns:a16="http://schemas.microsoft.com/office/drawing/2014/main" id="{28D54733-3FEA-49FE-A471-7A820D37DC48}"/>
            </a:ext>
          </a:extLst>
        </xdr:cNvPr>
        <xdr:cNvSpPr/>
      </xdr:nvSpPr>
      <xdr:spPr>
        <a:xfrm>
          <a:off x="7051779" y="20913048"/>
          <a:ext cx="1373386" cy="680215"/>
        </a:xfrm>
        <a:prstGeom prst="rect">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ディジタル出力</a:t>
          </a:r>
          <a:endParaRPr kumimoji="1" lang="en-US" altLang="ja-JP" sz="1100">
            <a:solidFill>
              <a:schemeClr val="tx1"/>
            </a:solidFill>
          </a:endParaRPr>
        </a:p>
        <a:p>
          <a:pPr algn="ctr"/>
          <a:r>
            <a:rPr kumimoji="1" lang="ja-JP" altLang="en-US" sz="1100">
              <a:solidFill>
                <a:schemeClr val="tx1"/>
              </a:solidFill>
            </a:rPr>
            <a:t>モジュール</a:t>
          </a:r>
          <a:r>
            <a:rPr kumimoji="1" lang="en-US" altLang="ja-JP" sz="1100">
              <a:solidFill>
                <a:schemeClr val="tx1"/>
              </a:solidFill>
            </a:rPr>
            <a:t> 0</a:t>
          </a:r>
          <a:endParaRPr kumimoji="1" lang="ja-JP" altLang="en-US" sz="1100">
            <a:solidFill>
              <a:schemeClr val="tx1"/>
            </a:solidFill>
          </a:endParaRPr>
        </a:p>
      </xdr:txBody>
    </xdr:sp>
    <xdr:clientData/>
  </xdr:twoCellAnchor>
  <xdr:twoCellAnchor>
    <xdr:from>
      <xdr:col>24</xdr:col>
      <xdr:colOff>145403</xdr:colOff>
      <xdr:row>60</xdr:row>
      <xdr:rowOff>76774</xdr:rowOff>
    </xdr:from>
    <xdr:to>
      <xdr:col>26</xdr:col>
      <xdr:colOff>142090</xdr:colOff>
      <xdr:row>60</xdr:row>
      <xdr:rowOff>76774</xdr:rowOff>
    </xdr:to>
    <xdr:cxnSp macro="">
      <xdr:nvCxnSpPr>
        <xdr:cNvPr id="56" name="直線矢印コネクタ 55">
          <a:extLst>
            <a:ext uri="{FF2B5EF4-FFF2-40B4-BE49-F238E27FC236}">
              <a16:creationId xmlns:a16="http://schemas.microsoft.com/office/drawing/2014/main" id="{022155DA-4A3A-40D8-9497-166226CFF103}"/>
            </a:ext>
          </a:extLst>
        </xdr:cNvPr>
        <xdr:cNvCxnSpPr/>
      </xdr:nvCxnSpPr>
      <xdr:spPr>
        <a:xfrm>
          <a:off x="7003403" y="16269274"/>
          <a:ext cx="568187" cy="0"/>
        </a:xfrm>
        <a:prstGeom prst="straightConnector1">
          <a:avLst/>
        </a:prstGeom>
        <a:ln>
          <a:headEnd type="triangle" w="sm" len="med"/>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139541</xdr:colOff>
      <xdr:row>50</xdr:row>
      <xdr:rowOff>166033</xdr:rowOff>
    </xdr:from>
    <xdr:to>
      <xdr:col>26</xdr:col>
      <xdr:colOff>136228</xdr:colOff>
      <xdr:row>50</xdr:row>
      <xdr:rowOff>166033</xdr:rowOff>
    </xdr:to>
    <xdr:cxnSp macro="">
      <xdr:nvCxnSpPr>
        <xdr:cNvPr id="57" name="直線矢印コネクタ 56">
          <a:extLst>
            <a:ext uri="{FF2B5EF4-FFF2-40B4-BE49-F238E27FC236}">
              <a16:creationId xmlns:a16="http://schemas.microsoft.com/office/drawing/2014/main" id="{64230499-52D1-41E9-9A60-A47DC48D481B}"/>
            </a:ext>
          </a:extLst>
        </xdr:cNvPr>
        <xdr:cNvCxnSpPr/>
      </xdr:nvCxnSpPr>
      <xdr:spPr>
        <a:xfrm>
          <a:off x="6997541" y="13977283"/>
          <a:ext cx="568187" cy="0"/>
        </a:xfrm>
        <a:prstGeom prst="straightConnector1">
          <a:avLst/>
        </a:prstGeom>
        <a:ln>
          <a:headEnd type="triangle" w="sm" len="med"/>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145403</xdr:colOff>
      <xdr:row>53</xdr:row>
      <xdr:rowOff>22278</xdr:rowOff>
    </xdr:from>
    <xdr:to>
      <xdr:col>26</xdr:col>
      <xdr:colOff>142090</xdr:colOff>
      <xdr:row>53</xdr:row>
      <xdr:rowOff>22278</xdr:rowOff>
    </xdr:to>
    <xdr:cxnSp macro="">
      <xdr:nvCxnSpPr>
        <xdr:cNvPr id="58" name="直線矢印コネクタ 57">
          <a:extLst>
            <a:ext uri="{FF2B5EF4-FFF2-40B4-BE49-F238E27FC236}">
              <a16:creationId xmlns:a16="http://schemas.microsoft.com/office/drawing/2014/main" id="{6526B9D7-305D-410D-B382-8FBA49808142}"/>
            </a:ext>
          </a:extLst>
        </xdr:cNvPr>
        <xdr:cNvCxnSpPr/>
      </xdr:nvCxnSpPr>
      <xdr:spPr>
        <a:xfrm>
          <a:off x="7003403" y="14547903"/>
          <a:ext cx="568187" cy="0"/>
        </a:xfrm>
        <a:prstGeom prst="straightConnector1">
          <a:avLst/>
        </a:prstGeom>
        <a:ln>
          <a:headEnd type="triangle" w="sm" len="med"/>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136610</xdr:colOff>
      <xdr:row>55</xdr:row>
      <xdr:rowOff>118407</xdr:rowOff>
    </xdr:from>
    <xdr:to>
      <xdr:col>26</xdr:col>
      <xdr:colOff>133297</xdr:colOff>
      <xdr:row>55</xdr:row>
      <xdr:rowOff>118407</xdr:rowOff>
    </xdr:to>
    <xdr:cxnSp macro="">
      <xdr:nvCxnSpPr>
        <xdr:cNvPr id="59" name="直線矢印コネクタ 58">
          <a:extLst>
            <a:ext uri="{FF2B5EF4-FFF2-40B4-BE49-F238E27FC236}">
              <a16:creationId xmlns:a16="http://schemas.microsoft.com/office/drawing/2014/main" id="{5B86E8E5-31A5-4A33-95CF-391C47E6831F}"/>
            </a:ext>
          </a:extLst>
        </xdr:cNvPr>
        <xdr:cNvCxnSpPr/>
      </xdr:nvCxnSpPr>
      <xdr:spPr>
        <a:xfrm>
          <a:off x="6994610" y="15120282"/>
          <a:ext cx="568187" cy="0"/>
        </a:xfrm>
        <a:prstGeom prst="straightConnector1">
          <a:avLst/>
        </a:prstGeom>
        <a:ln>
          <a:headEnd type="triangle" w="sm" len="med"/>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142471</xdr:colOff>
      <xdr:row>58</xdr:row>
      <xdr:rowOff>2645</xdr:rowOff>
    </xdr:from>
    <xdr:to>
      <xdr:col>26</xdr:col>
      <xdr:colOff>139158</xdr:colOff>
      <xdr:row>58</xdr:row>
      <xdr:rowOff>2645</xdr:rowOff>
    </xdr:to>
    <xdr:cxnSp macro="">
      <xdr:nvCxnSpPr>
        <xdr:cNvPr id="60" name="直線矢印コネクタ 59">
          <a:extLst>
            <a:ext uri="{FF2B5EF4-FFF2-40B4-BE49-F238E27FC236}">
              <a16:creationId xmlns:a16="http://schemas.microsoft.com/office/drawing/2014/main" id="{8D91B02E-BFB5-4D5C-A7F7-EF189D5F4E95}"/>
            </a:ext>
          </a:extLst>
        </xdr:cNvPr>
        <xdr:cNvCxnSpPr/>
      </xdr:nvCxnSpPr>
      <xdr:spPr>
        <a:xfrm>
          <a:off x="7000471" y="15718895"/>
          <a:ext cx="568187" cy="0"/>
        </a:xfrm>
        <a:prstGeom prst="straightConnector1">
          <a:avLst/>
        </a:prstGeom>
        <a:ln>
          <a:headEnd type="triangle" w="sm" len="med"/>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166688</xdr:colOff>
      <xdr:row>89</xdr:row>
      <xdr:rowOff>79916</xdr:rowOff>
    </xdr:from>
    <xdr:to>
      <xdr:col>25</xdr:col>
      <xdr:colOff>142456</xdr:colOff>
      <xdr:row>89</xdr:row>
      <xdr:rowOff>79916</xdr:rowOff>
    </xdr:to>
    <xdr:cxnSp macro="">
      <xdr:nvCxnSpPr>
        <xdr:cNvPr id="61" name="直線矢印コネクタ 60">
          <a:extLst>
            <a:ext uri="{FF2B5EF4-FFF2-40B4-BE49-F238E27FC236}">
              <a16:creationId xmlns:a16="http://schemas.microsoft.com/office/drawing/2014/main" id="{24197D6A-AF3B-45E5-B346-7198143DEAC7}"/>
            </a:ext>
          </a:extLst>
        </xdr:cNvPr>
        <xdr:cNvCxnSpPr/>
      </xdr:nvCxnSpPr>
      <xdr:spPr>
        <a:xfrm>
          <a:off x="6465094" y="21273041"/>
          <a:ext cx="523456" cy="0"/>
        </a:xfrm>
        <a:prstGeom prst="straightConnector1">
          <a:avLst/>
        </a:prstGeom>
        <a:ln>
          <a:headEnd type="triangle" w="sm" len="med"/>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107957</xdr:colOff>
      <xdr:row>86</xdr:row>
      <xdr:rowOff>58434</xdr:rowOff>
    </xdr:from>
    <xdr:to>
      <xdr:col>30</xdr:col>
      <xdr:colOff>137809</xdr:colOff>
      <xdr:row>87</xdr:row>
      <xdr:rowOff>182529</xdr:rowOff>
    </xdr:to>
    <xdr:cxnSp macro="">
      <xdr:nvCxnSpPr>
        <xdr:cNvPr id="62" name="コネクタ: カギ線 61">
          <a:extLst>
            <a:ext uri="{FF2B5EF4-FFF2-40B4-BE49-F238E27FC236}">
              <a16:creationId xmlns:a16="http://schemas.microsoft.com/office/drawing/2014/main" id="{5D2D301D-BD02-457F-944F-C7CDFEC3BE95}"/>
            </a:ext>
          </a:extLst>
        </xdr:cNvPr>
        <xdr:cNvCxnSpPr>
          <a:cxnSpLocks/>
          <a:endCxn id="63" idx="1"/>
        </xdr:cNvCxnSpPr>
      </xdr:nvCxnSpPr>
      <xdr:spPr>
        <a:xfrm rot="10800000" flipV="1">
          <a:off x="5069063" y="20624328"/>
          <a:ext cx="3337257" cy="363233"/>
        </a:xfrm>
        <a:prstGeom prst="bentConnector3">
          <a:avLst>
            <a:gd name="adj1" fmla="val 106850"/>
          </a:avLst>
        </a:prstGeom>
        <a:ln>
          <a:solidFill>
            <a:srgbClr val="00B050"/>
          </a:solidFill>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107956</xdr:colOff>
      <xdr:row>87</xdr:row>
      <xdr:rowOff>58820</xdr:rowOff>
    </xdr:from>
    <xdr:to>
      <xdr:col>19</xdr:col>
      <xdr:colOff>174421</xdr:colOff>
      <xdr:row>88</xdr:row>
      <xdr:rowOff>67102</xdr:rowOff>
    </xdr:to>
    <xdr:sp macro="" textlink="">
      <xdr:nvSpPr>
        <xdr:cNvPr id="63" name="正方形/長方形 62">
          <a:extLst>
            <a:ext uri="{FF2B5EF4-FFF2-40B4-BE49-F238E27FC236}">
              <a16:creationId xmlns:a16="http://schemas.microsoft.com/office/drawing/2014/main" id="{156BA22E-4782-411C-9195-26D1D90B9D48}"/>
            </a:ext>
          </a:extLst>
        </xdr:cNvPr>
        <xdr:cNvSpPr/>
      </xdr:nvSpPr>
      <xdr:spPr>
        <a:xfrm>
          <a:off x="5080006" y="20775695"/>
          <a:ext cx="342690" cy="24640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5252</xdr:colOff>
      <xdr:row>85</xdr:row>
      <xdr:rowOff>26711</xdr:rowOff>
    </xdr:from>
    <xdr:to>
      <xdr:col>18</xdr:col>
      <xdr:colOff>199816</xdr:colOff>
      <xdr:row>86</xdr:row>
      <xdr:rowOff>51034</xdr:rowOff>
    </xdr:to>
    <xdr:cxnSp macro="">
      <xdr:nvCxnSpPr>
        <xdr:cNvPr id="64" name="直線コネクタ 63">
          <a:extLst>
            <a:ext uri="{FF2B5EF4-FFF2-40B4-BE49-F238E27FC236}">
              <a16:creationId xmlns:a16="http://schemas.microsoft.com/office/drawing/2014/main" id="{ED667889-FEC0-4EA7-BC4E-B30B8C414384}"/>
            </a:ext>
          </a:extLst>
        </xdr:cNvPr>
        <xdr:cNvCxnSpPr/>
      </xdr:nvCxnSpPr>
      <xdr:spPr>
        <a:xfrm flipH="1">
          <a:off x="4977302" y="20267336"/>
          <a:ext cx="194564" cy="262448"/>
        </a:xfrm>
        <a:prstGeom prst="line">
          <a:avLst/>
        </a:prstGeom>
        <a:ln>
          <a:solidFill>
            <a:schemeClr val="tx1"/>
          </a:solidFill>
          <a:prstDash val="dash"/>
          <a:headEnd type="none"/>
          <a:tailEnd w="sm"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46289</xdr:colOff>
      <xdr:row>82</xdr:row>
      <xdr:rowOff>185626</xdr:rowOff>
    </xdr:from>
    <xdr:to>
      <xdr:col>22</xdr:col>
      <xdr:colOff>249872</xdr:colOff>
      <xdr:row>85</xdr:row>
      <xdr:rowOff>110364</xdr:rowOff>
    </xdr:to>
    <xdr:sp macro="" textlink="">
      <xdr:nvSpPr>
        <xdr:cNvPr id="65" name="正方形/長方形 64">
          <a:extLst>
            <a:ext uri="{FF2B5EF4-FFF2-40B4-BE49-F238E27FC236}">
              <a16:creationId xmlns:a16="http://schemas.microsoft.com/office/drawing/2014/main" id="{62345B8D-7F89-492A-9C3D-0FD57921CA9D}"/>
            </a:ext>
          </a:extLst>
        </xdr:cNvPr>
        <xdr:cNvSpPr/>
      </xdr:nvSpPr>
      <xdr:spPr>
        <a:xfrm>
          <a:off x="4742114" y="19711876"/>
          <a:ext cx="1584708" cy="63911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ディジタル出力</a:t>
          </a:r>
          <a:endParaRPr kumimoji="1" lang="en-US" altLang="ja-JP" sz="1100">
            <a:solidFill>
              <a:schemeClr val="tx1"/>
            </a:solidFill>
          </a:endParaRPr>
        </a:p>
        <a:p>
          <a:pPr algn="ctr"/>
          <a:r>
            <a:rPr kumimoji="1" lang="ja-JP" altLang="en-US" sz="1100">
              <a:solidFill>
                <a:schemeClr val="tx1"/>
              </a:solidFill>
            </a:rPr>
            <a:t>制御信号</a:t>
          </a:r>
          <a:endParaRPr kumimoji="1" lang="en-US" altLang="ja-JP" sz="1100">
            <a:solidFill>
              <a:schemeClr val="tx1"/>
            </a:solidFill>
          </a:endParaRPr>
        </a:p>
      </xdr:txBody>
    </xdr:sp>
    <xdr:clientData/>
  </xdr:twoCellAnchor>
  <xdr:twoCellAnchor>
    <xdr:from>
      <xdr:col>30</xdr:col>
      <xdr:colOff>170448</xdr:colOff>
      <xdr:row>89</xdr:row>
      <xdr:rowOff>115071</xdr:rowOff>
    </xdr:from>
    <xdr:to>
      <xdr:col>35</xdr:col>
      <xdr:colOff>179732</xdr:colOff>
      <xdr:row>89</xdr:row>
      <xdr:rowOff>115071</xdr:rowOff>
    </xdr:to>
    <xdr:cxnSp macro="">
      <xdr:nvCxnSpPr>
        <xdr:cNvPr id="66" name="直線矢印コネクタ 65">
          <a:extLst>
            <a:ext uri="{FF2B5EF4-FFF2-40B4-BE49-F238E27FC236}">
              <a16:creationId xmlns:a16="http://schemas.microsoft.com/office/drawing/2014/main" id="{EF0C672E-FF9A-4166-92AE-4CFDC9C755A3}"/>
            </a:ext>
          </a:extLst>
        </xdr:cNvPr>
        <xdr:cNvCxnSpPr/>
      </xdr:nvCxnSpPr>
      <xdr:spPr>
        <a:xfrm>
          <a:off x="8457198" y="21308196"/>
          <a:ext cx="1390409" cy="0"/>
        </a:xfrm>
        <a:prstGeom prst="straightConnector1">
          <a:avLst/>
        </a:prstGeom>
        <a:ln>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94322</xdr:colOff>
      <xdr:row>56</xdr:row>
      <xdr:rowOff>63410</xdr:rowOff>
    </xdr:from>
    <xdr:to>
      <xdr:col>18</xdr:col>
      <xdr:colOff>263975</xdr:colOff>
      <xdr:row>56</xdr:row>
      <xdr:rowOff>63410</xdr:rowOff>
    </xdr:to>
    <xdr:cxnSp macro="">
      <xdr:nvCxnSpPr>
        <xdr:cNvPr id="67" name="直線矢印コネクタ 66">
          <a:extLst>
            <a:ext uri="{FF2B5EF4-FFF2-40B4-BE49-F238E27FC236}">
              <a16:creationId xmlns:a16="http://schemas.microsoft.com/office/drawing/2014/main" id="{5CC1E4EF-C82D-48AC-9ED2-3134C5B07DCA}"/>
            </a:ext>
          </a:extLst>
        </xdr:cNvPr>
        <xdr:cNvCxnSpPr/>
      </xdr:nvCxnSpPr>
      <xdr:spPr>
        <a:xfrm>
          <a:off x="4952072" y="15303410"/>
          <a:ext cx="455403"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176145</xdr:colOff>
      <xdr:row>50</xdr:row>
      <xdr:rowOff>237822</xdr:rowOff>
    </xdr:from>
    <xdr:to>
      <xdr:col>18</xdr:col>
      <xdr:colOff>38996</xdr:colOff>
      <xdr:row>54</xdr:row>
      <xdr:rowOff>174445</xdr:rowOff>
    </xdr:to>
    <xdr:cxnSp macro="">
      <xdr:nvCxnSpPr>
        <xdr:cNvPr id="68" name="コネクタ: カギ線 67">
          <a:extLst>
            <a:ext uri="{FF2B5EF4-FFF2-40B4-BE49-F238E27FC236}">
              <a16:creationId xmlns:a16="http://schemas.microsoft.com/office/drawing/2014/main" id="{ECA97666-611E-44BD-A5D3-760ED3982366}"/>
            </a:ext>
          </a:extLst>
        </xdr:cNvPr>
        <xdr:cNvCxnSpPr>
          <a:stCxn id="196" idx="1"/>
          <a:endCxn id="70" idx="0"/>
        </xdr:cNvCxnSpPr>
      </xdr:nvCxnSpPr>
      <xdr:spPr>
        <a:xfrm rot="10800000" flipV="1">
          <a:off x="4462395" y="14049072"/>
          <a:ext cx="720101" cy="889123"/>
        </a:xfrm>
        <a:prstGeom prst="bentConnector2">
          <a:avLst/>
        </a:prstGeom>
        <a:ln>
          <a:headEnd type="triangle" w="sm" len="med"/>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179975</xdr:colOff>
      <xdr:row>57</xdr:row>
      <xdr:rowOff>174447</xdr:rowOff>
    </xdr:from>
    <xdr:to>
      <xdr:col>18</xdr:col>
      <xdr:colOff>109356</xdr:colOff>
      <xdr:row>89</xdr:row>
      <xdr:rowOff>79142</xdr:rowOff>
    </xdr:to>
    <xdr:cxnSp macro="">
      <xdr:nvCxnSpPr>
        <xdr:cNvPr id="69" name="コネクタ: カギ線 68">
          <a:extLst>
            <a:ext uri="{FF2B5EF4-FFF2-40B4-BE49-F238E27FC236}">
              <a16:creationId xmlns:a16="http://schemas.microsoft.com/office/drawing/2014/main" id="{278A5E83-10D2-4B0E-B02F-BEEE83D454C9}"/>
            </a:ext>
          </a:extLst>
        </xdr:cNvPr>
        <xdr:cNvCxnSpPr>
          <a:stCxn id="53" idx="1"/>
          <a:endCxn id="70" idx="2"/>
        </xdr:cNvCxnSpPr>
      </xdr:nvCxnSpPr>
      <xdr:spPr>
        <a:xfrm rot="10800000">
          <a:off x="4323350" y="13747572"/>
          <a:ext cx="758056" cy="7524695"/>
        </a:xfrm>
        <a:prstGeom prst="bentConnector2">
          <a:avLst/>
        </a:prstGeom>
        <a:ln>
          <a:headEnd type="triangle" w="sm" len="med"/>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169997</xdr:colOff>
      <xdr:row>54</xdr:row>
      <xdr:rowOff>174446</xdr:rowOff>
    </xdr:from>
    <xdr:to>
      <xdr:col>17</xdr:col>
      <xdr:colOff>189952</xdr:colOff>
      <xdr:row>57</xdr:row>
      <xdr:rowOff>174446</xdr:rowOff>
    </xdr:to>
    <xdr:sp macro="" textlink="">
      <xdr:nvSpPr>
        <xdr:cNvPr id="70" name="正方形/長方形 69">
          <a:extLst>
            <a:ext uri="{FF2B5EF4-FFF2-40B4-BE49-F238E27FC236}">
              <a16:creationId xmlns:a16="http://schemas.microsoft.com/office/drawing/2014/main" id="{D184792D-AA63-4385-8058-F6CA86405951}"/>
            </a:ext>
          </a:extLst>
        </xdr:cNvPr>
        <xdr:cNvSpPr/>
      </xdr:nvSpPr>
      <xdr:spPr>
        <a:xfrm>
          <a:off x="3884747" y="14938196"/>
          <a:ext cx="1162955" cy="714375"/>
        </a:xfrm>
        <a:prstGeom prst="rect">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UDP/IP </a:t>
          </a:r>
          <a:r>
            <a:rPr kumimoji="1" lang="ja-JP" altLang="en-US" sz="1100">
              <a:solidFill>
                <a:schemeClr val="tx1"/>
              </a:solidFill>
            </a:rPr>
            <a:t>通信</a:t>
          </a:r>
          <a:endParaRPr kumimoji="1" lang="en-US" altLang="ja-JP" sz="1100">
            <a:solidFill>
              <a:schemeClr val="tx1"/>
            </a:solidFill>
          </a:endParaRPr>
        </a:p>
        <a:p>
          <a:pPr algn="ctr"/>
          <a:r>
            <a:rPr kumimoji="1" lang="ja-JP" altLang="en-US" sz="1100">
              <a:solidFill>
                <a:schemeClr val="tx1"/>
              </a:solidFill>
            </a:rPr>
            <a:t>コントローラ</a:t>
          </a:r>
        </a:p>
      </xdr:txBody>
    </xdr:sp>
    <xdr:clientData/>
  </xdr:twoCellAnchor>
  <xdr:twoCellAnchor>
    <xdr:from>
      <xdr:col>15</xdr:col>
      <xdr:colOff>180429</xdr:colOff>
      <xdr:row>58</xdr:row>
      <xdr:rowOff>220748</xdr:rowOff>
    </xdr:from>
    <xdr:to>
      <xdr:col>19</xdr:col>
      <xdr:colOff>264496</xdr:colOff>
      <xdr:row>60</xdr:row>
      <xdr:rowOff>97832</xdr:rowOff>
    </xdr:to>
    <xdr:sp macro="" textlink="">
      <xdr:nvSpPr>
        <xdr:cNvPr id="71" name="正方形/長方形 70">
          <a:extLst>
            <a:ext uri="{FF2B5EF4-FFF2-40B4-BE49-F238E27FC236}">
              <a16:creationId xmlns:a16="http://schemas.microsoft.com/office/drawing/2014/main" id="{39DCC33A-C783-4760-8B70-80566464AB8B}"/>
            </a:ext>
          </a:extLst>
        </xdr:cNvPr>
        <xdr:cNvSpPr/>
      </xdr:nvSpPr>
      <xdr:spPr>
        <a:xfrm>
          <a:off x="4466679" y="15936998"/>
          <a:ext cx="1227067" cy="35333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波形データ</a:t>
          </a:r>
        </a:p>
      </xdr:txBody>
    </xdr:sp>
    <xdr:clientData/>
  </xdr:twoCellAnchor>
  <xdr:twoCellAnchor>
    <xdr:from>
      <xdr:col>17</xdr:col>
      <xdr:colOff>222463</xdr:colOff>
      <xdr:row>56</xdr:row>
      <xdr:rowOff>85104</xdr:rowOff>
    </xdr:from>
    <xdr:to>
      <xdr:col>18</xdr:col>
      <xdr:colOff>72886</xdr:colOff>
      <xdr:row>58</xdr:row>
      <xdr:rowOff>220748</xdr:rowOff>
    </xdr:to>
    <xdr:cxnSp macro="">
      <xdr:nvCxnSpPr>
        <xdr:cNvPr id="72" name="直線コネクタ 71">
          <a:extLst>
            <a:ext uri="{FF2B5EF4-FFF2-40B4-BE49-F238E27FC236}">
              <a16:creationId xmlns:a16="http://schemas.microsoft.com/office/drawing/2014/main" id="{02E1C0EE-8986-4532-9F4A-B0542921E38B}"/>
            </a:ext>
          </a:extLst>
        </xdr:cNvPr>
        <xdr:cNvCxnSpPr>
          <a:endCxn id="71" idx="0"/>
        </xdr:cNvCxnSpPr>
      </xdr:nvCxnSpPr>
      <xdr:spPr>
        <a:xfrm flipH="1">
          <a:off x="5080213" y="15325104"/>
          <a:ext cx="136173" cy="611894"/>
        </a:xfrm>
        <a:prstGeom prst="line">
          <a:avLst/>
        </a:prstGeom>
        <a:ln>
          <a:solidFill>
            <a:schemeClr val="tx1"/>
          </a:solidFill>
          <a:prstDash val="dash"/>
          <a:headEnd type="none"/>
          <a:tailEnd w="sm"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175967</xdr:colOff>
      <xdr:row>53</xdr:row>
      <xdr:rowOff>9046</xdr:rowOff>
    </xdr:from>
    <xdr:to>
      <xdr:col>8</xdr:col>
      <xdr:colOff>64566</xdr:colOff>
      <xdr:row>58</xdr:row>
      <xdr:rowOff>66197</xdr:rowOff>
    </xdr:to>
    <xdr:pic>
      <xdr:nvPicPr>
        <xdr:cNvPr id="73" name="グラフィックス 72" descr="コンピューター 単色塗りつぶし">
          <a:extLst>
            <a:ext uri="{FF2B5EF4-FFF2-40B4-BE49-F238E27FC236}">
              <a16:creationId xmlns:a16="http://schemas.microsoft.com/office/drawing/2014/main" id="{BD907E1A-F64E-465B-87B4-305163A6EB8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033217" y="14534671"/>
          <a:ext cx="1317349" cy="1247776"/>
        </a:xfrm>
        <a:prstGeom prst="rect">
          <a:avLst/>
        </a:prstGeom>
      </xdr:spPr>
    </xdr:pic>
    <xdr:clientData/>
  </xdr:twoCellAnchor>
  <xdr:twoCellAnchor>
    <xdr:from>
      <xdr:col>7</xdr:col>
      <xdr:colOff>218252</xdr:colOff>
      <xdr:row>41</xdr:row>
      <xdr:rowOff>162859</xdr:rowOff>
    </xdr:from>
    <xdr:to>
      <xdr:col>12</xdr:col>
      <xdr:colOff>136662</xdr:colOff>
      <xdr:row>43</xdr:row>
      <xdr:rowOff>199404</xdr:rowOff>
    </xdr:to>
    <xdr:sp macro="" textlink="">
      <xdr:nvSpPr>
        <xdr:cNvPr id="74" name="正方形/長方形 73">
          <a:extLst>
            <a:ext uri="{FF2B5EF4-FFF2-40B4-BE49-F238E27FC236}">
              <a16:creationId xmlns:a16="http://schemas.microsoft.com/office/drawing/2014/main" id="{D07CE44E-B387-4518-A8F7-388CCDF06ABB}"/>
            </a:ext>
          </a:extLst>
        </xdr:cNvPr>
        <xdr:cNvSpPr/>
      </xdr:nvSpPr>
      <xdr:spPr>
        <a:xfrm>
          <a:off x="2218502" y="11830984"/>
          <a:ext cx="1347160" cy="51279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10/100/1000 Mb </a:t>
          </a:r>
        </a:p>
        <a:p>
          <a:pPr algn="ctr"/>
          <a:r>
            <a:rPr kumimoji="1" lang="en-US" altLang="ja-JP" sz="1100">
              <a:solidFill>
                <a:schemeClr val="tx1"/>
              </a:solidFill>
            </a:rPr>
            <a:t>Ethernet</a:t>
          </a:r>
          <a:endParaRPr kumimoji="1" lang="ja-JP" altLang="en-US" sz="1100">
            <a:solidFill>
              <a:schemeClr val="tx1"/>
            </a:solidFill>
          </a:endParaRPr>
        </a:p>
      </xdr:txBody>
    </xdr:sp>
    <xdr:clientData/>
  </xdr:twoCellAnchor>
  <xdr:twoCellAnchor editAs="oneCell">
    <xdr:from>
      <xdr:col>2</xdr:col>
      <xdr:colOff>272259</xdr:colOff>
      <xdr:row>48</xdr:row>
      <xdr:rowOff>207463</xdr:rowOff>
    </xdr:from>
    <xdr:to>
      <xdr:col>8</xdr:col>
      <xdr:colOff>57943</xdr:colOff>
      <xdr:row>54</xdr:row>
      <xdr:rowOff>29340</xdr:rowOff>
    </xdr:to>
    <xdr:pic>
      <xdr:nvPicPr>
        <xdr:cNvPr id="75" name="グラフィックス 74" descr="紙 枠線">
          <a:extLst>
            <a:ext uri="{FF2B5EF4-FFF2-40B4-BE49-F238E27FC236}">
              <a16:creationId xmlns:a16="http://schemas.microsoft.com/office/drawing/2014/main" id="{5F886113-46B9-40E6-B7AE-E1B68AC7401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43759" y="13542463"/>
          <a:ext cx="1500184" cy="1250627"/>
        </a:xfrm>
        <a:prstGeom prst="rect">
          <a:avLst/>
        </a:prstGeom>
      </xdr:spPr>
    </xdr:pic>
    <xdr:clientData/>
  </xdr:twoCellAnchor>
  <xdr:twoCellAnchor>
    <xdr:from>
      <xdr:col>3</xdr:col>
      <xdr:colOff>262262</xdr:colOff>
      <xdr:row>50</xdr:row>
      <xdr:rowOff>181739</xdr:rowOff>
    </xdr:from>
    <xdr:to>
      <xdr:col>7</xdr:col>
      <xdr:colOff>70986</xdr:colOff>
      <xdr:row>53</xdr:row>
      <xdr:rowOff>81618</xdr:rowOff>
    </xdr:to>
    <xdr:sp macro="" textlink="">
      <xdr:nvSpPr>
        <xdr:cNvPr id="76" name="正方形/長方形 75">
          <a:extLst>
            <a:ext uri="{FF2B5EF4-FFF2-40B4-BE49-F238E27FC236}">
              <a16:creationId xmlns:a16="http://schemas.microsoft.com/office/drawing/2014/main" id="{E7793E21-A11A-41A7-986F-058636EA66CF}"/>
            </a:ext>
          </a:extLst>
        </xdr:cNvPr>
        <xdr:cNvSpPr/>
      </xdr:nvSpPr>
      <xdr:spPr>
        <a:xfrm>
          <a:off x="1119512" y="13992989"/>
          <a:ext cx="951724" cy="61425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50">
              <a:solidFill>
                <a:schemeClr val="tx1"/>
              </a:solidFill>
            </a:rPr>
            <a:t>Python</a:t>
          </a:r>
        </a:p>
        <a:p>
          <a:pPr algn="ctr"/>
          <a:r>
            <a:rPr kumimoji="1" lang="ja-JP" altLang="en-US" sz="1050">
              <a:solidFill>
                <a:schemeClr val="tx1"/>
              </a:solidFill>
            </a:rPr>
            <a:t>プログラム</a:t>
          </a:r>
        </a:p>
      </xdr:txBody>
    </xdr:sp>
    <xdr:clientData/>
  </xdr:twoCellAnchor>
  <xdr:twoCellAnchor>
    <xdr:from>
      <xdr:col>24</xdr:col>
      <xdr:colOff>145403</xdr:colOff>
      <xdr:row>62</xdr:row>
      <xdr:rowOff>185082</xdr:rowOff>
    </xdr:from>
    <xdr:to>
      <xdr:col>26</xdr:col>
      <xdr:colOff>142090</xdr:colOff>
      <xdr:row>62</xdr:row>
      <xdr:rowOff>185082</xdr:rowOff>
    </xdr:to>
    <xdr:cxnSp macro="">
      <xdr:nvCxnSpPr>
        <xdr:cNvPr id="77" name="直線矢印コネクタ 76">
          <a:extLst>
            <a:ext uri="{FF2B5EF4-FFF2-40B4-BE49-F238E27FC236}">
              <a16:creationId xmlns:a16="http://schemas.microsoft.com/office/drawing/2014/main" id="{BDE64A40-62EF-403A-A64D-05E2E1199121}"/>
            </a:ext>
          </a:extLst>
        </xdr:cNvPr>
        <xdr:cNvCxnSpPr/>
      </xdr:nvCxnSpPr>
      <xdr:spPr>
        <a:xfrm>
          <a:off x="7003403" y="16853832"/>
          <a:ext cx="568187" cy="0"/>
        </a:xfrm>
        <a:prstGeom prst="straightConnector1">
          <a:avLst/>
        </a:prstGeom>
        <a:ln>
          <a:headEnd type="triangle" w="sm" len="med"/>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76351</xdr:colOff>
      <xdr:row>9</xdr:row>
      <xdr:rowOff>182941</xdr:rowOff>
    </xdr:from>
    <xdr:to>
      <xdr:col>20</xdr:col>
      <xdr:colOff>131340</xdr:colOff>
      <xdr:row>11</xdr:row>
      <xdr:rowOff>156819</xdr:rowOff>
    </xdr:to>
    <xdr:cxnSp macro="">
      <xdr:nvCxnSpPr>
        <xdr:cNvPr id="78" name="直線コネクタ 77">
          <a:extLst>
            <a:ext uri="{FF2B5EF4-FFF2-40B4-BE49-F238E27FC236}">
              <a16:creationId xmlns:a16="http://schemas.microsoft.com/office/drawing/2014/main" id="{9AF9E169-FD44-41D9-B339-63B6579D5320}"/>
            </a:ext>
          </a:extLst>
        </xdr:cNvPr>
        <xdr:cNvCxnSpPr/>
      </xdr:nvCxnSpPr>
      <xdr:spPr>
        <a:xfrm flipH="1">
          <a:off x="5791351" y="4231066"/>
          <a:ext cx="54989" cy="450128"/>
        </a:xfrm>
        <a:prstGeom prst="line">
          <a:avLst/>
        </a:prstGeom>
        <a:ln>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10587</xdr:colOff>
      <xdr:row>9</xdr:row>
      <xdr:rowOff>188277</xdr:rowOff>
    </xdr:from>
    <xdr:to>
      <xdr:col>19</xdr:col>
      <xdr:colOff>120593</xdr:colOff>
      <xdr:row>11</xdr:row>
      <xdr:rowOff>162546</xdr:rowOff>
    </xdr:to>
    <xdr:cxnSp macro="">
      <xdr:nvCxnSpPr>
        <xdr:cNvPr id="79" name="直線コネクタ 78">
          <a:extLst>
            <a:ext uri="{FF2B5EF4-FFF2-40B4-BE49-F238E27FC236}">
              <a16:creationId xmlns:a16="http://schemas.microsoft.com/office/drawing/2014/main" id="{08613B49-0A3F-4276-823C-AD198BD0C6D3}"/>
            </a:ext>
          </a:extLst>
        </xdr:cNvPr>
        <xdr:cNvCxnSpPr/>
      </xdr:nvCxnSpPr>
      <xdr:spPr>
        <a:xfrm flipH="1">
          <a:off x="5439837" y="4236402"/>
          <a:ext cx="110006" cy="450519"/>
        </a:xfrm>
        <a:prstGeom prst="line">
          <a:avLst/>
        </a:prstGeom>
        <a:ln>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81769</xdr:colOff>
      <xdr:row>5</xdr:row>
      <xdr:rowOff>97486</xdr:rowOff>
    </xdr:from>
    <xdr:to>
      <xdr:col>21</xdr:col>
      <xdr:colOff>58922</xdr:colOff>
      <xdr:row>6</xdr:row>
      <xdr:rowOff>230619</xdr:rowOff>
    </xdr:to>
    <xdr:sp macro="" textlink="">
      <xdr:nvSpPr>
        <xdr:cNvPr id="80" name="正方形/長方形 79">
          <a:extLst>
            <a:ext uri="{FF2B5EF4-FFF2-40B4-BE49-F238E27FC236}">
              <a16:creationId xmlns:a16="http://schemas.microsoft.com/office/drawing/2014/main" id="{0FB5CD56-FC9B-4490-AED8-AF092A092612}"/>
            </a:ext>
          </a:extLst>
        </xdr:cNvPr>
        <xdr:cNvSpPr/>
      </xdr:nvSpPr>
      <xdr:spPr>
        <a:xfrm>
          <a:off x="5511019" y="3193111"/>
          <a:ext cx="548653" cy="37125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kumimoji="1" lang="en-US" altLang="ja-JP" sz="1100">
              <a:solidFill>
                <a:schemeClr val="tx1"/>
              </a:solidFill>
            </a:rPr>
            <a:t>GND</a:t>
          </a:r>
          <a:endParaRPr kumimoji="1" lang="ja-JP" altLang="en-US" sz="1100">
            <a:solidFill>
              <a:schemeClr val="tx1"/>
            </a:solidFill>
          </a:endParaRPr>
        </a:p>
      </xdr:txBody>
    </xdr:sp>
    <xdr:clientData/>
  </xdr:twoCellAnchor>
  <xdr:twoCellAnchor>
    <xdr:from>
      <xdr:col>17</xdr:col>
      <xdr:colOff>273976</xdr:colOff>
      <xdr:row>5</xdr:row>
      <xdr:rowOff>99160</xdr:rowOff>
    </xdr:from>
    <xdr:to>
      <xdr:col>19</xdr:col>
      <xdr:colOff>176245</xdr:colOff>
      <xdr:row>6</xdr:row>
      <xdr:rowOff>230800</xdr:rowOff>
    </xdr:to>
    <xdr:sp macro="" textlink="">
      <xdr:nvSpPr>
        <xdr:cNvPr id="81" name="正方形/長方形 80">
          <a:extLst>
            <a:ext uri="{FF2B5EF4-FFF2-40B4-BE49-F238E27FC236}">
              <a16:creationId xmlns:a16="http://schemas.microsoft.com/office/drawing/2014/main" id="{CD231704-364A-4438-904C-FB2C3B013B90}"/>
            </a:ext>
          </a:extLst>
        </xdr:cNvPr>
        <xdr:cNvSpPr/>
      </xdr:nvSpPr>
      <xdr:spPr>
        <a:xfrm>
          <a:off x="5131726" y="3194785"/>
          <a:ext cx="473769" cy="36976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kumimoji="1" lang="en-US" altLang="ja-JP" sz="1100">
              <a:solidFill>
                <a:schemeClr val="tx1"/>
              </a:solidFill>
            </a:rPr>
            <a:t>3.3V</a:t>
          </a:r>
        </a:p>
      </xdr:txBody>
    </xdr:sp>
    <xdr:clientData/>
  </xdr:twoCellAnchor>
  <xdr:twoCellAnchor>
    <xdr:from>
      <xdr:col>20</xdr:col>
      <xdr:colOff>73067</xdr:colOff>
      <xdr:row>6</xdr:row>
      <xdr:rowOff>230619</xdr:rowOff>
    </xdr:from>
    <xdr:to>
      <xdr:col>20</xdr:col>
      <xdr:colOff>142305</xdr:colOff>
      <xdr:row>8</xdr:row>
      <xdr:rowOff>55739</xdr:rowOff>
    </xdr:to>
    <xdr:cxnSp macro="">
      <xdr:nvCxnSpPr>
        <xdr:cNvPr id="82" name="直線コネクタ 81">
          <a:extLst>
            <a:ext uri="{FF2B5EF4-FFF2-40B4-BE49-F238E27FC236}">
              <a16:creationId xmlns:a16="http://schemas.microsoft.com/office/drawing/2014/main" id="{F9870208-65F3-4077-B748-D71DA73B412F}"/>
            </a:ext>
          </a:extLst>
        </xdr:cNvPr>
        <xdr:cNvCxnSpPr>
          <a:stCxn id="80" idx="2"/>
        </xdr:cNvCxnSpPr>
      </xdr:nvCxnSpPr>
      <xdr:spPr>
        <a:xfrm>
          <a:off x="5788067" y="3564369"/>
          <a:ext cx="69238" cy="301370"/>
        </a:xfrm>
        <a:prstGeom prst="line">
          <a:avLst/>
        </a:prstGeom>
        <a:ln>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12549</xdr:colOff>
      <xdr:row>6</xdr:row>
      <xdr:rowOff>224390</xdr:rowOff>
    </xdr:from>
    <xdr:to>
      <xdr:col>19</xdr:col>
      <xdr:colOff>129322</xdr:colOff>
      <xdr:row>8</xdr:row>
      <xdr:rowOff>48976</xdr:rowOff>
    </xdr:to>
    <xdr:cxnSp macro="">
      <xdr:nvCxnSpPr>
        <xdr:cNvPr id="83" name="直線コネクタ 82">
          <a:extLst>
            <a:ext uri="{FF2B5EF4-FFF2-40B4-BE49-F238E27FC236}">
              <a16:creationId xmlns:a16="http://schemas.microsoft.com/office/drawing/2014/main" id="{A2C7D52D-6ADB-4D0F-80CE-D638F02EC2F4}"/>
            </a:ext>
          </a:extLst>
        </xdr:cNvPr>
        <xdr:cNvCxnSpPr/>
      </xdr:nvCxnSpPr>
      <xdr:spPr>
        <a:xfrm>
          <a:off x="5441799" y="3558140"/>
          <a:ext cx="116773" cy="300836"/>
        </a:xfrm>
        <a:prstGeom prst="line">
          <a:avLst/>
        </a:prstGeom>
        <a:ln>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7453</xdr:colOff>
      <xdr:row>4</xdr:row>
      <xdr:rowOff>45988</xdr:rowOff>
    </xdr:from>
    <xdr:to>
      <xdr:col>24</xdr:col>
      <xdr:colOff>52876</xdr:colOff>
      <xdr:row>5</xdr:row>
      <xdr:rowOff>117575</xdr:rowOff>
    </xdr:to>
    <xdr:sp macro="" textlink="">
      <xdr:nvSpPr>
        <xdr:cNvPr id="84" name="正方形/長方形 83">
          <a:extLst>
            <a:ext uri="{FF2B5EF4-FFF2-40B4-BE49-F238E27FC236}">
              <a16:creationId xmlns:a16="http://schemas.microsoft.com/office/drawing/2014/main" id="{CCEE3FA6-BC54-4184-9BF5-E102DC9313F1}"/>
            </a:ext>
          </a:extLst>
        </xdr:cNvPr>
        <xdr:cNvSpPr/>
      </xdr:nvSpPr>
      <xdr:spPr>
        <a:xfrm>
          <a:off x="5722453" y="2903488"/>
          <a:ext cx="1188423" cy="309712"/>
        </a:xfrm>
        <a:prstGeom prst="rect">
          <a:avLst/>
        </a:prstGeom>
        <a:solidFill>
          <a:schemeClr val="accent4">
            <a:lumMod val="20000"/>
            <a:lumOff val="80000"/>
          </a:schemeClr>
        </a:solidFill>
        <a:ln>
          <a:solidFill>
            <a:schemeClr val="dk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chemeClr val="tx1"/>
              </a:solidFill>
            </a:rPr>
            <a:t>PMOD</a:t>
          </a:r>
          <a:r>
            <a:rPr kumimoji="1" lang="en-US" altLang="ja-JP" sz="1400" baseline="0">
              <a:solidFill>
                <a:schemeClr val="tx1"/>
              </a:solidFill>
            </a:rPr>
            <a:t> </a:t>
          </a:r>
          <a:r>
            <a:rPr kumimoji="1" lang="en-US" altLang="ja-JP" sz="1400">
              <a:solidFill>
                <a:schemeClr val="tx1"/>
              </a:solidFill>
            </a:rPr>
            <a:t>0</a:t>
          </a:r>
          <a:endParaRPr kumimoji="1" lang="ja-JP" altLang="en-US" sz="1400">
            <a:solidFill>
              <a:schemeClr val="tx1"/>
            </a:solidFill>
          </a:endParaRPr>
        </a:p>
      </xdr:txBody>
    </xdr:sp>
    <xdr:clientData/>
  </xdr:twoCellAnchor>
  <xdr:twoCellAnchor>
    <xdr:from>
      <xdr:col>28</xdr:col>
      <xdr:colOff>83792</xdr:colOff>
      <xdr:row>5</xdr:row>
      <xdr:rowOff>80968</xdr:rowOff>
    </xdr:from>
    <xdr:to>
      <xdr:col>30</xdr:col>
      <xdr:colOff>66388</xdr:colOff>
      <xdr:row>6</xdr:row>
      <xdr:rowOff>223626</xdr:rowOff>
    </xdr:to>
    <xdr:sp macro="" textlink="">
      <xdr:nvSpPr>
        <xdr:cNvPr id="85" name="正方形/長方形 84">
          <a:extLst>
            <a:ext uri="{FF2B5EF4-FFF2-40B4-BE49-F238E27FC236}">
              <a16:creationId xmlns:a16="http://schemas.microsoft.com/office/drawing/2014/main" id="{22AD1D49-6D44-4752-9BFD-7C5DFE1FCCE5}"/>
            </a:ext>
          </a:extLst>
        </xdr:cNvPr>
        <xdr:cNvSpPr/>
      </xdr:nvSpPr>
      <xdr:spPr>
        <a:xfrm>
          <a:off x="8084792" y="3176593"/>
          <a:ext cx="554096" cy="38078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kumimoji="1" lang="en-US" altLang="ja-JP" sz="1100">
              <a:solidFill>
                <a:schemeClr val="tx1"/>
              </a:solidFill>
            </a:rPr>
            <a:t>GND</a:t>
          </a:r>
          <a:endParaRPr kumimoji="1" lang="ja-JP" altLang="en-US" sz="1100">
            <a:solidFill>
              <a:schemeClr val="tx1"/>
            </a:solidFill>
          </a:endParaRPr>
        </a:p>
      </xdr:txBody>
    </xdr:sp>
    <xdr:clientData/>
  </xdr:twoCellAnchor>
  <xdr:twoCellAnchor>
    <xdr:from>
      <xdr:col>26</xdr:col>
      <xdr:colOff>105209</xdr:colOff>
      <xdr:row>5</xdr:row>
      <xdr:rowOff>92167</xdr:rowOff>
    </xdr:from>
    <xdr:to>
      <xdr:col>29</xdr:col>
      <xdr:colOff>140587</xdr:colOff>
      <xdr:row>6</xdr:row>
      <xdr:rowOff>223807</xdr:rowOff>
    </xdr:to>
    <xdr:sp macro="" textlink="">
      <xdr:nvSpPr>
        <xdr:cNvPr id="86" name="正方形/長方形 85">
          <a:extLst>
            <a:ext uri="{FF2B5EF4-FFF2-40B4-BE49-F238E27FC236}">
              <a16:creationId xmlns:a16="http://schemas.microsoft.com/office/drawing/2014/main" id="{BCB3F5A8-EE3E-4DC2-8656-11BD2FFA917F}"/>
            </a:ext>
          </a:extLst>
        </xdr:cNvPr>
        <xdr:cNvSpPr/>
      </xdr:nvSpPr>
      <xdr:spPr>
        <a:xfrm>
          <a:off x="7534709" y="3187792"/>
          <a:ext cx="892628" cy="36976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kumimoji="1" lang="en-US" altLang="ja-JP" sz="1100">
              <a:solidFill>
                <a:schemeClr val="tx1"/>
              </a:solidFill>
            </a:rPr>
            <a:t>3.3V</a:t>
          </a:r>
        </a:p>
      </xdr:txBody>
    </xdr:sp>
    <xdr:clientData/>
  </xdr:twoCellAnchor>
  <xdr:twoCellAnchor>
    <xdr:from>
      <xdr:col>33</xdr:col>
      <xdr:colOff>104344</xdr:colOff>
      <xdr:row>5</xdr:row>
      <xdr:rowOff>92167</xdr:rowOff>
    </xdr:from>
    <xdr:to>
      <xdr:col>34</xdr:col>
      <xdr:colOff>175101</xdr:colOff>
      <xdr:row>6</xdr:row>
      <xdr:rowOff>223807</xdr:rowOff>
    </xdr:to>
    <xdr:sp macro="" textlink="">
      <xdr:nvSpPr>
        <xdr:cNvPr id="87" name="正方形/長方形 86">
          <a:extLst>
            <a:ext uri="{FF2B5EF4-FFF2-40B4-BE49-F238E27FC236}">
              <a16:creationId xmlns:a16="http://schemas.microsoft.com/office/drawing/2014/main" id="{2B93C289-E0DC-4692-8C27-EC00006F2867}"/>
            </a:ext>
          </a:extLst>
        </xdr:cNvPr>
        <xdr:cNvSpPr/>
      </xdr:nvSpPr>
      <xdr:spPr>
        <a:xfrm>
          <a:off x="9534094" y="3187792"/>
          <a:ext cx="356507" cy="36976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kumimoji="1" lang="en-US" altLang="ja-JP" sz="1100">
              <a:solidFill>
                <a:schemeClr val="tx1"/>
              </a:solidFill>
            </a:rPr>
            <a:t>P0</a:t>
          </a:r>
          <a:endParaRPr kumimoji="1" lang="ja-JP" altLang="en-US" sz="1100">
            <a:solidFill>
              <a:schemeClr val="tx1"/>
            </a:solidFill>
          </a:endParaRPr>
        </a:p>
      </xdr:txBody>
    </xdr:sp>
    <xdr:clientData/>
  </xdr:twoCellAnchor>
  <xdr:twoCellAnchor>
    <xdr:from>
      <xdr:col>32</xdr:col>
      <xdr:colOff>85150</xdr:colOff>
      <xdr:row>5</xdr:row>
      <xdr:rowOff>92167</xdr:rowOff>
    </xdr:from>
    <xdr:to>
      <xdr:col>33</xdr:col>
      <xdr:colOff>150466</xdr:colOff>
      <xdr:row>6</xdr:row>
      <xdr:rowOff>223807</xdr:rowOff>
    </xdr:to>
    <xdr:sp macro="" textlink="">
      <xdr:nvSpPr>
        <xdr:cNvPr id="88" name="正方形/長方形 87">
          <a:extLst>
            <a:ext uri="{FF2B5EF4-FFF2-40B4-BE49-F238E27FC236}">
              <a16:creationId xmlns:a16="http://schemas.microsoft.com/office/drawing/2014/main" id="{728B611A-6345-4CF9-B458-8209738AE1FA}"/>
            </a:ext>
          </a:extLst>
        </xdr:cNvPr>
        <xdr:cNvSpPr/>
      </xdr:nvSpPr>
      <xdr:spPr>
        <a:xfrm>
          <a:off x="9229150" y="3187792"/>
          <a:ext cx="351066" cy="36976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kumimoji="1" lang="en-US" altLang="ja-JP" sz="1100">
              <a:solidFill>
                <a:schemeClr val="tx1"/>
              </a:solidFill>
            </a:rPr>
            <a:t>P1</a:t>
          </a:r>
          <a:endParaRPr kumimoji="1" lang="ja-JP" altLang="en-US" sz="1100">
            <a:solidFill>
              <a:schemeClr val="tx1"/>
            </a:solidFill>
          </a:endParaRPr>
        </a:p>
      </xdr:txBody>
    </xdr:sp>
    <xdr:clientData/>
  </xdr:twoCellAnchor>
  <xdr:twoCellAnchor>
    <xdr:from>
      <xdr:col>31</xdr:col>
      <xdr:colOff>36951</xdr:colOff>
      <xdr:row>5</xdr:row>
      <xdr:rowOff>82141</xdr:rowOff>
    </xdr:from>
    <xdr:to>
      <xdr:col>32</xdr:col>
      <xdr:colOff>107206</xdr:colOff>
      <xdr:row>6</xdr:row>
      <xdr:rowOff>223306</xdr:rowOff>
    </xdr:to>
    <xdr:sp macro="" textlink="">
      <xdr:nvSpPr>
        <xdr:cNvPr id="89" name="正方形/長方形 88">
          <a:extLst>
            <a:ext uri="{FF2B5EF4-FFF2-40B4-BE49-F238E27FC236}">
              <a16:creationId xmlns:a16="http://schemas.microsoft.com/office/drawing/2014/main" id="{4C3248DA-9DF9-4A67-A02D-8BD34423B719}"/>
            </a:ext>
          </a:extLst>
        </xdr:cNvPr>
        <xdr:cNvSpPr/>
      </xdr:nvSpPr>
      <xdr:spPr>
        <a:xfrm>
          <a:off x="8895201" y="3177766"/>
          <a:ext cx="356005" cy="37929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kumimoji="1" lang="en-US" altLang="ja-JP" sz="1100">
              <a:solidFill>
                <a:schemeClr val="tx1"/>
              </a:solidFill>
            </a:rPr>
            <a:t>P2</a:t>
          </a:r>
          <a:endParaRPr kumimoji="1" lang="ja-JP" altLang="en-US" sz="1100">
            <a:solidFill>
              <a:schemeClr val="tx1"/>
            </a:solidFill>
          </a:endParaRPr>
        </a:p>
      </xdr:txBody>
    </xdr:sp>
    <xdr:clientData/>
  </xdr:twoCellAnchor>
  <xdr:twoCellAnchor>
    <xdr:from>
      <xdr:col>29</xdr:col>
      <xdr:colOff>249296</xdr:colOff>
      <xdr:row>5</xdr:row>
      <xdr:rowOff>92668</xdr:rowOff>
    </xdr:from>
    <xdr:to>
      <xdr:col>31</xdr:col>
      <xdr:colOff>51992</xdr:colOff>
      <xdr:row>6</xdr:row>
      <xdr:rowOff>224308</xdr:rowOff>
    </xdr:to>
    <xdr:sp macro="" textlink="">
      <xdr:nvSpPr>
        <xdr:cNvPr id="90" name="正方形/長方形 89">
          <a:extLst>
            <a:ext uri="{FF2B5EF4-FFF2-40B4-BE49-F238E27FC236}">
              <a16:creationId xmlns:a16="http://schemas.microsoft.com/office/drawing/2014/main" id="{78AFE145-DD88-4AE1-8DF9-6FD19DB9CC1A}"/>
            </a:ext>
          </a:extLst>
        </xdr:cNvPr>
        <xdr:cNvSpPr/>
      </xdr:nvSpPr>
      <xdr:spPr>
        <a:xfrm>
          <a:off x="8536046" y="3188293"/>
          <a:ext cx="374196" cy="36976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kumimoji="1" lang="en-US" altLang="ja-JP" sz="1100">
              <a:solidFill>
                <a:schemeClr val="tx1"/>
              </a:solidFill>
            </a:rPr>
            <a:t>P3</a:t>
          </a:r>
          <a:endParaRPr kumimoji="1" lang="ja-JP" altLang="en-US" sz="1100">
            <a:solidFill>
              <a:schemeClr val="tx1"/>
            </a:solidFill>
          </a:endParaRPr>
        </a:p>
      </xdr:txBody>
    </xdr:sp>
    <xdr:clientData/>
  </xdr:twoCellAnchor>
  <xdr:twoCellAnchor>
    <xdr:from>
      <xdr:col>33</xdr:col>
      <xdr:colOff>190015</xdr:colOff>
      <xdr:row>6</xdr:row>
      <xdr:rowOff>223807</xdr:rowOff>
    </xdr:from>
    <xdr:to>
      <xdr:col>33</xdr:col>
      <xdr:colOff>270728</xdr:colOff>
      <xdr:row>8</xdr:row>
      <xdr:rowOff>46415</xdr:rowOff>
    </xdr:to>
    <xdr:cxnSp macro="">
      <xdr:nvCxnSpPr>
        <xdr:cNvPr id="91" name="直線コネクタ 90">
          <a:extLst>
            <a:ext uri="{FF2B5EF4-FFF2-40B4-BE49-F238E27FC236}">
              <a16:creationId xmlns:a16="http://schemas.microsoft.com/office/drawing/2014/main" id="{2225492E-3BAF-477D-B760-EAEC40FC8D7A}"/>
            </a:ext>
          </a:extLst>
        </xdr:cNvPr>
        <xdr:cNvCxnSpPr>
          <a:stCxn id="87" idx="2"/>
        </xdr:cNvCxnSpPr>
      </xdr:nvCxnSpPr>
      <xdr:spPr>
        <a:xfrm flipH="1">
          <a:off x="9619765" y="3557557"/>
          <a:ext cx="80713" cy="298858"/>
        </a:xfrm>
        <a:prstGeom prst="line">
          <a:avLst/>
        </a:prstGeom>
        <a:ln>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32</xdr:col>
      <xdr:colOff>179706</xdr:colOff>
      <xdr:row>6</xdr:row>
      <xdr:rowOff>223807</xdr:rowOff>
    </xdr:from>
    <xdr:to>
      <xdr:col>32</xdr:col>
      <xdr:colOff>256297</xdr:colOff>
      <xdr:row>8</xdr:row>
      <xdr:rowOff>52799</xdr:rowOff>
    </xdr:to>
    <xdr:cxnSp macro="">
      <xdr:nvCxnSpPr>
        <xdr:cNvPr id="92" name="直線コネクタ 91">
          <a:extLst>
            <a:ext uri="{FF2B5EF4-FFF2-40B4-BE49-F238E27FC236}">
              <a16:creationId xmlns:a16="http://schemas.microsoft.com/office/drawing/2014/main" id="{FF9A7E1B-7791-4E3F-9208-8B3308D2B74B}"/>
            </a:ext>
          </a:extLst>
        </xdr:cNvPr>
        <xdr:cNvCxnSpPr>
          <a:stCxn id="88" idx="2"/>
        </xdr:cNvCxnSpPr>
      </xdr:nvCxnSpPr>
      <xdr:spPr>
        <a:xfrm flipH="1">
          <a:off x="9323706" y="3557557"/>
          <a:ext cx="76591" cy="305242"/>
        </a:xfrm>
        <a:prstGeom prst="line">
          <a:avLst/>
        </a:prstGeom>
        <a:ln>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164478</xdr:colOff>
      <xdr:row>6</xdr:row>
      <xdr:rowOff>223306</xdr:rowOff>
    </xdr:from>
    <xdr:to>
      <xdr:col>31</xdr:col>
      <xdr:colOff>203084</xdr:colOff>
      <xdr:row>8</xdr:row>
      <xdr:rowOff>59284</xdr:rowOff>
    </xdr:to>
    <xdr:cxnSp macro="">
      <xdr:nvCxnSpPr>
        <xdr:cNvPr id="93" name="直線コネクタ 92">
          <a:extLst>
            <a:ext uri="{FF2B5EF4-FFF2-40B4-BE49-F238E27FC236}">
              <a16:creationId xmlns:a16="http://schemas.microsoft.com/office/drawing/2014/main" id="{FA542054-AB18-476B-8974-ECA1FF1E7A7A}"/>
            </a:ext>
          </a:extLst>
        </xdr:cNvPr>
        <xdr:cNvCxnSpPr>
          <a:stCxn id="89" idx="2"/>
        </xdr:cNvCxnSpPr>
      </xdr:nvCxnSpPr>
      <xdr:spPr>
        <a:xfrm flipH="1">
          <a:off x="9022728" y="3557056"/>
          <a:ext cx="38606" cy="312228"/>
        </a:xfrm>
        <a:prstGeom prst="line">
          <a:avLst/>
        </a:prstGeom>
        <a:ln>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158128</xdr:colOff>
      <xdr:row>6</xdr:row>
      <xdr:rowOff>224308</xdr:rowOff>
    </xdr:from>
    <xdr:to>
      <xdr:col>30</xdr:col>
      <xdr:colOff>163508</xdr:colOff>
      <xdr:row>8</xdr:row>
      <xdr:rowOff>49557</xdr:rowOff>
    </xdr:to>
    <xdr:cxnSp macro="">
      <xdr:nvCxnSpPr>
        <xdr:cNvPr id="94" name="直線コネクタ 93">
          <a:extLst>
            <a:ext uri="{FF2B5EF4-FFF2-40B4-BE49-F238E27FC236}">
              <a16:creationId xmlns:a16="http://schemas.microsoft.com/office/drawing/2014/main" id="{2F454A67-F99B-4E96-815C-F0BB816C61F9}"/>
            </a:ext>
          </a:extLst>
        </xdr:cNvPr>
        <xdr:cNvCxnSpPr>
          <a:stCxn id="90" idx="2"/>
        </xdr:cNvCxnSpPr>
      </xdr:nvCxnSpPr>
      <xdr:spPr>
        <a:xfrm>
          <a:off x="8730628" y="3558058"/>
          <a:ext cx="5380" cy="301499"/>
        </a:xfrm>
        <a:prstGeom prst="line">
          <a:avLst/>
        </a:prstGeom>
        <a:ln>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75090</xdr:colOff>
      <xdr:row>6</xdr:row>
      <xdr:rowOff>223626</xdr:rowOff>
    </xdr:from>
    <xdr:to>
      <xdr:col>29</xdr:col>
      <xdr:colOff>144328</xdr:colOff>
      <xdr:row>8</xdr:row>
      <xdr:rowOff>48746</xdr:rowOff>
    </xdr:to>
    <xdr:cxnSp macro="">
      <xdr:nvCxnSpPr>
        <xdr:cNvPr id="95" name="直線コネクタ 94">
          <a:extLst>
            <a:ext uri="{FF2B5EF4-FFF2-40B4-BE49-F238E27FC236}">
              <a16:creationId xmlns:a16="http://schemas.microsoft.com/office/drawing/2014/main" id="{0E1C0B62-1E81-4FC4-88FC-4CC9A31588E0}"/>
            </a:ext>
          </a:extLst>
        </xdr:cNvPr>
        <xdr:cNvCxnSpPr>
          <a:stCxn id="85" idx="2"/>
        </xdr:cNvCxnSpPr>
      </xdr:nvCxnSpPr>
      <xdr:spPr>
        <a:xfrm>
          <a:off x="8361840" y="3557376"/>
          <a:ext cx="69238" cy="301370"/>
        </a:xfrm>
        <a:prstGeom prst="line">
          <a:avLst/>
        </a:prstGeom>
        <a:ln>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255464</xdr:colOff>
      <xdr:row>6</xdr:row>
      <xdr:rowOff>223807</xdr:rowOff>
    </xdr:from>
    <xdr:to>
      <xdr:col>28</xdr:col>
      <xdr:colOff>138889</xdr:colOff>
      <xdr:row>8</xdr:row>
      <xdr:rowOff>54420</xdr:rowOff>
    </xdr:to>
    <xdr:cxnSp macro="">
      <xdr:nvCxnSpPr>
        <xdr:cNvPr id="96" name="直線コネクタ 95">
          <a:extLst>
            <a:ext uri="{FF2B5EF4-FFF2-40B4-BE49-F238E27FC236}">
              <a16:creationId xmlns:a16="http://schemas.microsoft.com/office/drawing/2014/main" id="{5D129BE6-F770-43B4-85BB-A747B9D3B4CD}"/>
            </a:ext>
          </a:extLst>
        </xdr:cNvPr>
        <xdr:cNvCxnSpPr/>
      </xdr:nvCxnSpPr>
      <xdr:spPr>
        <a:xfrm>
          <a:off x="7970714" y="3557557"/>
          <a:ext cx="169175" cy="306863"/>
        </a:xfrm>
        <a:prstGeom prst="line">
          <a:avLst/>
        </a:prstGeom>
        <a:ln>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9476</xdr:colOff>
      <xdr:row>4</xdr:row>
      <xdr:rowOff>38995</xdr:rowOff>
    </xdr:from>
    <xdr:to>
      <xdr:col>33</xdr:col>
      <xdr:colOff>54901</xdr:colOff>
      <xdr:row>5</xdr:row>
      <xdr:rowOff>110582</xdr:rowOff>
    </xdr:to>
    <xdr:sp macro="" textlink="">
      <xdr:nvSpPr>
        <xdr:cNvPr id="97" name="正方形/長方形 96">
          <a:extLst>
            <a:ext uri="{FF2B5EF4-FFF2-40B4-BE49-F238E27FC236}">
              <a16:creationId xmlns:a16="http://schemas.microsoft.com/office/drawing/2014/main" id="{3E6886BD-ACEA-47E9-8E48-704E20D7CF9C}"/>
            </a:ext>
          </a:extLst>
        </xdr:cNvPr>
        <xdr:cNvSpPr/>
      </xdr:nvSpPr>
      <xdr:spPr>
        <a:xfrm>
          <a:off x="8296226" y="2896495"/>
          <a:ext cx="1188425" cy="309712"/>
        </a:xfrm>
        <a:prstGeom prst="rect">
          <a:avLst/>
        </a:prstGeom>
        <a:solidFill>
          <a:schemeClr val="accent4">
            <a:lumMod val="20000"/>
            <a:lumOff val="80000"/>
          </a:schemeClr>
        </a:solidFill>
        <a:ln>
          <a:solidFill>
            <a:schemeClr val="dk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chemeClr val="tx1"/>
              </a:solidFill>
            </a:rPr>
            <a:t>PMOD</a:t>
          </a:r>
          <a:r>
            <a:rPr kumimoji="1" lang="en-US" altLang="ja-JP" sz="1400" baseline="0">
              <a:solidFill>
                <a:schemeClr val="tx1"/>
              </a:solidFill>
            </a:rPr>
            <a:t> </a:t>
          </a:r>
          <a:r>
            <a:rPr kumimoji="1" lang="en-US" altLang="ja-JP" sz="1400">
              <a:solidFill>
                <a:schemeClr val="tx1"/>
              </a:solidFill>
            </a:rPr>
            <a:t>1</a:t>
          </a:r>
          <a:endParaRPr kumimoji="1" lang="ja-JP" altLang="en-US" sz="1400">
            <a:solidFill>
              <a:schemeClr val="tx1"/>
            </a:solidFill>
          </a:endParaRPr>
        </a:p>
      </xdr:txBody>
    </xdr:sp>
    <xdr:clientData/>
  </xdr:twoCellAnchor>
  <xdr:twoCellAnchor>
    <xdr:from>
      <xdr:col>33</xdr:col>
      <xdr:colOff>189026</xdr:colOff>
      <xdr:row>9</xdr:row>
      <xdr:rowOff>179158</xdr:rowOff>
    </xdr:from>
    <xdr:to>
      <xdr:col>34</xdr:col>
      <xdr:colOff>5029</xdr:colOff>
      <xdr:row>11</xdr:row>
      <xdr:rowOff>158321</xdr:rowOff>
    </xdr:to>
    <xdr:cxnSp macro="">
      <xdr:nvCxnSpPr>
        <xdr:cNvPr id="98" name="直線コネクタ 97">
          <a:extLst>
            <a:ext uri="{FF2B5EF4-FFF2-40B4-BE49-F238E27FC236}">
              <a16:creationId xmlns:a16="http://schemas.microsoft.com/office/drawing/2014/main" id="{536D7628-2899-461A-A064-8BE9512E20F3}"/>
            </a:ext>
          </a:extLst>
        </xdr:cNvPr>
        <xdr:cNvCxnSpPr/>
      </xdr:nvCxnSpPr>
      <xdr:spPr>
        <a:xfrm>
          <a:off x="9618776" y="4227283"/>
          <a:ext cx="101753" cy="455413"/>
        </a:xfrm>
        <a:prstGeom prst="line">
          <a:avLst/>
        </a:prstGeom>
        <a:ln>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32</xdr:col>
      <xdr:colOff>182813</xdr:colOff>
      <xdr:row>9</xdr:row>
      <xdr:rowOff>184052</xdr:rowOff>
    </xdr:from>
    <xdr:to>
      <xdr:col>32</xdr:col>
      <xdr:colOff>262688</xdr:colOff>
      <xdr:row>11</xdr:row>
      <xdr:rowOff>158321</xdr:rowOff>
    </xdr:to>
    <xdr:cxnSp macro="">
      <xdr:nvCxnSpPr>
        <xdr:cNvPr id="99" name="直線コネクタ 98">
          <a:extLst>
            <a:ext uri="{FF2B5EF4-FFF2-40B4-BE49-F238E27FC236}">
              <a16:creationId xmlns:a16="http://schemas.microsoft.com/office/drawing/2014/main" id="{4C2E260A-DAEC-4E44-A74D-02AB2FC689FB}"/>
            </a:ext>
          </a:extLst>
        </xdr:cNvPr>
        <xdr:cNvCxnSpPr/>
      </xdr:nvCxnSpPr>
      <xdr:spPr>
        <a:xfrm>
          <a:off x="9326813" y="4232177"/>
          <a:ext cx="79875" cy="450519"/>
        </a:xfrm>
        <a:prstGeom prst="line">
          <a:avLst/>
        </a:prstGeom>
        <a:ln>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163902</xdr:colOff>
      <xdr:row>9</xdr:row>
      <xdr:rowOff>184266</xdr:rowOff>
    </xdr:from>
    <xdr:to>
      <xdr:col>31</xdr:col>
      <xdr:colOff>209528</xdr:colOff>
      <xdr:row>11</xdr:row>
      <xdr:rowOff>157820</xdr:rowOff>
    </xdr:to>
    <xdr:cxnSp macro="">
      <xdr:nvCxnSpPr>
        <xdr:cNvPr id="100" name="直線コネクタ 99">
          <a:extLst>
            <a:ext uri="{FF2B5EF4-FFF2-40B4-BE49-F238E27FC236}">
              <a16:creationId xmlns:a16="http://schemas.microsoft.com/office/drawing/2014/main" id="{2132A7E9-ACC6-4C89-8B25-B859E3080D2E}"/>
            </a:ext>
          </a:extLst>
        </xdr:cNvPr>
        <xdr:cNvCxnSpPr/>
      </xdr:nvCxnSpPr>
      <xdr:spPr>
        <a:xfrm>
          <a:off x="9022152" y="4232391"/>
          <a:ext cx="45626" cy="449804"/>
        </a:xfrm>
        <a:prstGeom prst="line">
          <a:avLst/>
        </a:prstGeom>
        <a:ln>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160415</xdr:colOff>
      <xdr:row>9</xdr:row>
      <xdr:rowOff>188105</xdr:rowOff>
    </xdr:from>
    <xdr:to>
      <xdr:col>30</xdr:col>
      <xdr:colOff>164518</xdr:colOff>
      <xdr:row>11</xdr:row>
      <xdr:rowOff>158822</xdr:rowOff>
    </xdr:to>
    <xdr:cxnSp macro="">
      <xdr:nvCxnSpPr>
        <xdr:cNvPr id="103" name="直線コネクタ 102">
          <a:extLst>
            <a:ext uri="{FF2B5EF4-FFF2-40B4-BE49-F238E27FC236}">
              <a16:creationId xmlns:a16="http://schemas.microsoft.com/office/drawing/2014/main" id="{795F1DE1-7E06-4C8E-B839-1829583351D7}"/>
            </a:ext>
          </a:extLst>
        </xdr:cNvPr>
        <xdr:cNvCxnSpPr/>
      </xdr:nvCxnSpPr>
      <xdr:spPr>
        <a:xfrm>
          <a:off x="8732915" y="4236230"/>
          <a:ext cx="4103" cy="446967"/>
        </a:xfrm>
        <a:prstGeom prst="line">
          <a:avLst/>
        </a:prstGeom>
        <a:ln>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81481</xdr:colOff>
      <xdr:row>9</xdr:row>
      <xdr:rowOff>182769</xdr:rowOff>
    </xdr:from>
    <xdr:to>
      <xdr:col>29</xdr:col>
      <xdr:colOff>136470</xdr:colOff>
      <xdr:row>11</xdr:row>
      <xdr:rowOff>156647</xdr:rowOff>
    </xdr:to>
    <xdr:cxnSp macro="">
      <xdr:nvCxnSpPr>
        <xdr:cNvPr id="106" name="直線コネクタ 105">
          <a:extLst>
            <a:ext uri="{FF2B5EF4-FFF2-40B4-BE49-F238E27FC236}">
              <a16:creationId xmlns:a16="http://schemas.microsoft.com/office/drawing/2014/main" id="{2E46A7A7-60EE-441F-BBEE-D325A12462B5}"/>
            </a:ext>
          </a:extLst>
        </xdr:cNvPr>
        <xdr:cNvCxnSpPr/>
      </xdr:nvCxnSpPr>
      <xdr:spPr>
        <a:xfrm flipH="1">
          <a:off x="8368231" y="4230894"/>
          <a:ext cx="54989" cy="450128"/>
        </a:xfrm>
        <a:prstGeom prst="line">
          <a:avLst/>
        </a:prstGeom>
        <a:ln>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244933</xdr:colOff>
      <xdr:row>9</xdr:row>
      <xdr:rowOff>179998</xdr:rowOff>
    </xdr:from>
    <xdr:to>
      <xdr:col>28</xdr:col>
      <xdr:colOff>128217</xdr:colOff>
      <xdr:row>11</xdr:row>
      <xdr:rowOff>158321</xdr:rowOff>
    </xdr:to>
    <xdr:cxnSp macro="">
      <xdr:nvCxnSpPr>
        <xdr:cNvPr id="107" name="直線コネクタ 106">
          <a:extLst>
            <a:ext uri="{FF2B5EF4-FFF2-40B4-BE49-F238E27FC236}">
              <a16:creationId xmlns:a16="http://schemas.microsoft.com/office/drawing/2014/main" id="{818F5365-8505-421C-8A4A-0A65C70A5118}"/>
            </a:ext>
          </a:extLst>
        </xdr:cNvPr>
        <xdr:cNvCxnSpPr/>
      </xdr:nvCxnSpPr>
      <xdr:spPr>
        <a:xfrm flipH="1">
          <a:off x="7960183" y="4228123"/>
          <a:ext cx="169034" cy="454573"/>
        </a:xfrm>
        <a:prstGeom prst="line">
          <a:avLst/>
        </a:prstGeom>
        <a:ln>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113839</xdr:colOff>
      <xdr:row>47</xdr:row>
      <xdr:rowOff>73923</xdr:rowOff>
    </xdr:from>
    <xdr:to>
      <xdr:col>16</xdr:col>
      <xdr:colOff>96281</xdr:colOff>
      <xdr:row>48</xdr:row>
      <xdr:rowOff>204497</xdr:rowOff>
    </xdr:to>
    <xdr:cxnSp macro="">
      <xdr:nvCxnSpPr>
        <xdr:cNvPr id="169" name="直線コネクタ 168">
          <a:extLst>
            <a:ext uri="{FF2B5EF4-FFF2-40B4-BE49-F238E27FC236}">
              <a16:creationId xmlns:a16="http://schemas.microsoft.com/office/drawing/2014/main" id="{E86810A8-E3E7-44C5-90F7-315B98A5DC4E}"/>
            </a:ext>
          </a:extLst>
        </xdr:cNvPr>
        <xdr:cNvCxnSpPr/>
      </xdr:nvCxnSpPr>
      <xdr:spPr>
        <a:xfrm flipV="1">
          <a:off x="4400089" y="13170798"/>
          <a:ext cx="268192" cy="368699"/>
        </a:xfrm>
        <a:prstGeom prst="line">
          <a:avLst/>
        </a:prstGeom>
        <a:ln>
          <a:solidFill>
            <a:schemeClr val="tx1"/>
          </a:solidFill>
          <a:prstDash val="dash"/>
          <a:headEnd type="none"/>
          <a:tailEnd w="sm"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271744</xdr:colOff>
      <xdr:row>46</xdr:row>
      <xdr:rowOff>29270</xdr:rowOff>
    </xdr:from>
    <xdr:to>
      <xdr:col>19</xdr:col>
      <xdr:colOff>190443</xdr:colOff>
      <xdr:row>47</xdr:row>
      <xdr:rowOff>133023</xdr:rowOff>
    </xdr:to>
    <xdr:sp macro="" textlink="">
      <xdr:nvSpPr>
        <xdr:cNvPr id="170" name="正方形/長方形 169">
          <a:extLst>
            <a:ext uri="{FF2B5EF4-FFF2-40B4-BE49-F238E27FC236}">
              <a16:creationId xmlns:a16="http://schemas.microsoft.com/office/drawing/2014/main" id="{D17D128C-E416-441A-857C-A720204107C2}"/>
            </a:ext>
          </a:extLst>
        </xdr:cNvPr>
        <xdr:cNvSpPr/>
      </xdr:nvSpPr>
      <xdr:spPr>
        <a:xfrm>
          <a:off x="3986494" y="12888020"/>
          <a:ext cx="1633199" cy="34187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外部スタートトリガ</a:t>
          </a:r>
        </a:p>
      </xdr:txBody>
    </xdr:sp>
    <xdr:clientData/>
  </xdr:twoCellAnchor>
  <xdr:twoCellAnchor>
    <xdr:from>
      <xdr:col>14</xdr:col>
      <xdr:colOff>58183</xdr:colOff>
      <xdr:row>48</xdr:row>
      <xdr:rowOff>215971</xdr:rowOff>
    </xdr:from>
    <xdr:to>
      <xdr:col>18</xdr:col>
      <xdr:colOff>3785</xdr:colOff>
      <xdr:row>48</xdr:row>
      <xdr:rowOff>215971</xdr:rowOff>
    </xdr:to>
    <xdr:cxnSp macro="">
      <xdr:nvCxnSpPr>
        <xdr:cNvPr id="172" name="直線矢印コネクタ 171">
          <a:extLst>
            <a:ext uri="{FF2B5EF4-FFF2-40B4-BE49-F238E27FC236}">
              <a16:creationId xmlns:a16="http://schemas.microsoft.com/office/drawing/2014/main" id="{A3496803-29B3-4A05-B718-2AA1D9C46791}"/>
            </a:ext>
          </a:extLst>
        </xdr:cNvPr>
        <xdr:cNvCxnSpPr/>
      </xdr:nvCxnSpPr>
      <xdr:spPr>
        <a:xfrm flipH="1">
          <a:off x="4058683" y="13550971"/>
          <a:ext cx="1088602" cy="0"/>
        </a:xfrm>
        <a:prstGeom prst="straightConnector1">
          <a:avLst/>
        </a:prstGeom>
        <a:ln>
          <a:headEnd type="triangle" w="sm" len="med"/>
          <a:tailEnd type="non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98628</xdr:colOff>
      <xdr:row>56</xdr:row>
      <xdr:rowOff>9174</xdr:rowOff>
    </xdr:from>
    <xdr:to>
      <xdr:col>13</xdr:col>
      <xdr:colOff>74115</xdr:colOff>
      <xdr:row>59</xdr:row>
      <xdr:rowOff>135339</xdr:rowOff>
    </xdr:to>
    <xdr:sp macro="" textlink="">
      <xdr:nvSpPr>
        <xdr:cNvPr id="183" name="正方形/長方形 182">
          <a:extLst>
            <a:ext uri="{FF2B5EF4-FFF2-40B4-BE49-F238E27FC236}">
              <a16:creationId xmlns:a16="http://schemas.microsoft.com/office/drawing/2014/main" id="{B62BAA97-3FE7-445D-967B-3C7B68048CD0}"/>
            </a:ext>
          </a:extLst>
        </xdr:cNvPr>
        <xdr:cNvSpPr/>
      </xdr:nvSpPr>
      <xdr:spPr>
        <a:xfrm>
          <a:off x="2384628" y="15249174"/>
          <a:ext cx="1404237" cy="84054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chemeClr val="tx1"/>
              </a:solidFill>
            </a:rPr>
            <a:t>波形データ</a:t>
          </a:r>
          <a:endParaRPr kumimoji="1" lang="en-US" altLang="ja-JP" sz="1100">
            <a:solidFill>
              <a:schemeClr val="tx1"/>
            </a:solidFill>
          </a:endParaRPr>
        </a:p>
        <a:p>
          <a:pPr algn="l"/>
          <a:r>
            <a:rPr kumimoji="1" lang="ja-JP" altLang="en-US" sz="1100">
              <a:solidFill>
                <a:schemeClr val="tx1"/>
              </a:solidFill>
            </a:rPr>
            <a:t>制御レジスタ値</a:t>
          </a:r>
          <a:endParaRPr kumimoji="1" lang="en-US" altLang="ja-JP" sz="1100">
            <a:solidFill>
              <a:schemeClr val="tx1"/>
            </a:solidFill>
          </a:endParaRPr>
        </a:p>
      </xdr:txBody>
    </xdr:sp>
    <xdr:clientData/>
  </xdr:twoCellAnchor>
  <xdr:twoCellAnchor>
    <xdr:from>
      <xdr:col>22</xdr:col>
      <xdr:colOff>232832</xdr:colOff>
      <xdr:row>59</xdr:row>
      <xdr:rowOff>162068</xdr:rowOff>
    </xdr:from>
    <xdr:to>
      <xdr:col>25</xdr:col>
      <xdr:colOff>183872</xdr:colOff>
      <xdr:row>59</xdr:row>
      <xdr:rowOff>162068</xdr:rowOff>
    </xdr:to>
    <xdr:cxnSp macro="">
      <xdr:nvCxnSpPr>
        <xdr:cNvPr id="184" name="直線矢印コネクタ 183">
          <a:extLst>
            <a:ext uri="{FF2B5EF4-FFF2-40B4-BE49-F238E27FC236}">
              <a16:creationId xmlns:a16="http://schemas.microsoft.com/office/drawing/2014/main" id="{8C9FF939-49EE-4E8C-893F-2D571FE29D7C}"/>
            </a:ext>
          </a:extLst>
        </xdr:cNvPr>
        <xdr:cNvCxnSpPr/>
      </xdr:nvCxnSpPr>
      <xdr:spPr>
        <a:xfrm>
          <a:off x="6519332" y="16116443"/>
          <a:ext cx="808290"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59013</xdr:colOff>
      <xdr:row>57</xdr:row>
      <xdr:rowOff>69781</xdr:rowOff>
    </xdr:from>
    <xdr:to>
      <xdr:col>21</xdr:col>
      <xdr:colOff>59013</xdr:colOff>
      <xdr:row>58</xdr:row>
      <xdr:rowOff>137285</xdr:rowOff>
    </xdr:to>
    <xdr:cxnSp macro="">
      <xdr:nvCxnSpPr>
        <xdr:cNvPr id="185" name="直線矢印コネクタ 184">
          <a:extLst>
            <a:ext uri="{FF2B5EF4-FFF2-40B4-BE49-F238E27FC236}">
              <a16:creationId xmlns:a16="http://schemas.microsoft.com/office/drawing/2014/main" id="{434CA947-3CED-4FF4-A786-9F18D55D1D09}"/>
            </a:ext>
          </a:extLst>
        </xdr:cNvPr>
        <xdr:cNvCxnSpPr/>
      </xdr:nvCxnSpPr>
      <xdr:spPr>
        <a:xfrm>
          <a:off x="6059763" y="15547906"/>
          <a:ext cx="0" cy="305629"/>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271818</xdr:colOff>
      <xdr:row>54</xdr:row>
      <xdr:rowOff>193605</xdr:rowOff>
    </xdr:from>
    <xdr:to>
      <xdr:col>23</xdr:col>
      <xdr:colOff>244937</xdr:colOff>
      <xdr:row>57</xdr:row>
      <xdr:rowOff>120644</xdr:rowOff>
    </xdr:to>
    <xdr:sp macro="" textlink="">
      <xdr:nvSpPr>
        <xdr:cNvPr id="186" name="正方形/長方形 185">
          <a:extLst>
            <a:ext uri="{FF2B5EF4-FFF2-40B4-BE49-F238E27FC236}">
              <a16:creationId xmlns:a16="http://schemas.microsoft.com/office/drawing/2014/main" id="{C02DFA5C-8247-48D5-AD7D-83CF98392C57}"/>
            </a:ext>
          </a:extLst>
        </xdr:cNvPr>
        <xdr:cNvSpPr/>
      </xdr:nvSpPr>
      <xdr:spPr>
        <a:xfrm>
          <a:off x="5415318" y="14957355"/>
          <a:ext cx="1401869" cy="641414"/>
        </a:xfrm>
        <a:prstGeom prst="rect">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メモリアクセス</a:t>
          </a:r>
          <a:endParaRPr kumimoji="1" lang="en-US" altLang="ja-JP" sz="1100">
            <a:solidFill>
              <a:schemeClr val="tx1"/>
            </a:solidFill>
          </a:endParaRPr>
        </a:p>
        <a:p>
          <a:pPr algn="ctr"/>
          <a:r>
            <a:rPr kumimoji="1" lang="ja-JP" altLang="en-US" sz="1100">
              <a:solidFill>
                <a:schemeClr val="tx1"/>
              </a:solidFill>
            </a:rPr>
            <a:t>コントローラ</a:t>
          </a:r>
        </a:p>
      </xdr:txBody>
    </xdr:sp>
    <xdr:clientData/>
  </xdr:twoCellAnchor>
  <xdr:twoCellAnchor>
    <xdr:from>
      <xdr:col>8</xdr:col>
      <xdr:colOff>35206</xdr:colOff>
      <xdr:row>53</xdr:row>
      <xdr:rowOff>229534</xdr:rowOff>
    </xdr:from>
    <xdr:to>
      <xdr:col>12</xdr:col>
      <xdr:colOff>131747</xdr:colOff>
      <xdr:row>57</xdr:row>
      <xdr:rowOff>9610</xdr:rowOff>
    </xdr:to>
    <xdr:sp macro="" textlink="">
      <xdr:nvSpPr>
        <xdr:cNvPr id="187" name="正方形/長方形 186">
          <a:extLst>
            <a:ext uri="{FF2B5EF4-FFF2-40B4-BE49-F238E27FC236}">
              <a16:creationId xmlns:a16="http://schemas.microsoft.com/office/drawing/2014/main" id="{D90935D5-843B-4963-952E-92DCBE09BF62}"/>
            </a:ext>
          </a:extLst>
        </xdr:cNvPr>
        <xdr:cNvSpPr/>
      </xdr:nvSpPr>
      <xdr:spPr>
        <a:xfrm>
          <a:off x="2321206" y="14755159"/>
          <a:ext cx="1239541" cy="7325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10 Gb </a:t>
          </a:r>
        </a:p>
        <a:p>
          <a:pPr algn="ctr"/>
          <a:r>
            <a:rPr kumimoji="1" lang="en-US" altLang="ja-JP" sz="1100">
              <a:solidFill>
                <a:schemeClr val="tx1"/>
              </a:solidFill>
            </a:rPr>
            <a:t>Ethernet</a:t>
          </a:r>
          <a:endParaRPr kumimoji="1" lang="ja-JP" altLang="en-US" sz="1100">
            <a:solidFill>
              <a:schemeClr val="tx1"/>
            </a:solidFill>
          </a:endParaRPr>
        </a:p>
      </xdr:txBody>
    </xdr:sp>
    <xdr:clientData/>
  </xdr:twoCellAnchor>
  <xdr:twoCellAnchor>
    <xdr:from>
      <xdr:col>8</xdr:col>
      <xdr:colOff>47416</xdr:colOff>
      <xdr:row>56</xdr:row>
      <xdr:rowOff>78779</xdr:rowOff>
    </xdr:from>
    <xdr:to>
      <xdr:col>13</xdr:col>
      <xdr:colOff>145629</xdr:colOff>
      <xdr:row>56</xdr:row>
      <xdr:rowOff>78779</xdr:rowOff>
    </xdr:to>
    <xdr:cxnSp macro="">
      <xdr:nvCxnSpPr>
        <xdr:cNvPr id="188" name="直線矢印コネクタ 187">
          <a:extLst>
            <a:ext uri="{FF2B5EF4-FFF2-40B4-BE49-F238E27FC236}">
              <a16:creationId xmlns:a16="http://schemas.microsoft.com/office/drawing/2014/main" id="{513236E8-FF98-4580-ADA6-BA658B6DA9B4}"/>
            </a:ext>
          </a:extLst>
        </xdr:cNvPr>
        <xdr:cNvCxnSpPr/>
      </xdr:nvCxnSpPr>
      <xdr:spPr>
        <a:xfrm>
          <a:off x="2333416" y="15318779"/>
          <a:ext cx="1526963" cy="0"/>
        </a:xfrm>
        <a:prstGeom prst="straightConnector1">
          <a:avLst/>
        </a:prstGeom>
        <a:ln>
          <a:headEnd type="triangle" w="sm" len="med"/>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49381</xdr:colOff>
      <xdr:row>47</xdr:row>
      <xdr:rowOff>194555</xdr:rowOff>
    </xdr:from>
    <xdr:to>
      <xdr:col>14</xdr:col>
      <xdr:colOff>91315</xdr:colOff>
      <xdr:row>49</xdr:row>
      <xdr:rowOff>231708</xdr:rowOff>
    </xdr:to>
    <xdr:sp macro="" textlink="">
      <xdr:nvSpPr>
        <xdr:cNvPr id="189" name="正方形/長方形 188">
          <a:extLst>
            <a:ext uri="{FF2B5EF4-FFF2-40B4-BE49-F238E27FC236}">
              <a16:creationId xmlns:a16="http://schemas.microsoft.com/office/drawing/2014/main" id="{7A1E9BB9-44C1-4F71-83F2-190D4B32F3BB}"/>
            </a:ext>
          </a:extLst>
        </xdr:cNvPr>
        <xdr:cNvSpPr/>
      </xdr:nvSpPr>
      <xdr:spPr>
        <a:xfrm>
          <a:off x="3192631" y="13291430"/>
          <a:ext cx="899184" cy="513403"/>
        </a:xfrm>
        <a:prstGeom prst="rect">
          <a:avLst/>
        </a:prstGeom>
        <a:solidFill>
          <a:schemeClr val="accent6">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PMOD</a:t>
          </a:r>
          <a:r>
            <a:rPr kumimoji="1" lang="en-US" altLang="ja-JP" sz="1100" baseline="0">
              <a:solidFill>
                <a:schemeClr val="tx1"/>
              </a:solidFill>
            </a:rPr>
            <a:t> 1</a:t>
          </a:r>
          <a:endParaRPr kumimoji="1" lang="ja-JP" altLang="en-US" sz="1100">
            <a:solidFill>
              <a:schemeClr val="tx1"/>
            </a:solidFill>
          </a:endParaRPr>
        </a:p>
      </xdr:txBody>
    </xdr:sp>
    <xdr:clientData/>
  </xdr:twoCellAnchor>
  <xdr:twoCellAnchor>
    <xdr:from>
      <xdr:col>35</xdr:col>
      <xdr:colOff>189977</xdr:colOff>
      <xdr:row>88</xdr:row>
      <xdr:rowOff>72801</xdr:rowOff>
    </xdr:from>
    <xdr:to>
      <xdr:col>38</xdr:col>
      <xdr:colOff>231912</xdr:colOff>
      <xdr:row>90</xdr:row>
      <xdr:rowOff>109954</xdr:rowOff>
    </xdr:to>
    <xdr:sp macro="" textlink="">
      <xdr:nvSpPr>
        <xdr:cNvPr id="190" name="正方形/長方形 189">
          <a:extLst>
            <a:ext uri="{FF2B5EF4-FFF2-40B4-BE49-F238E27FC236}">
              <a16:creationId xmlns:a16="http://schemas.microsoft.com/office/drawing/2014/main" id="{134AE8F4-2A3F-42A7-8A1B-F177E07FE68F}"/>
            </a:ext>
          </a:extLst>
        </xdr:cNvPr>
        <xdr:cNvSpPr/>
      </xdr:nvSpPr>
      <xdr:spPr>
        <a:xfrm>
          <a:off x="9857852" y="21027801"/>
          <a:ext cx="870610" cy="513403"/>
        </a:xfrm>
        <a:prstGeom prst="rect">
          <a:avLst/>
        </a:prstGeom>
        <a:solidFill>
          <a:schemeClr val="accent6">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PMOD</a:t>
          </a:r>
          <a:r>
            <a:rPr kumimoji="1" lang="en-US" altLang="ja-JP" sz="1100" baseline="0">
              <a:solidFill>
                <a:schemeClr val="tx1"/>
              </a:solidFill>
            </a:rPr>
            <a:t> 0</a:t>
          </a:r>
          <a:endParaRPr kumimoji="1" lang="ja-JP" altLang="en-US" sz="1100">
            <a:solidFill>
              <a:schemeClr val="tx1"/>
            </a:solidFill>
          </a:endParaRPr>
        </a:p>
      </xdr:txBody>
    </xdr:sp>
    <xdr:clientData/>
  </xdr:twoCellAnchor>
  <xdr:twoCellAnchor>
    <xdr:from>
      <xdr:col>14</xdr:col>
      <xdr:colOff>247996</xdr:colOff>
      <xdr:row>42</xdr:row>
      <xdr:rowOff>88428</xdr:rowOff>
    </xdr:from>
    <xdr:to>
      <xdr:col>17</xdr:col>
      <xdr:colOff>271122</xdr:colOff>
      <xdr:row>44</xdr:row>
      <xdr:rowOff>171503</xdr:rowOff>
    </xdr:to>
    <xdr:sp macro="" textlink="">
      <xdr:nvSpPr>
        <xdr:cNvPr id="191" name="正方形/長方形 190">
          <a:extLst>
            <a:ext uri="{FF2B5EF4-FFF2-40B4-BE49-F238E27FC236}">
              <a16:creationId xmlns:a16="http://schemas.microsoft.com/office/drawing/2014/main" id="{58ED9CE9-3557-4A2B-9BF3-F480C9906E43}"/>
            </a:ext>
          </a:extLst>
        </xdr:cNvPr>
        <xdr:cNvSpPr/>
      </xdr:nvSpPr>
      <xdr:spPr>
        <a:xfrm>
          <a:off x="4248496" y="11994678"/>
          <a:ext cx="880376" cy="559325"/>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CPU</a:t>
          </a:r>
          <a:endParaRPr kumimoji="1" lang="ja-JP" altLang="en-US" sz="1200">
            <a:solidFill>
              <a:schemeClr val="tx1"/>
            </a:solidFill>
          </a:endParaRPr>
        </a:p>
      </xdr:txBody>
    </xdr:sp>
    <xdr:clientData/>
  </xdr:twoCellAnchor>
  <xdr:twoCellAnchor>
    <xdr:from>
      <xdr:col>7</xdr:col>
      <xdr:colOff>192983</xdr:colOff>
      <xdr:row>43</xdr:row>
      <xdr:rowOff>129967</xdr:rowOff>
    </xdr:from>
    <xdr:to>
      <xdr:col>14</xdr:col>
      <xdr:colOff>247995</xdr:colOff>
      <xdr:row>54</xdr:row>
      <xdr:rowOff>17187</xdr:rowOff>
    </xdr:to>
    <xdr:cxnSp macro="">
      <xdr:nvCxnSpPr>
        <xdr:cNvPr id="192" name="コネクタ: カギ線 191">
          <a:extLst>
            <a:ext uri="{FF2B5EF4-FFF2-40B4-BE49-F238E27FC236}">
              <a16:creationId xmlns:a16="http://schemas.microsoft.com/office/drawing/2014/main" id="{C8F38696-2C6A-49F1-B9A0-AF69B7DD678B}"/>
            </a:ext>
          </a:extLst>
        </xdr:cNvPr>
        <xdr:cNvCxnSpPr>
          <a:endCxn id="191" idx="1"/>
        </xdr:cNvCxnSpPr>
      </xdr:nvCxnSpPr>
      <xdr:spPr>
        <a:xfrm rot="5400000" flipH="1" flipV="1">
          <a:off x="1967566" y="12500009"/>
          <a:ext cx="2506595" cy="2055262"/>
        </a:xfrm>
        <a:prstGeom prst="bentConnector2">
          <a:avLst/>
        </a:prstGeom>
        <a:ln>
          <a:solidFill>
            <a:schemeClr val="tx1"/>
          </a:solidFill>
          <a:headEnd type="triangle" w="sm" len="med"/>
          <a:tailEnd type="triangle" w="sm"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11453</xdr:colOff>
      <xdr:row>43</xdr:row>
      <xdr:rowOff>136313</xdr:rowOff>
    </xdr:from>
    <xdr:to>
      <xdr:col>12</xdr:col>
      <xdr:colOff>280351</xdr:colOff>
      <xdr:row>46</xdr:row>
      <xdr:rowOff>89246</xdr:rowOff>
    </xdr:to>
    <xdr:sp macro="" textlink="">
      <xdr:nvSpPr>
        <xdr:cNvPr id="193" name="正方形/長方形 192">
          <a:extLst>
            <a:ext uri="{FF2B5EF4-FFF2-40B4-BE49-F238E27FC236}">
              <a16:creationId xmlns:a16="http://schemas.microsoft.com/office/drawing/2014/main" id="{190B22C3-D593-4706-9DBF-C6895529E665}"/>
            </a:ext>
          </a:extLst>
        </xdr:cNvPr>
        <xdr:cNvSpPr/>
      </xdr:nvSpPr>
      <xdr:spPr>
        <a:xfrm>
          <a:off x="2297453" y="12280688"/>
          <a:ext cx="1411898" cy="6673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RF</a:t>
          </a:r>
          <a:r>
            <a:rPr kumimoji="1" lang="en-US" altLang="ja-JP" sz="1100" baseline="0">
              <a:solidFill>
                <a:schemeClr val="tx1"/>
              </a:solidFill>
            </a:rPr>
            <a:t> Data Converter</a:t>
          </a:r>
        </a:p>
        <a:p>
          <a:pPr algn="ctr"/>
          <a:r>
            <a:rPr kumimoji="1" lang="ja-JP" altLang="en-US" sz="1100" baseline="0">
              <a:solidFill>
                <a:schemeClr val="tx1"/>
              </a:solidFill>
            </a:rPr>
            <a:t>制御コマンド</a:t>
          </a:r>
          <a:endParaRPr kumimoji="1" lang="en-US" altLang="ja-JP" sz="1100">
            <a:solidFill>
              <a:schemeClr val="tx1"/>
            </a:solidFill>
          </a:endParaRPr>
        </a:p>
      </xdr:txBody>
    </xdr:sp>
    <xdr:clientData/>
  </xdr:twoCellAnchor>
  <xdr:twoCellAnchor>
    <xdr:from>
      <xdr:col>17</xdr:col>
      <xdr:colOff>267527</xdr:colOff>
      <xdr:row>43</xdr:row>
      <xdr:rowOff>150011</xdr:rowOff>
    </xdr:from>
    <xdr:to>
      <xdr:col>31</xdr:col>
      <xdr:colOff>59633</xdr:colOff>
      <xdr:row>43</xdr:row>
      <xdr:rowOff>150011</xdr:rowOff>
    </xdr:to>
    <xdr:cxnSp macro="">
      <xdr:nvCxnSpPr>
        <xdr:cNvPr id="194" name="直線矢印コネクタ 193">
          <a:extLst>
            <a:ext uri="{FF2B5EF4-FFF2-40B4-BE49-F238E27FC236}">
              <a16:creationId xmlns:a16="http://schemas.microsoft.com/office/drawing/2014/main" id="{D20B39D0-412E-4542-8C9B-AD3F89965D27}"/>
            </a:ext>
          </a:extLst>
        </xdr:cNvPr>
        <xdr:cNvCxnSpPr/>
      </xdr:nvCxnSpPr>
      <xdr:spPr>
        <a:xfrm>
          <a:off x="5125277" y="12294386"/>
          <a:ext cx="3792606" cy="0"/>
        </a:xfrm>
        <a:prstGeom prst="straightConnector1">
          <a:avLst/>
        </a:prstGeom>
        <a:ln>
          <a:headEnd type="triangle" w="sm" len="med"/>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38995</xdr:colOff>
      <xdr:row>50</xdr:row>
      <xdr:rowOff>77649</xdr:rowOff>
    </xdr:from>
    <xdr:to>
      <xdr:col>19</xdr:col>
      <xdr:colOff>78889</xdr:colOff>
      <xdr:row>51</xdr:row>
      <xdr:rowOff>167326</xdr:rowOff>
    </xdr:to>
    <xdr:sp macro="" textlink="">
      <xdr:nvSpPr>
        <xdr:cNvPr id="196" name="正方形/長方形 195">
          <a:extLst>
            <a:ext uri="{FF2B5EF4-FFF2-40B4-BE49-F238E27FC236}">
              <a16:creationId xmlns:a16="http://schemas.microsoft.com/office/drawing/2014/main" id="{C836A7A9-39CC-4060-A970-3AA385C406EA}"/>
            </a:ext>
          </a:extLst>
        </xdr:cNvPr>
        <xdr:cNvSpPr/>
      </xdr:nvSpPr>
      <xdr:spPr>
        <a:xfrm>
          <a:off x="5182495" y="13888899"/>
          <a:ext cx="325644" cy="32780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a:solidFill>
              <a:schemeClr val="tx1"/>
            </a:solidFill>
          </a:endParaRPr>
        </a:p>
      </xdr:txBody>
    </xdr:sp>
    <xdr:clientData/>
  </xdr:twoCellAnchor>
  <xdr:twoCellAnchor>
    <xdr:from>
      <xdr:col>24</xdr:col>
      <xdr:colOff>100151</xdr:colOff>
      <xdr:row>5</xdr:row>
      <xdr:rowOff>77408</xdr:rowOff>
    </xdr:from>
    <xdr:to>
      <xdr:col>25</xdr:col>
      <xdr:colOff>170908</xdr:colOff>
      <xdr:row>6</xdr:row>
      <xdr:rowOff>208630</xdr:rowOff>
    </xdr:to>
    <xdr:sp macro="" textlink="">
      <xdr:nvSpPr>
        <xdr:cNvPr id="197" name="正方形/長方形 196">
          <a:extLst>
            <a:ext uri="{FF2B5EF4-FFF2-40B4-BE49-F238E27FC236}">
              <a16:creationId xmlns:a16="http://schemas.microsoft.com/office/drawing/2014/main" id="{16817FC6-947C-4707-9CA8-9A36EF5EDD10}"/>
            </a:ext>
          </a:extLst>
        </xdr:cNvPr>
        <xdr:cNvSpPr/>
      </xdr:nvSpPr>
      <xdr:spPr>
        <a:xfrm>
          <a:off x="6958151" y="3173033"/>
          <a:ext cx="356507" cy="36934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kumimoji="1" lang="en-US" altLang="ja-JP" sz="1100">
              <a:solidFill>
                <a:schemeClr val="tx1"/>
              </a:solidFill>
            </a:rPr>
            <a:t>P0</a:t>
          </a:r>
          <a:endParaRPr kumimoji="1" lang="ja-JP" altLang="en-US" sz="1100">
            <a:solidFill>
              <a:schemeClr val="tx1"/>
            </a:solidFill>
          </a:endParaRPr>
        </a:p>
      </xdr:txBody>
    </xdr:sp>
    <xdr:clientData/>
  </xdr:twoCellAnchor>
  <xdr:twoCellAnchor>
    <xdr:from>
      <xdr:col>23</xdr:col>
      <xdr:colOff>85722</xdr:colOff>
      <xdr:row>5</xdr:row>
      <xdr:rowOff>77408</xdr:rowOff>
    </xdr:from>
    <xdr:to>
      <xdr:col>24</xdr:col>
      <xdr:colOff>146273</xdr:colOff>
      <xdr:row>6</xdr:row>
      <xdr:rowOff>208630</xdr:rowOff>
    </xdr:to>
    <xdr:sp macro="" textlink="">
      <xdr:nvSpPr>
        <xdr:cNvPr id="198" name="正方形/長方形 197">
          <a:extLst>
            <a:ext uri="{FF2B5EF4-FFF2-40B4-BE49-F238E27FC236}">
              <a16:creationId xmlns:a16="http://schemas.microsoft.com/office/drawing/2014/main" id="{EEA5EB5F-9F26-4F62-A14E-5D00B5439C41}"/>
            </a:ext>
          </a:extLst>
        </xdr:cNvPr>
        <xdr:cNvSpPr/>
      </xdr:nvSpPr>
      <xdr:spPr>
        <a:xfrm>
          <a:off x="6657972" y="3173033"/>
          <a:ext cx="346301" cy="36934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kumimoji="1" lang="en-US" altLang="ja-JP" sz="1100">
              <a:solidFill>
                <a:schemeClr val="tx1"/>
              </a:solidFill>
            </a:rPr>
            <a:t>P1</a:t>
          </a:r>
          <a:endParaRPr kumimoji="1" lang="ja-JP" altLang="en-US" sz="1100">
            <a:solidFill>
              <a:schemeClr val="tx1"/>
            </a:solidFill>
          </a:endParaRPr>
        </a:p>
      </xdr:txBody>
    </xdr:sp>
    <xdr:clientData/>
  </xdr:twoCellAnchor>
  <xdr:twoCellAnchor>
    <xdr:from>
      <xdr:col>22</xdr:col>
      <xdr:colOff>32759</xdr:colOff>
      <xdr:row>5</xdr:row>
      <xdr:rowOff>76907</xdr:rowOff>
    </xdr:from>
    <xdr:to>
      <xdr:col>23</xdr:col>
      <xdr:colOff>107778</xdr:colOff>
      <xdr:row>6</xdr:row>
      <xdr:rowOff>208129</xdr:rowOff>
    </xdr:to>
    <xdr:sp macro="" textlink="">
      <xdr:nvSpPr>
        <xdr:cNvPr id="199" name="正方形/長方形 198">
          <a:extLst>
            <a:ext uri="{FF2B5EF4-FFF2-40B4-BE49-F238E27FC236}">
              <a16:creationId xmlns:a16="http://schemas.microsoft.com/office/drawing/2014/main" id="{A2481659-2B55-4B2D-9F75-E9D2B57888D9}"/>
            </a:ext>
          </a:extLst>
        </xdr:cNvPr>
        <xdr:cNvSpPr/>
      </xdr:nvSpPr>
      <xdr:spPr>
        <a:xfrm>
          <a:off x="6319259" y="3172532"/>
          <a:ext cx="360769" cy="36934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kumimoji="1" lang="en-US" altLang="ja-JP" sz="1100">
              <a:solidFill>
                <a:schemeClr val="tx1"/>
              </a:solidFill>
            </a:rPr>
            <a:t>P2</a:t>
          </a:r>
          <a:endParaRPr kumimoji="1" lang="ja-JP" altLang="en-US" sz="1100">
            <a:solidFill>
              <a:schemeClr val="tx1"/>
            </a:solidFill>
          </a:endParaRPr>
        </a:p>
      </xdr:txBody>
    </xdr:sp>
    <xdr:clientData/>
  </xdr:twoCellAnchor>
  <xdr:twoCellAnchor>
    <xdr:from>
      <xdr:col>20</xdr:col>
      <xdr:colOff>249867</xdr:colOff>
      <xdr:row>5</xdr:row>
      <xdr:rowOff>77909</xdr:rowOff>
    </xdr:from>
    <xdr:to>
      <xdr:col>22</xdr:col>
      <xdr:colOff>47800</xdr:colOff>
      <xdr:row>6</xdr:row>
      <xdr:rowOff>209131</xdr:rowOff>
    </xdr:to>
    <xdr:sp macro="" textlink="">
      <xdr:nvSpPr>
        <xdr:cNvPr id="200" name="正方形/長方形 199">
          <a:extLst>
            <a:ext uri="{FF2B5EF4-FFF2-40B4-BE49-F238E27FC236}">
              <a16:creationId xmlns:a16="http://schemas.microsoft.com/office/drawing/2014/main" id="{5227C98A-959C-45B8-9E95-FFA84D85604A}"/>
            </a:ext>
          </a:extLst>
        </xdr:cNvPr>
        <xdr:cNvSpPr/>
      </xdr:nvSpPr>
      <xdr:spPr>
        <a:xfrm>
          <a:off x="5964867" y="3173534"/>
          <a:ext cx="369433" cy="36934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kumimoji="1" lang="en-US" altLang="ja-JP" sz="1100">
              <a:solidFill>
                <a:schemeClr val="tx1"/>
              </a:solidFill>
            </a:rPr>
            <a:t>P3</a:t>
          </a:r>
          <a:endParaRPr kumimoji="1" lang="ja-JP" altLang="en-US" sz="1100">
            <a:solidFill>
              <a:schemeClr val="tx1"/>
            </a:solidFill>
          </a:endParaRPr>
        </a:p>
      </xdr:txBody>
    </xdr:sp>
    <xdr:clientData/>
  </xdr:twoCellAnchor>
  <xdr:twoCellAnchor>
    <xdr:from>
      <xdr:col>24</xdr:col>
      <xdr:colOff>185822</xdr:colOff>
      <xdr:row>6</xdr:row>
      <xdr:rowOff>208630</xdr:rowOff>
    </xdr:from>
    <xdr:to>
      <xdr:col>24</xdr:col>
      <xdr:colOff>266535</xdr:colOff>
      <xdr:row>8</xdr:row>
      <xdr:rowOff>41181</xdr:rowOff>
    </xdr:to>
    <xdr:cxnSp macro="">
      <xdr:nvCxnSpPr>
        <xdr:cNvPr id="201" name="直線コネクタ 200">
          <a:extLst>
            <a:ext uri="{FF2B5EF4-FFF2-40B4-BE49-F238E27FC236}">
              <a16:creationId xmlns:a16="http://schemas.microsoft.com/office/drawing/2014/main" id="{4CB7EA47-2BCB-4EF5-8E93-E4DE958ED0EC}"/>
            </a:ext>
          </a:extLst>
        </xdr:cNvPr>
        <xdr:cNvCxnSpPr>
          <a:stCxn id="197" idx="2"/>
        </xdr:cNvCxnSpPr>
      </xdr:nvCxnSpPr>
      <xdr:spPr>
        <a:xfrm flipH="1">
          <a:off x="7043822" y="3542380"/>
          <a:ext cx="80713" cy="308801"/>
        </a:xfrm>
        <a:prstGeom prst="line">
          <a:avLst/>
        </a:prstGeom>
        <a:ln>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170072</xdr:colOff>
      <xdr:row>6</xdr:row>
      <xdr:rowOff>208630</xdr:rowOff>
    </xdr:from>
    <xdr:to>
      <xdr:col>23</xdr:col>
      <xdr:colOff>241900</xdr:colOff>
      <xdr:row>8</xdr:row>
      <xdr:rowOff>47565</xdr:rowOff>
    </xdr:to>
    <xdr:cxnSp macro="">
      <xdr:nvCxnSpPr>
        <xdr:cNvPr id="202" name="直線コネクタ 201">
          <a:extLst>
            <a:ext uri="{FF2B5EF4-FFF2-40B4-BE49-F238E27FC236}">
              <a16:creationId xmlns:a16="http://schemas.microsoft.com/office/drawing/2014/main" id="{ED742376-121D-4861-BD94-4EC4412C2432}"/>
            </a:ext>
          </a:extLst>
        </xdr:cNvPr>
        <xdr:cNvCxnSpPr>
          <a:stCxn id="198" idx="2"/>
        </xdr:cNvCxnSpPr>
      </xdr:nvCxnSpPr>
      <xdr:spPr>
        <a:xfrm flipH="1">
          <a:off x="6742322" y="3542380"/>
          <a:ext cx="71828" cy="315185"/>
        </a:xfrm>
        <a:prstGeom prst="line">
          <a:avLst/>
        </a:prstGeom>
        <a:ln>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160286</xdr:colOff>
      <xdr:row>6</xdr:row>
      <xdr:rowOff>208129</xdr:rowOff>
    </xdr:from>
    <xdr:to>
      <xdr:col>22</xdr:col>
      <xdr:colOff>198892</xdr:colOff>
      <xdr:row>8</xdr:row>
      <xdr:rowOff>54050</xdr:rowOff>
    </xdr:to>
    <xdr:cxnSp macro="">
      <xdr:nvCxnSpPr>
        <xdr:cNvPr id="203" name="直線コネクタ 202">
          <a:extLst>
            <a:ext uri="{FF2B5EF4-FFF2-40B4-BE49-F238E27FC236}">
              <a16:creationId xmlns:a16="http://schemas.microsoft.com/office/drawing/2014/main" id="{6E981E3C-7D41-4D98-8ACB-EFC3A1B480D7}"/>
            </a:ext>
          </a:extLst>
        </xdr:cNvPr>
        <xdr:cNvCxnSpPr>
          <a:stCxn id="199" idx="2"/>
        </xdr:cNvCxnSpPr>
      </xdr:nvCxnSpPr>
      <xdr:spPr>
        <a:xfrm flipH="1">
          <a:off x="6446786" y="3541879"/>
          <a:ext cx="38606" cy="322171"/>
        </a:xfrm>
        <a:prstGeom prst="line">
          <a:avLst/>
        </a:prstGeom>
        <a:ln>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143732</xdr:colOff>
      <xdr:row>6</xdr:row>
      <xdr:rowOff>209131</xdr:rowOff>
    </xdr:from>
    <xdr:to>
      <xdr:col>21</xdr:col>
      <xdr:colOff>149112</xdr:colOff>
      <xdr:row>8</xdr:row>
      <xdr:rowOff>44323</xdr:rowOff>
    </xdr:to>
    <xdr:cxnSp macro="">
      <xdr:nvCxnSpPr>
        <xdr:cNvPr id="204" name="直線コネクタ 203">
          <a:extLst>
            <a:ext uri="{FF2B5EF4-FFF2-40B4-BE49-F238E27FC236}">
              <a16:creationId xmlns:a16="http://schemas.microsoft.com/office/drawing/2014/main" id="{735B803A-88E8-49BC-A456-55834BD23451}"/>
            </a:ext>
          </a:extLst>
        </xdr:cNvPr>
        <xdr:cNvCxnSpPr>
          <a:stCxn id="200" idx="2"/>
        </xdr:cNvCxnSpPr>
      </xdr:nvCxnSpPr>
      <xdr:spPr>
        <a:xfrm>
          <a:off x="6144482" y="3542881"/>
          <a:ext cx="5380" cy="311442"/>
        </a:xfrm>
        <a:prstGeom prst="line">
          <a:avLst/>
        </a:prstGeom>
        <a:ln>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184833</xdr:colOff>
      <xdr:row>9</xdr:row>
      <xdr:rowOff>173925</xdr:rowOff>
    </xdr:from>
    <xdr:to>
      <xdr:col>25</xdr:col>
      <xdr:colOff>836</xdr:colOff>
      <xdr:row>11</xdr:row>
      <xdr:rowOff>153088</xdr:rowOff>
    </xdr:to>
    <xdr:cxnSp macro="">
      <xdr:nvCxnSpPr>
        <xdr:cNvPr id="205" name="直線コネクタ 204">
          <a:extLst>
            <a:ext uri="{FF2B5EF4-FFF2-40B4-BE49-F238E27FC236}">
              <a16:creationId xmlns:a16="http://schemas.microsoft.com/office/drawing/2014/main" id="{DB2A4CB8-B69D-43D2-8FFB-2DD042A5FCDC}"/>
            </a:ext>
          </a:extLst>
        </xdr:cNvPr>
        <xdr:cNvCxnSpPr/>
      </xdr:nvCxnSpPr>
      <xdr:spPr>
        <a:xfrm>
          <a:off x="7042833" y="4222050"/>
          <a:ext cx="101753" cy="455413"/>
        </a:xfrm>
        <a:prstGeom prst="line">
          <a:avLst/>
        </a:prstGeom>
        <a:ln>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173179</xdr:colOff>
      <xdr:row>9</xdr:row>
      <xdr:rowOff>178819</xdr:rowOff>
    </xdr:from>
    <xdr:to>
      <xdr:col>23</xdr:col>
      <xdr:colOff>248291</xdr:colOff>
      <xdr:row>11</xdr:row>
      <xdr:rowOff>153088</xdr:rowOff>
    </xdr:to>
    <xdr:cxnSp macro="">
      <xdr:nvCxnSpPr>
        <xdr:cNvPr id="206" name="直線コネクタ 205">
          <a:extLst>
            <a:ext uri="{FF2B5EF4-FFF2-40B4-BE49-F238E27FC236}">
              <a16:creationId xmlns:a16="http://schemas.microsoft.com/office/drawing/2014/main" id="{1EF3527A-FE99-4748-8DAB-FCF43070BAAE}"/>
            </a:ext>
          </a:extLst>
        </xdr:cNvPr>
        <xdr:cNvCxnSpPr/>
      </xdr:nvCxnSpPr>
      <xdr:spPr>
        <a:xfrm>
          <a:off x="6745429" y="4226944"/>
          <a:ext cx="75112" cy="450519"/>
        </a:xfrm>
        <a:prstGeom prst="line">
          <a:avLst/>
        </a:prstGeom>
        <a:ln>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159710</xdr:colOff>
      <xdr:row>9</xdr:row>
      <xdr:rowOff>179033</xdr:rowOff>
    </xdr:from>
    <xdr:to>
      <xdr:col>22</xdr:col>
      <xdr:colOff>205336</xdr:colOff>
      <xdr:row>11</xdr:row>
      <xdr:rowOff>152587</xdr:rowOff>
    </xdr:to>
    <xdr:cxnSp macro="">
      <xdr:nvCxnSpPr>
        <xdr:cNvPr id="207" name="直線コネクタ 206">
          <a:extLst>
            <a:ext uri="{FF2B5EF4-FFF2-40B4-BE49-F238E27FC236}">
              <a16:creationId xmlns:a16="http://schemas.microsoft.com/office/drawing/2014/main" id="{C39B510F-2721-42D2-BB01-1B7D0272559D}"/>
            </a:ext>
          </a:extLst>
        </xdr:cNvPr>
        <xdr:cNvCxnSpPr/>
      </xdr:nvCxnSpPr>
      <xdr:spPr>
        <a:xfrm>
          <a:off x="6446210" y="4227158"/>
          <a:ext cx="45626" cy="449804"/>
        </a:xfrm>
        <a:prstGeom prst="line">
          <a:avLst/>
        </a:prstGeom>
        <a:ln>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146019</xdr:colOff>
      <xdr:row>9</xdr:row>
      <xdr:rowOff>182872</xdr:rowOff>
    </xdr:from>
    <xdr:to>
      <xdr:col>21</xdr:col>
      <xdr:colOff>150122</xdr:colOff>
      <xdr:row>11</xdr:row>
      <xdr:rowOff>153589</xdr:rowOff>
    </xdr:to>
    <xdr:cxnSp macro="">
      <xdr:nvCxnSpPr>
        <xdr:cNvPr id="208" name="直線コネクタ 207">
          <a:extLst>
            <a:ext uri="{FF2B5EF4-FFF2-40B4-BE49-F238E27FC236}">
              <a16:creationId xmlns:a16="http://schemas.microsoft.com/office/drawing/2014/main" id="{AB0E9E6B-5BF9-4B9F-8869-1D0FA53FD59D}"/>
            </a:ext>
          </a:extLst>
        </xdr:cNvPr>
        <xdr:cNvCxnSpPr/>
      </xdr:nvCxnSpPr>
      <xdr:spPr>
        <a:xfrm>
          <a:off x="6146769" y="4230997"/>
          <a:ext cx="4103" cy="446967"/>
        </a:xfrm>
        <a:prstGeom prst="line">
          <a:avLst/>
        </a:prstGeom>
        <a:ln>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137489</xdr:colOff>
      <xdr:row>11</xdr:row>
      <xdr:rowOff>126696</xdr:rowOff>
    </xdr:from>
    <xdr:to>
      <xdr:col>21</xdr:col>
      <xdr:colOff>108879</xdr:colOff>
      <xdr:row>12</xdr:row>
      <xdr:rowOff>233898</xdr:rowOff>
    </xdr:to>
    <xdr:sp macro="" textlink="">
      <xdr:nvSpPr>
        <xdr:cNvPr id="222" name="正方形/長方形 221">
          <a:extLst>
            <a:ext uri="{FF2B5EF4-FFF2-40B4-BE49-F238E27FC236}">
              <a16:creationId xmlns:a16="http://schemas.microsoft.com/office/drawing/2014/main" id="{6DCE57CB-5C71-4093-B331-C860496E85F2}"/>
            </a:ext>
          </a:extLst>
        </xdr:cNvPr>
        <xdr:cNvSpPr/>
      </xdr:nvSpPr>
      <xdr:spPr>
        <a:xfrm>
          <a:off x="5566739" y="4651071"/>
          <a:ext cx="542890" cy="34532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GND</a:t>
          </a:r>
          <a:endParaRPr kumimoji="1" lang="ja-JP" altLang="en-US" sz="1100">
            <a:solidFill>
              <a:schemeClr val="tx1"/>
            </a:solidFill>
          </a:endParaRPr>
        </a:p>
      </xdr:txBody>
    </xdr:sp>
    <xdr:clientData/>
  </xdr:twoCellAnchor>
  <xdr:twoCellAnchor>
    <xdr:from>
      <xdr:col>18</xdr:col>
      <xdr:colOff>27214</xdr:colOff>
      <xdr:row>11</xdr:row>
      <xdr:rowOff>128370</xdr:rowOff>
    </xdr:from>
    <xdr:to>
      <xdr:col>19</xdr:col>
      <xdr:colOff>246619</xdr:colOff>
      <xdr:row>12</xdr:row>
      <xdr:rowOff>230263</xdr:rowOff>
    </xdr:to>
    <xdr:sp macro="" textlink="">
      <xdr:nvSpPr>
        <xdr:cNvPr id="223" name="正方形/長方形 222">
          <a:extLst>
            <a:ext uri="{FF2B5EF4-FFF2-40B4-BE49-F238E27FC236}">
              <a16:creationId xmlns:a16="http://schemas.microsoft.com/office/drawing/2014/main" id="{C609540D-7087-445F-855C-D02F107039BD}"/>
            </a:ext>
          </a:extLst>
        </xdr:cNvPr>
        <xdr:cNvSpPr/>
      </xdr:nvSpPr>
      <xdr:spPr>
        <a:xfrm>
          <a:off x="5170714" y="4652745"/>
          <a:ext cx="505155" cy="34001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3.3V</a:t>
          </a:r>
        </a:p>
      </xdr:txBody>
    </xdr:sp>
    <xdr:clientData/>
  </xdr:twoCellAnchor>
  <xdr:twoCellAnchor>
    <xdr:from>
      <xdr:col>28</xdr:col>
      <xdr:colOff>113965</xdr:colOff>
      <xdr:row>11</xdr:row>
      <xdr:rowOff>126524</xdr:rowOff>
    </xdr:from>
    <xdr:to>
      <xdr:col>30</xdr:col>
      <xdr:colOff>85355</xdr:colOff>
      <xdr:row>12</xdr:row>
      <xdr:rowOff>230924</xdr:rowOff>
    </xdr:to>
    <xdr:sp macro="" textlink="">
      <xdr:nvSpPr>
        <xdr:cNvPr id="224" name="正方形/長方形 223">
          <a:extLst>
            <a:ext uri="{FF2B5EF4-FFF2-40B4-BE49-F238E27FC236}">
              <a16:creationId xmlns:a16="http://schemas.microsoft.com/office/drawing/2014/main" id="{FB0BF7B9-30E1-4288-9C42-D5A6FCB37B07}"/>
            </a:ext>
          </a:extLst>
        </xdr:cNvPr>
        <xdr:cNvSpPr/>
      </xdr:nvSpPr>
      <xdr:spPr>
        <a:xfrm>
          <a:off x="8114965" y="4650899"/>
          <a:ext cx="542890" cy="3425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GND</a:t>
          </a:r>
          <a:endParaRPr kumimoji="1" lang="ja-JP" altLang="en-US" sz="1100">
            <a:solidFill>
              <a:schemeClr val="tx1"/>
            </a:solidFill>
          </a:endParaRPr>
        </a:p>
      </xdr:txBody>
    </xdr:sp>
    <xdr:clientData/>
  </xdr:twoCellAnchor>
  <xdr:twoCellAnchor>
    <xdr:from>
      <xdr:col>26</xdr:col>
      <xdr:colOff>80437</xdr:colOff>
      <xdr:row>11</xdr:row>
      <xdr:rowOff>128198</xdr:rowOff>
    </xdr:from>
    <xdr:to>
      <xdr:col>29</xdr:col>
      <xdr:colOff>104449</xdr:colOff>
      <xdr:row>12</xdr:row>
      <xdr:rowOff>230091</xdr:rowOff>
    </xdr:to>
    <xdr:sp macro="" textlink="">
      <xdr:nvSpPr>
        <xdr:cNvPr id="225" name="正方形/長方形 224">
          <a:extLst>
            <a:ext uri="{FF2B5EF4-FFF2-40B4-BE49-F238E27FC236}">
              <a16:creationId xmlns:a16="http://schemas.microsoft.com/office/drawing/2014/main" id="{717CC17F-E7C4-466C-B24E-11A00D23CF62}"/>
            </a:ext>
          </a:extLst>
        </xdr:cNvPr>
        <xdr:cNvSpPr/>
      </xdr:nvSpPr>
      <xdr:spPr>
        <a:xfrm>
          <a:off x="7509937" y="4652573"/>
          <a:ext cx="881262" cy="34001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3.3V</a:t>
          </a:r>
        </a:p>
      </xdr:txBody>
    </xdr:sp>
    <xdr:clientData/>
  </xdr:twoCellAnchor>
  <xdr:twoCellAnchor>
    <xdr:from>
      <xdr:col>33</xdr:col>
      <xdr:colOff>144601</xdr:colOff>
      <xdr:row>11</xdr:row>
      <xdr:rowOff>128198</xdr:rowOff>
    </xdr:from>
    <xdr:to>
      <xdr:col>34</xdr:col>
      <xdr:colOff>209755</xdr:colOff>
      <xdr:row>12</xdr:row>
      <xdr:rowOff>230091</xdr:rowOff>
    </xdr:to>
    <xdr:sp macro="" textlink="">
      <xdr:nvSpPr>
        <xdr:cNvPr id="226" name="正方形/長方形 225">
          <a:extLst>
            <a:ext uri="{FF2B5EF4-FFF2-40B4-BE49-F238E27FC236}">
              <a16:creationId xmlns:a16="http://schemas.microsoft.com/office/drawing/2014/main" id="{815E5C54-2281-4449-B775-75B43E48A66F}"/>
            </a:ext>
          </a:extLst>
        </xdr:cNvPr>
        <xdr:cNvSpPr/>
      </xdr:nvSpPr>
      <xdr:spPr>
        <a:xfrm>
          <a:off x="9574351" y="4652573"/>
          <a:ext cx="350904" cy="34001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P4</a:t>
          </a:r>
          <a:endParaRPr kumimoji="1" lang="ja-JP" altLang="en-US" sz="1100">
            <a:solidFill>
              <a:schemeClr val="tx1"/>
            </a:solidFill>
          </a:endParaRPr>
        </a:p>
      </xdr:txBody>
    </xdr:sp>
    <xdr:clientData/>
  </xdr:twoCellAnchor>
  <xdr:twoCellAnchor>
    <xdr:from>
      <xdr:col>32</xdr:col>
      <xdr:colOff>125568</xdr:colOff>
      <xdr:row>11</xdr:row>
      <xdr:rowOff>128198</xdr:rowOff>
    </xdr:from>
    <xdr:to>
      <xdr:col>33</xdr:col>
      <xdr:colOff>190723</xdr:colOff>
      <xdr:row>12</xdr:row>
      <xdr:rowOff>230091</xdr:rowOff>
    </xdr:to>
    <xdr:sp macro="" textlink="">
      <xdr:nvSpPr>
        <xdr:cNvPr id="227" name="正方形/長方形 226">
          <a:extLst>
            <a:ext uri="{FF2B5EF4-FFF2-40B4-BE49-F238E27FC236}">
              <a16:creationId xmlns:a16="http://schemas.microsoft.com/office/drawing/2014/main" id="{1BC249C3-3B05-47E3-932E-BA9C4818FB38}"/>
            </a:ext>
          </a:extLst>
        </xdr:cNvPr>
        <xdr:cNvSpPr/>
      </xdr:nvSpPr>
      <xdr:spPr>
        <a:xfrm>
          <a:off x="9269568" y="4652573"/>
          <a:ext cx="350905" cy="34001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P5</a:t>
          </a:r>
          <a:endParaRPr kumimoji="1" lang="ja-JP" altLang="en-US" sz="1100">
            <a:solidFill>
              <a:schemeClr val="tx1"/>
            </a:solidFill>
          </a:endParaRPr>
        </a:p>
      </xdr:txBody>
    </xdr:sp>
    <xdr:clientData/>
  </xdr:twoCellAnchor>
  <xdr:twoCellAnchor>
    <xdr:from>
      <xdr:col>31</xdr:col>
      <xdr:colOff>82972</xdr:colOff>
      <xdr:row>11</xdr:row>
      <xdr:rowOff>127697</xdr:rowOff>
    </xdr:from>
    <xdr:to>
      <xdr:col>32</xdr:col>
      <xdr:colOff>147624</xdr:colOff>
      <xdr:row>12</xdr:row>
      <xdr:rowOff>229590</xdr:rowOff>
    </xdr:to>
    <xdr:sp macro="" textlink="">
      <xdr:nvSpPr>
        <xdr:cNvPr id="228" name="正方形/長方形 227">
          <a:extLst>
            <a:ext uri="{FF2B5EF4-FFF2-40B4-BE49-F238E27FC236}">
              <a16:creationId xmlns:a16="http://schemas.microsoft.com/office/drawing/2014/main" id="{D8B88964-B9F2-4AF2-A0C6-36E791C3F0BC}"/>
            </a:ext>
          </a:extLst>
        </xdr:cNvPr>
        <xdr:cNvSpPr/>
      </xdr:nvSpPr>
      <xdr:spPr>
        <a:xfrm>
          <a:off x="8941222" y="4652072"/>
          <a:ext cx="350402" cy="34001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P6</a:t>
          </a:r>
          <a:endParaRPr kumimoji="1" lang="ja-JP" altLang="en-US" sz="1100">
            <a:solidFill>
              <a:schemeClr val="tx1"/>
            </a:solidFill>
          </a:endParaRPr>
        </a:p>
      </xdr:txBody>
    </xdr:sp>
    <xdr:clientData/>
  </xdr:twoCellAnchor>
  <xdr:twoCellAnchor>
    <xdr:from>
      <xdr:col>30</xdr:col>
      <xdr:colOff>28937</xdr:colOff>
      <xdr:row>11</xdr:row>
      <xdr:rowOff>128699</xdr:rowOff>
    </xdr:from>
    <xdr:to>
      <xdr:col>31</xdr:col>
      <xdr:colOff>98013</xdr:colOff>
      <xdr:row>12</xdr:row>
      <xdr:rowOff>230592</xdr:rowOff>
    </xdr:to>
    <xdr:sp macro="" textlink="">
      <xdr:nvSpPr>
        <xdr:cNvPr id="229" name="正方形/長方形 228">
          <a:extLst>
            <a:ext uri="{FF2B5EF4-FFF2-40B4-BE49-F238E27FC236}">
              <a16:creationId xmlns:a16="http://schemas.microsoft.com/office/drawing/2014/main" id="{51EA3BBA-9DC0-4078-ABBD-FB640A7FFF73}"/>
            </a:ext>
          </a:extLst>
        </xdr:cNvPr>
        <xdr:cNvSpPr/>
      </xdr:nvSpPr>
      <xdr:spPr>
        <a:xfrm>
          <a:off x="8601437" y="4653074"/>
          <a:ext cx="354826" cy="34001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P7</a:t>
          </a:r>
          <a:endParaRPr kumimoji="1" lang="ja-JP" altLang="en-US" sz="1100">
            <a:solidFill>
              <a:schemeClr val="tx1"/>
            </a:solidFill>
          </a:endParaRPr>
        </a:p>
      </xdr:txBody>
    </xdr:sp>
    <xdr:clientData/>
  </xdr:twoCellAnchor>
  <xdr:twoCellAnchor>
    <xdr:from>
      <xdr:col>24</xdr:col>
      <xdr:colOff>141850</xdr:colOff>
      <xdr:row>11</xdr:row>
      <xdr:rowOff>122965</xdr:rowOff>
    </xdr:from>
    <xdr:to>
      <xdr:col>25</xdr:col>
      <xdr:colOff>207004</xdr:colOff>
      <xdr:row>12</xdr:row>
      <xdr:rowOff>231322</xdr:rowOff>
    </xdr:to>
    <xdr:sp macro="" textlink="">
      <xdr:nvSpPr>
        <xdr:cNvPr id="230" name="正方形/長方形 229">
          <a:extLst>
            <a:ext uri="{FF2B5EF4-FFF2-40B4-BE49-F238E27FC236}">
              <a16:creationId xmlns:a16="http://schemas.microsoft.com/office/drawing/2014/main" id="{EA612829-BE1F-419F-A607-811A70E28CCD}"/>
            </a:ext>
          </a:extLst>
        </xdr:cNvPr>
        <xdr:cNvSpPr/>
      </xdr:nvSpPr>
      <xdr:spPr>
        <a:xfrm>
          <a:off x="6999850" y="4647340"/>
          <a:ext cx="350904" cy="3464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P4</a:t>
          </a:r>
          <a:endParaRPr kumimoji="1" lang="ja-JP" altLang="en-US" sz="1100">
            <a:solidFill>
              <a:schemeClr val="tx1"/>
            </a:solidFill>
          </a:endParaRPr>
        </a:p>
      </xdr:txBody>
    </xdr:sp>
    <xdr:clientData/>
  </xdr:twoCellAnchor>
  <xdr:twoCellAnchor>
    <xdr:from>
      <xdr:col>23</xdr:col>
      <xdr:colOff>122817</xdr:colOff>
      <xdr:row>11</xdr:row>
      <xdr:rowOff>122965</xdr:rowOff>
    </xdr:from>
    <xdr:to>
      <xdr:col>24</xdr:col>
      <xdr:colOff>187972</xdr:colOff>
      <xdr:row>12</xdr:row>
      <xdr:rowOff>231322</xdr:rowOff>
    </xdr:to>
    <xdr:sp macro="" textlink="">
      <xdr:nvSpPr>
        <xdr:cNvPr id="231" name="正方形/長方形 230">
          <a:extLst>
            <a:ext uri="{FF2B5EF4-FFF2-40B4-BE49-F238E27FC236}">
              <a16:creationId xmlns:a16="http://schemas.microsoft.com/office/drawing/2014/main" id="{0116A160-DC1E-4198-B5F2-CAF2CD13E73D}"/>
            </a:ext>
          </a:extLst>
        </xdr:cNvPr>
        <xdr:cNvSpPr/>
      </xdr:nvSpPr>
      <xdr:spPr>
        <a:xfrm>
          <a:off x="6695067" y="4647340"/>
          <a:ext cx="350905" cy="3464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P5</a:t>
          </a:r>
          <a:endParaRPr kumimoji="1" lang="ja-JP" altLang="en-US" sz="1100">
            <a:solidFill>
              <a:schemeClr val="tx1"/>
            </a:solidFill>
          </a:endParaRPr>
        </a:p>
      </xdr:txBody>
    </xdr:sp>
    <xdr:clientData/>
  </xdr:twoCellAnchor>
  <xdr:twoCellAnchor>
    <xdr:from>
      <xdr:col>22</xdr:col>
      <xdr:colOff>80220</xdr:colOff>
      <xdr:row>11</xdr:row>
      <xdr:rowOff>122464</xdr:rowOff>
    </xdr:from>
    <xdr:to>
      <xdr:col>23</xdr:col>
      <xdr:colOff>144873</xdr:colOff>
      <xdr:row>12</xdr:row>
      <xdr:rowOff>230821</xdr:rowOff>
    </xdr:to>
    <xdr:sp macro="" textlink="">
      <xdr:nvSpPr>
        <xdr:cNvPr id="232" name="正方形/長方形 231">
          <a:extLst>
            <a:ext uri="{FF2B5EF4-FFF2-40B4-BE49-F238E27FC236}">
              <a16:creationId xmlns:a16="http://schemas.microsoft.com/office/drawing/2014/main" id="{26B81A33-7366-4A92-90C5-FE392D23531A}"/>
            </a:ext>
          </a:extLst>
        </xdr:cNvPr>
        <xdr:cNvSpPr/>
      </xdr:nvSpPr>
      <xdr:spPr>
        <a:xfrm>
          <a:off x="6366720" y="4646839"/>
          <a:ext cx="350403" cy="3464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P6</a:t>
          </a:r>
          <a:endParaRPr kumimoji="1" lang="ja-JP" altLang="en-US" sz="1100">
            <a:solidFill>
              <a:schemeClr val="tx1"/>
            </a:solidFill>
          </a:endParaRPr>
        </a:p>
      </xdr:txBody>
    </xdr:sp>
    <xdr:clientData/>
  </xdr:twoCellAnchor>
  <xdr:twoCellAnchor>
    <xdr:from>
      <xdr:col>21</xdr:col>
      <xdr:colOff>26186</xdr:colOff>
      <xdr:row>11</xdr:row>
      <xdr:rowOff>123466</xdr:rowOff>
    </xdr:from>
    <xdr:to>
      <xdr:col>22</xdr:col>
      <xdr:colOff>95261</xdr:colOff>
      <xdr:row>12</xdr:row>
      <xdr:rowOff>231823</xdr:rowOff>
    </xdr:to>
    <xdr:sp macro="" textlink="">
      <xdr:nvSpPr>
        <xdr:cNvPr id="233" name="正方形/長方形 232">
          <a:extLst>
            <a:ext uri="{FF2B5EF4-FFF2-40B4-BE49-F238E27FC236}">
              <a16:creationId xmlns:a16="http://schemas.microsoft.com/office/drawing/2014/main" id="{F683FAE2-C3AE-4E30-A5B2-5FAF7C365F17}"/>
            </a:ext>
          </a:extLst>
        </xdr:cNvPr>
        <xdr:cNvSpPr/>
      </xdr:nvSpPr>
      <xdr:spPr>
        <a:xfrm>
          <a:off x="6026936" y="4647841"/>
          <a:ext cx="354825" cy="3464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P7</a:t>
          </a:r>
          <a:endParaRPr kumimoji="1" lang="ja-JP" altLang="en-US" sz="1100">
            <a:solidFill>
              <a:schemeClr val="tx1"/>
            </a:solidFill>
          </a:endParaRPr>
        </a:p>
      </xdr:txBody>
    </xdr:sp>
    <xdr:clientData/>
  </xdr:twoCellAnchor>
  <xdr:twoCellAnchor>
    <xdr:from>
      <xdr:col>19</xdr:col>
      <xdr:colOff>103257</xdr:colOff>
      <xdr:row>58</xdr:row>
      <xdr:rowOff>138121</xdr:rowOff>
    </xdr:from>
    <xdr:to>
      <xdr:col>23</xdr:col>
      <xdr:colOff>28575</xdr:colOff>
      <xdr:row>60</xdr:row>
      <xdr:rowOff>211671</xdr:rowOff>
    </xdr:to>
    <xdr:sp macro="" textlink="">
      <xdr:nvSpPr>
        <xdr:cNvPr id="27" name="正方形/長方形 26">
          <a:extLst>
            <a:ext uri="{FF2B5EF4-FFF2-40B4-BE49-F238E27FC236}">
              <a16:creationId xmlns:a16="http://schemas.microsoft.com/office/drawing/2014/main" id="{3D5A50D6-8792-4C77-809E-FEEF9178E7F5}"/>
            </a:ext>
          </a:extLst>
        </xdr:cNvPr>
        <xdr:cNvSpPr/>
      </xdr:nvSpPr>
      <xdr:spPr>
        <a:xfrm>
          <a:off x="5351532" y="13949371"/>
          <a:ext cx="1030218" cy="549800"/>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200">
              <a:solidFill>
                <a:schemeClr val="tx1"/>
              </a:solidFill>
            </a:rPr>
            <a:t>波形データ</a:t>
          </a:r>
          <a:endParaRPr kumimoji="1" lang="en-US" altLang="ja-JP" sz="1200">
            <a:solidFill>
              <a:schemeClr val="tx1"/>
            </a:solidFill>
          </a:endParaRPr>
        </a:p>
        <a:p>
          <a:pPr algn="ctr"/>
          <a:r>
            <a:rPr kumimoji="1" lang="en-US" altLang="ja-JP" sz="1200">
              <a:solidFill>
                <a:schemeClr val="tx1"/>
              </a:solidFill>
            </a:rPr>
            <a:t>RAM</a:t>
          </a:r>
          <a:endParaRPr kumimoji="1" lang="ja-JP" altLang="en-US" sz="1200">
            <a:solidFill>
              <a:schemeClr val="tx1"/>
            </a:solidFill>
          </a:endParaRPr>
        </a:p>
      </xdr:txBody>
    </xdr:sp>
    <xdr:clientData/>
  </xdr:twoCellAnchor>
  <xdr:twoCellAnchor>
    <xdr:from>
      <xdr:col>32</xdr:col>
      <xdr:colOff>1485</xdr:colOff>
      <xdr:row>65</xdr:row>
      <xdr:rowOff>235318</xdr:rowOff>
    </xdr:from>
    <xdr:to>
      <xdr:col>35</xdr:col>
      <xdr:colOff>266711</xdr:colOff>
      <xdr:row>68</xdr:row>
      <xdr:rowOff>49372</xdr:rowOff>
    </xdr:to>
    <xdr:sp macro="" textlink="">
      <xdr:nvSpPr>
        <xdr:cNvPr id="141" name="正方形/長方形 140">
          <a:extLst>
            <a:ext uri="{FF2B5EF4-FFF2-40B4-BE49-F238E27FC236}">
              <a16:creationId xmlns:a16="http://schemas.microsoft.com/office/drawing/2014/main" id="{B0555346-29EF-4738-852A-00FADEBE8CDF}"/>
            </a:ext>
          </a:extLst>
        </xdr:cNvPr>
        <xdr:cNvSpPr/>
      </xdr:nvSpPr>
      <xdr:spPr>
        <a:xfrm>
          <a:off x="8840685" y="15713443"/>
          <a:ext cx="1093901" cy="528429"/>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DAC</a:t>
          </a:r>
        </a:p>
        <a:p>
          <a:pPr algn="ctr"/>
          <a:r>
            <a:rPr kumimoji="1" lang="en-US" altLang="ja-JP" sz="1200">
              <a:solidFill>
                <a:schemeClr val="tx1"/>
              </a:solidFill>
            </a:rPr>
            <a:t>Tile</a:t>
          </a:r>
          <a:r>
            <a:rPr kumimoji="1" lang="en-US" altLang="ja-JP" sz="1200" baseline="0">
              <a:solidFill>
                <a:schemeClr val="tx1"/>
              </a:solidFill>
            </a:rPr>
            <a:t> 230   Ch 0</a:t>
          </a:r>
          <a:endParaRPr kumimoji="1" lang="ja-JP" altLang="en-US" sz="1400">
            <a:solidFill>
              <a:schemeClr val="tx1"/>
            </a:solidFill>
          </a:endParaRPr>
        </a:p>
      </xdr:txBody>
    </xdr:sp>
    <xdr:clientData/>
  </xdr:twoCellAnchor>
  <xdr:twoCellAnchor>
    <xdr:from>
      <xdr:col>31</xdr:col>
      <xdr:colOff>272741</xdr:colOff>
      <xdr:row>68</xdr:row>
      <xdr:rowOff>95036</xdr:rowOff>
    </xdr:from>
    <xdr:to>
      <xdr:col>35</xdr:col>
      <xdr:colOff>261742</xdr:colOff>
      <xdr:row>70</xdr:row>
      <xdr:rowOff>142885</xdr:rowOff>
    </xdr:to>
    <xdr:sp macro="" textlink="">
      <xdr:nvSpPr>
        <xdr:cNvPr id="142" name="正方形/長方形 141">
          <a:extLst>
            <a:ext uri="{FF2B5EF4-FFF2-40B4-BE49-F238E27FC236}">
              <a16:creationId xmlns:a16="http://schemas.microsoft.com/office/drawing/2014/main" id="{29AD985B-9634-4152-A822-382D3E155613}"/>
            </a:ext>
          </a:extLst>
        </xdr:cNvPr>
        <xdr:cNvSpPr/>
      </xdr:nvSpPr>
      <xdr:spPr>
        <a:xfrm>
          <a:off x="8835716" y="16287536"/>
          <a:ext cx="1093901" cy="524099"/>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DAC</a:t>
          </a:r>
        </a:p>
        <a:p>
          <a:pPr algn="ctr"/>
          <a:r>
            <a:rPr kumimoji="1" lang="en-US" altLang="ja-JP" sz="1200">
              <a:solidFill>
                <a:schemeClr val="tx1"/>
              </a:solidFill>
            </a:rPr>
            <a:t>Tile</a:t>
          </a:r>
          <a:r>
            <a:rPr kumimoji="1" lang="en-US" altLang="ja-JP" sz="1200" baseline="0">
              <a:solidFill>
                <a:schemeClr val="tx1"/>
              </a:solidFill>
            </a:rPr>
            <a:t> 230   Ch 1</a:t>
          </a:r>
          <a:endParaRPr kumimoji="1" lang="ja-JP" altLang="en-US" sz="1400">
            <a:solidFill>
              <a:schemeClr val="tx1"/>
            </a:solidFill>
          </a:endParaRPr>
        </a:p>
      </xdr:txBody>
    </xdr:sp>
    <xdr:clientData/>
  </xdr:twoCellAnchor>
  <xdr:twoCellAnchor>
    <xdr:from>
      <xdr:col>31</xdr:col>
      <xdr:colOff>276053</xdr:colOff>
      <xdr:row>70</xdr:row>
      <xdr:rowOff>206738</xdr:rowOff>
    </xdr:from>
    <xdr:to>
      <xdr:col>35</xdr:col>
      <xdr:colOff>265054</xdr:colOff>
      <xdr:row>73</xdr:row>
      <xdr:rowOff>30316</xdr:rowOff>
    </xdr:to>
    <xdr:sp macro="" textlink="">
      <xdr:nvSpPr>
        <xdr:cNvPr id="143" name="正方形/長方形 142">
          <a:extLst>
            <a:ext uri="{FF2B5EF4-FFF2-40B4-BE49-F238E27FC236}">
              <a16:creationId xmlns:a16="http://schemas.microsoft.com/office/drawing/2014/main" id="{8A1C2AF5-C66E-480C-9E8F-DD51CDDB5DCC}"/>
            </a:ext>
          </a:extLst>
        </xdr:cNvPr>
        <xdr:cNvSpPr/>
      </xdr:nvSpPr>
      <xdr:spPr>
        <a:xfrm>
          <a:off x="8839028" y="16875488"/>
          <a:ext cx="1093901" cy="537953"/>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DAC</a:t>
          </a:r>
        </a:p>
        <a:p>
          <a:pPr algn="ctr"/>
          <a:r>
            <a:rPr kumimoji="1" lang="en-US" altLang="ja-JP" sz="1200">
              <a:solidFill>
                <a:schemeClr val="tx1"/>
              </a:solidFill>
            </a:rPr>
            <a:t>Tile</a:t>
          </a:r>
          <a:r>
            <a:rPr kumimoji="1" lang="en-US" altLang="ja-JP" sz="1200" baseline="0">
              <a:solidFill>
                <a:schemeClr val="tx1"/>
              </a:solidFill>
            </a:rPr>
            <a:t> 230   Ch 2</a:t>
          </a:r>
          <a:endParaRPr kumimoji="1" lang="ja-JP" altLang="en-US" sz="1400">
            <a:solidFill>
              <a:schemeClr val="tx1"/>
            </a:solidFill>
          </a:endParaRPr>
        </a:p>
      </xdr:txBody>
    </xdr:sp>
    <xdr:clientData/>
  </xdr:twoCellAnchor>
  <xdr:twoCellAnchor>
    <xdr:from>
      <xdr:col>32</xdr:col>
      <xdr:colOff>3141</xdr:colOff>
      <xdr:row>73</xdr:row>
      <xdr:rowOff>73799</xdr:rowOff>
    </xdr:from>
    <xdr:to>
      <xdr:col>35</xdr:col>
      <xdr:colOff>268367</xdr:colOff>
      <xdr:row>75</xdr:row>
      <xdr:rowOff>123177</xdr:rowOff>
    </xdr:to>
    <xdr:sp macro="" textlink="">
      <xdr:nvSpPr>
        <xdr:cNvPr id="144" name="正方形/長方形 143">
          <a:extLst>
            <a:ext uri="{FF2B5EF4-FFF2-40B4-BE49-F238E27FC236}">
              <a16:creationId xmlns:a16="http://schemas.microsoft.com/office/drawing/2014/main" id="{2CF9FAA0-13B2-4CFE-9144-BB94DE05E90C}"/>
            </a:ext>
          </a:extLst>
        </xdr:cNvPr>
        <xdr:cNvSpPr/>
      </xdr:nvSpPr>
      <xdr:spPr>
        <a:xfrm>
          <a:off x="8842341" y="17456924"/>
          <a:ext cx="1093901" cy="525628"/>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DAC</a:t>
          </a:r>
        </a:p>
        <a:p>
          <a:pPr algn="ctr"/>
          <a:r>
            <a:rPr kumimoji="1" lang="en-US" altLang="ja-JP" sz="1200">
              <a:solidFill>
                <a:schemeClr val="tx1"/>
              </a:solidFill>
            </a:rPr>
            <a:t>Tile</a:t>
          </a:r>
          <a:r>
            <a:rPr kumimoji="1" lang="en-US" altLang="ja-JP" sz="1200" baseline="0">
              <a:solidFill>
                <a:schemeClr val="tx1"/>
              </a:solidFill>
            </a:rPr>
            <a:t> 230   Ch 3</a:t>
          </a:r>
          <a:endParaRPr kumimoji="1" lang="ja-JP" altLang="en-US" sz="1400">
            <a:solidFill>
              <a:schemeClr val="tx1"/>
            </a:solidFill>
          </a:endParaRPr>
        </a:p>
      </xdr:txBody>
    </xdr:sp>
    <xdr:clientData/>
  </xdr:twoCellAnchor>
  <xdr:twoCellAnchor>
    <xdr:from>
      <xdr:col>31</xdr:col>
      <xdr:colOff>272740</xdr:colOff>
      <xdr:row>75</xdr:row>
      <xdr:rowOff>175183</xdr:rowOff>
    </xdr:from>
    <xdr:to>
      <xdr:col>35</xdr:col>
      <xdr:colOff>261741</xdr:colOff>
      <xdr:row>77</xdr:row>
      <xdr:rowOff>227361</xdr:rowOff>
    </xdr:to>
    <xdr:sp macro="" textlink="">
      <xdr:nvSpPr>
        <xdr:cNvPr id="145" name="正方形/長方形 144">
          <a:extLst>
            <a:ext uri="{FF2B5EF4-FFF2-40B4-BE49-F238E27FC236}">
              <a16:creationId xmlns:a16="http://schemas.microsoft.com/office/drawing/2014/main" id="{4C013200-B3C5-49FC-B546-5FF34D33A370}"/>
            </a:ext>
          </a:extLst>
        </xdr:cNvPr>
        <xdr:cNvSpPr/>
      </xdr:nvSpPr>
      <xdr:spPr>
        <a:xfrm>
          <a:off x="8835715" y="18034558"/>
          <a:ext cx="1093901" cy="528428"/>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DAC</a:t>
          </a:r>
        </a:p>
        <a:p>
          <a:pPr algn="ctr"/>
          <a:r>
            <a:rPr kumimoji="1" lang="en-US" altLang="ja-JP" sz="1200">
              <a:solidFill>
                <a:schemeClr val="tx1"/>
              </a:solidFill>
            </a:rPr>
            <a:t>Tile</a:t>
          </a:r>
          <a:r>
            <a:rPr kumimoji="1" lang="en-US" altLang="ja-JP" sz="1200" baseline="0">
              <a:solidFill>
                <a:schemeClr val="tx1"/>
              </a:solidFill>
            </a:rPr>
            <a:t> 231   Ch 0</a:t>
          </a:r>
          <a:endParaRPr kumimoji="1" lang="ja-JP" altLang="en-US" sz="1400">
            <a:solidFill>
              <a:schemeClr val="tx1"/>
            </a:solidFill>
          </a:endParaRPr>
        </a:p>
      </xdr:txBody>
    </xdr:sp>
    <xdr:clientData/>
  </xdr:twoCellAnchor>
  <xdr:twoCellAnchor>
    <xdr:from>
      <xdr:col>31</xdr:col>
      <xdr:colOff>255845</xdr:colOff>
      <xdr:row>78</xdr:row>
      <xdr:rowOff>43566</xdr:rowOff>
    </xdr:from>
    <xdr:to>
      <xdr:col>35</xdr:col>
      <xdr:colOff>257174</xdr:colOff>
      <xdr:row>80</xdr:row>
      <xdr:rowOff>95744</xdr:rowOff>
    </xdr:to>
    <xdr:sp macro="" textlink="">
      <xdr:nvSpPr>
        <xdr:cNvPr id="146" name="正方形/長方形 145">
          <a:extLst>
            <a:ext uri="{FF2B5EF4-FFF2-40B4-BE49-F238E27FC236}">
              <a16:creationId xmlns:a16="http://schemas.microsoft.com/office/drawing/2014/main" id="{F18124CC-342E-403F-8CA7-60246D756584}"/>
            </a:ext>
          </a:extLst>
        </xdr:cNvPr>
        <xdr:cNvSpPr/>
      </xdr:nvSpPr>
      <xdr:spPr>
        <a:xfrm>
          <a:off x="8818820" y="18617316"/>
          <a:ext cx="1106229" cy="528428"/>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DAC</a:t>
          </a:r>
        </a:p>
        <a:p>
          <a:pPr algn="ctr"/>
          <a:r>
            <a:rPr kumimoji="1" lang="en-US" altLang="ja-JP" sz="1200">
              <a:solidFill>
                <a:schemeClr val="tx1"/>
              </a:solidFill>
            </a:rPr>
            <a:t>Tile</a:t>
          </a:r>
          <a:r>
            <a:rPr kumimoji="1" lang="en-US" altLang="ja-JP" sz="1200" baseline="0">
              <a:solidFill>
                <a:schemeClr val="tx1"/>
              </a:solidFill>
            </a:rPr>
            <a:t> 231   Ch 1</a:t>
          </a:r>
          <a:endParaRPr kumimoji="1" lang="ja-JP" altLang="en-US" sz="1400">
            <a:solidFill>
              <a:schemeClr val="tx1"/>
            </a:solidFill>
          </a:endParaRPr>
        </a:p>
      </xdr:txBody>
    </xdr:sp>
    <xdr:clientData/>
  </xdr:twoCellAnchor>
  <xdr:twoCellAnchor>
    <xdr:from>
      <xdr:col>31</xdr:col>
      <xdr:colOff>263079</xdr:colOff>
      <xdr:row>80</xdr:row>
      <xdr:rowOff>148753</xdr:rowOff>
    </xdr:from>
    <xdr:to>
      <xdr:col>35</xdr:col>
      <xdr:colOff>260354</xdr:colOff>
      <xdr:row>82</xdr:row>
      <xdr:rowOff>207656</xdr:rowOff>
    </xdr:to>
    <xdr:sp macro="" textlink="">
      <xdr:nvSpPr>
        <xdr:cNvPr id="147" name="正方形/長方形 146">
          <a:extLst>
            <a:ext uri="{FF2B5EF4-FFF2-40B4-BE49-F238E27FC236}">
              <a16:creationId xmlns:a16="http://schemas.microsoft.com/office/drawing/2014/main" id="{2E829C7C-1C94-4F02-98D0-BB9DF88369F4}"/>
            </a:ext>
          </a:extLst>
        </xdr:cNvPr>
        <xdr:cNvSpPr/>
      </xdr:nvSpPr>
      <xdr:spPr>
        <a:xfrm>
          <a:off x="8826054" y="19198753"/>
          <a:ext cx="1102175" cy="535153"/>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DAC</a:t>
          </a:r>
        </a:p>
        <a:p>
          <a:pPr algn="ctr"/>
          <a:r>
            <a:rPr kumimoji="1" lang="en-US" altLang="ja-JP" sz="1200">
              <a:solidFill>
                <a:schemeClr val="tx1"/>
              </a:solidFill>
            </a:rPr>
            <a:t>Tile</a:t>
          </a:r>
          <a:r>
            <a:rPr kumimoji="1" lang="en-US" altLang="ja-JP" sz="1200" baseline="0">
              <a:solidFill>
                <a:schemeClr val="tx1"/>
              </a:solidFill>
            </a:rPr>
            <a:t> 231   Ch 2</a:t>
          </a:r>
          <a:endParaRPr kumimoji="1" lang="ja-JP" altLang="en-US" sz="1400">
            <a:solidFill>
              <a:schemeClr val="tx1"/>
            </a:solidFill>
          </a:endParaRPr>
        </a:p>
      </xdr:txBody>
    </xdr:sp>
    <xdr:clientData/>
  </xdr:twoCellAnchor>
  <xdr:twoCellAnchor>
    <xdr:from>
      <xdr:col>31</xdr:col>
      <xdr:colOff>274396</xdr:colOff>
      <xdr:row>83</xdr:row>
      <xdr:rowOff>5382</xdr:rowOff>
    </xdr:from>
    <xdr:to>
      <xdr:col>35</xdr:col>
      <xdr:colOff>263397</xdr:colOff>
      <xdr:row>85</xdr:row>
      <xdr:rowOff>57561</xdr:rowOff>
    </xdr:to>
    <xdr:sp macro="" textlink="">
      <xdr:nvSpPr>
        <xdr:cNvPr id="148" name="正方形/長方形 147">
          <a:extLst>
            <a:ext uri="{FF2B5EF4-FFF2-40B4-BE49-F238E27FC236}">
              <a16:creationId xmlns:a16="http://schemas.microsoft.com/office/drawing/2014/main" id="{C627F5CD-F640-4F96-A3A8-744573745F12}"/>
            </a:ext>
          </a:extLst>
        </xdr:cNvPr>
        <xdr:cNvSpPr/>
      </xdr:nvSpPr>
      <xdr:spPr>
        <a:xfrm>
          <a:off x="8837371" y="19769757"/>
          <a:ext cx="1093901" cy="528429"/>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DAC</a:t>
          </a:r>
        </a:p>
        <a:p>
          <a:pPr algn="ctr"/>
          <a:r>
            <a:rPr kumimoji="1" lang="en-US" altLang="ja-JP" sz="1200">
              <a:solidFill>
                <a:schemeClr val="tx1"/>
              </a:solidFill>
            </a:rPr>
            <a:t>Tile</a:t>
          </a:r>
          <a:r>
            <a:rPr kumimoji="1" lang="en-US" altLang="ja-JP" sz="1200" baseline="0">
              <a:solidFill>
                <a:schemeClr val="tx1"/>
              </a:solidFill>
            </a:rPr>
            <a:t> 231   Ch 3</a:t>
          </a:r>
          <a:endParaRPr kumimoji="1" lang="ja-JP" altLang="en-US" sz="1400">
            <a:solidFill>
              <a:schemeClr val="tx1"/>
            </a:solidFill>
          </a:endParaRPr>
        </a:p>
      </xdr:txBody>
    </xdr:sp>
    <xdr:clientData/>
  </xdr:twoCellAnchor>
  <xdr:twoCellAnchor>
    <xdr:from>
      <xdr:col>24</xdr:col>
      <xdr:colOff>150843</xdr:colOff>
      <xdr:row>67</xdr:row>
      <xdr:rowOff>137713</xdr:rowOff>
    </xdr:from>
    <xdr:to>
      <xdr:col>26</xdr:col>
      <xdr:colOff>147530</xdr:colOff>
      <xdr:row>67</xdr:row>
      <xdr:rowOff>137713</xdr:rowOff>
    </xdr:to>
    <xdr:cxnSp macro="">
      <xdr:nvCxnSpPr>
        <xdr:cNvPr id="165" name="直線矢印コネクタ 164">
          <a:extLst>
            <a:ext uri="{FF2B5EF4-FFF2-40B4-BE49-F238E27FC236}">
              <a16:creationId xmlns:a16="http://schemas.microsoft.com/office/drawing/2014/main" id="{3AE04472-20DA-47C4-8C18-E764B6D37125}"/>
            </a:ext>
          </a:extLst>
        </xdr:cNvPr>
        <xdr:cNvCxnSpPr/>
      </xdr:nvCxnSpPr>
      <xdr:spPr>
        <a:xfrm>
          <a:off x="6710669" y="16230822"/>
          <a:ext cx="543339" cy="0"/>
        </a:xfrm>
        <a:prstGeom prst="straightConnector1">
          <a:avLst/>
        </a:prstGeom>
        <a:ln>
          <a:headEnd type="triangle" w="sm" len="med"/>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146759</xdr:colOff>
      <xdr:row>84</xdr:row>
      <xdr:rowOff>161988</xdr:rowOff>
    </xdr:from>
    <xdr:to>
      <xdr:col>26</xdr:col>
      <xdr:colOff>153615</xdr:colOff>
      <xdr:row>84</xdr:row>
      <xdr:rowOff>161988</xdr:rowOff>
    </xdr:to>
    <xdr:cxnSp macro="">
      <xdr:nvCxnSpPr>
        <xdr:cNvPr id="166" name="直線矢印コネクタ 165">
          <a:extLst>
            <a:ext uri="{FF2B5EF4-FFF2-40B4-BE49-F238E27FC236}">
              <a16:creationId xmlns:a16="http://schemas.microsoft.com/office/drawing/2014/main" id="{8B9279EE-7DA0-4C7F-B239-D9494ECA3358}"/>
            </a:ext>
          </a:extLst>
        </xdr:cNvPr>
        <xdr:cNvCxnSpPr/>
      </xdr:nvCxnSpPr>
      <xdr:spPr>
        <a:xfrm>
          <a:off x="6706585" y="20338423"/>
          <a:ext cx="553508" cy="0"/>
        </a:xfrm>
        <a:prstGeom prst="straightConnector1">
          <a:avLst/>
        </a:prstGeom>
        <a:ln>
          <a:headEnd type="triangle" w="sm" len="med"/>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155240</xdr:colOff>
      <xdr:row>79</xdr:row>
      <xdr:rowOff>148832</xdr:rowOff>
    </xdr:from>
    <xdr:to>
      <xdr:col>26</xdr:col>
      <xdr:colOff>151927</xdr:colOff>
      <xdr:row>79</xdr:row>
      <xdr:rowOff>148832</xdr:rowOff>
    </xdr:to>
    <xdr:cxnSp macro="">
      <xdr:nvCxnSpPr>
        <xdr:cNvPr id="167" name="直線矢印コネクタ 166">
          <a:extLst>
            <a:ext uri="{FF2B5EF4-FFF2-40B4-BE49-F238E27FC236}">
              <a16:creationId xmlns:a16="http://schemas.microsoft.com/office/drawing/2014/main" id="{05AABC36-CCF1-4309-9DEC-829913EAD8FC}"/>
            </a:ext>
          </a:extLst>
        </xdr:cNvPr>
        <xdr:cNvCxnSpPr/>
      </xdr:nvCxnSpPr>
      <xdr:spPr>
        <a:xfrm>
          <a:off x="6715066" y="19124289"/>
          <a:ext cx="543339" cy="0"/>
        </a:xfrm>
        <a:prstGeom prst="straightConnector1">
          <a:avLst/>
        </a:prstGeom>
        <a:ln>
          <a:headEnd type="triangle" w="sm" len="med"/>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149378</xdr:colOff>
      <xdr:row>69</xdr:row>
      <xdr:rowOff>238091</xdr:rowOff>
    </xdr:from>
    <xdr:to>
      <xdr:col>26</xdr:col>
      <xdr:colOff>146065</xdr:colOff>
      <xdr:row>69</xdr:row>
      <xdr:rowOff>238091</xdr:rowOff>
    </xdr:to>
    <xdr:cxnSp macro="">
      <xdr:nvCxnSpPr>
        <xdr:cNvPr id="173" name="直線矢印コネクタ 172">
          <a:extLst>
            <a:ext uri="{FF2B5EF4-FFF2-40B4-BE49-F238E27FC236}">
              <a16:creationId xmlns:a16="http://schemas.microsoft.com/office/drawing/2014/main" id="{F0D53CC2-44A0-4AEF-80C3-D85A38FE3AB7}"/>
            </a:ext>
          </a:extLst>
        </xdr:cNvPr>
        <xdr:cNvCxnSpPr/>
      </xdr:nvCxnSpPr>
      <xdr:spPr>
        <a:xfrm>
          <a:off x="6709204" y="16811591"/>
          <a:ext cx="543339" cy="0"/>
        </a:xfrm>
        <a:prstGeom prst="straightConnector1">
          <a:avLst/>
        </a:prstGeom>
        <a:ln>
          <a:headEnd type="triangle" w="sm" len="med"/>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155240</xdr:colOff>
      <xdr:row>72</xdr:row>
      <xdr:rowOff>94336</xdr:rowOff>
    </xdr:from>
    <xdr:to>
      <xdr:col>26</xdr:col>
      <xdr:colOff>151927</xdr:colOff>
      <xdr:row>72</xdr:row>
      <xdr:rowOff>94336</xdr:rowOff>
    </xdr:to>
    <xdr:cxnSp macro="">
      <xdr:nvCxnSpPr>
        <xdr:cNvPr id="174" name="直線矢印コネクタ 173">
          <a:extLst>
            <a:ext uri="{FF2B5EF4-FFF2-40B4-BE49-F238E27FC236}">
              <a16:creationId xmlns:a16="http://schemas.microsoft.com/office/drawing/2014/main" id="{EFCA728D-2138-43D9-9742-188C8F5BB23D}"/>
            </a:ext>
          </a:extLst>
        </xdr:cNvPr>
        <xdr:cNvCxnSpPr/>
      </xdr:nvCxnSpPr>
      <xdr:spPr>
        <a:xfrm>
          <a:off x="6715066" y="17388423"/>
          <a:ext cx="543339" cy="0"/>
        </a:xfrm>
        <a:prstGeom prst="straightConnector1">
          <a:avLst/>
        </a:prstGeom>
        <a:ln>
          <a:headEnd type="triangle" w="sm" len="med"/>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146447</xdr:colOff>
      <xdr:row>74</xdr:row>
      <xdr:rowOff>190465</xdr:rowOff>
    </xdr:from>
    <xdr:to>
      <xdr:col>26</xdr:col>
      <xdr:colOff>143134</xdr:colOff>
      <xdr:row>74</xdr:row>
      <xdr:rowOff>190465</xdr:rowOff>
    </xdr:to>
    <xdr:cxnSp macro="">
      <xdr:nvCxnSpPr>
        <xdr:cNvPr id="175" name="直線矢印コネクタ 174">
          <a:extLst>
            <a:ext uri="{FF2B5EF4-FFF2-40B4-BE49-F238E27FC236}">
              <a16:creationId xmlns:a16="http://schemas.microsoft.com/office/drawing/2014/main" id="{02450346-4A33-43C6-86AC-0BCFB9B0281C}"/>
            </a:ext>
          </a:extLst>
        </xdr:cNvPr>
        <xdr:cNvCxnSpPr/>
      </xdr:nvCxnSpPr>
      <xdr:spPr>
        <a:xfrm>
          <a:off x="6706273" y="17964943"/>
          <a:ext cx="543339" cy="0"/>
        </a:xfrm>
        <a:prstGeom prst="straightConnector1">
          <a:avLst/>
        </a:prstGeom>
        <a:ln>
          <a:headEnd type="triangle" w="sm" len="med"/>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152308</xdr:colOff>
      <xdr:row>77</xdr:row>
      <xdr:rowOff>72633</xdr:rowOff>
    </xdr:from>
    <xdr:to>
      <xdr:col>26</xdr:col>
      <xdr:colOff>148995</xdr:colOff>
      <xdr:row>77</xdr:row>
      <xdr:rowOff>72633</xdr:rowOff>
    </xdr:to>
    <xdr:cxnSp macro="">
      <xdr:nvCxnSpPr>
        <xdr:cNvPr id="176" name="直線矢印コネクタ 175">
          <a:extLst>
            <a:ext uri="{FF2B5EF4-FFF2-40B4-BE49-F238E27FC236}">
              <a16:creationId xmlns:a16="http://schemas.microsoft.com/office/drawing/2014/main" id="{D16D9BB4-3C99-4A0F-825B-252686990724}"/>
            </a:ext>
          </a:extLst>
        </xdr:cNvPr>
        <xdr:cNvCxnSpPr/>
      </xdr:nvCxnSpPr>
      <xdr:spPr>
        <a:xfrm>
          <a:off x="6712134" y="18567698"/>
          <a:ext cx="543339" cy="0"/>
        </a:xfrm>
        <a:prstGeom prst="straightConnector1">
          <a:avLst/>
        </a:prstGeom>
        <a:ln>
          <a:headEnd type="triangle" w="sm" len="med"/>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155240</xdr:colOff>
      <xdr:row>82</xdr:row>
      <xdr:rowOff>69497</xdr:rowOff>
    </xdr:from>
    <xdr:to>
      <xdr:col>26</xdr:col>
      <xdr:colOff>151927</xdr:colOff>
      <xdr:row>82</xdr:row>
      <xdr:rowOff>69497</xdr:rowOff>
    </xdr:to>
    <xdr:cxnSp macro="">
      <xdr:nvCxnSpPr>
        <xdr:cNvPr id="177" name="直線矢印コネクタ 176">
          <a:extLst>
            <a:ext uri="{FF2B5EF4-FFF2-40B4-BE49-F238E27FC236}">
              <a16:creationId xmlns:a16="http://schemas.microsoft.com/office/drawing/2014/main" id="{A8840D7C-B909-4A4D-9887-253ACC4A4B53}"/>
            </a:ext>
          </a:extLst>
        </xdr:cNvPr>
        <xdr:cNvCxnSpPr/>
      </xdr:nvCxnSpPr>
      <xdr:spPr>
        <a:xfrm>
          <a:off x="6776757" y="19461083"/>
          <a:ext cx="548480" cy="0"/>
        </a:xfrm>
        <a:prstGeom prst="straightConnector1">
          <a:avLst/>
        </a:prstGeom>
        <a:ln>
          <a:headEnd type="triangle" w="sm" len="med"/>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193455</xdr:colOff>
      <xdr:row>66</xdr:row>
      <xdr:rowOff>145461</xdr:rowOff>
    </xdr:from>
    <xdr:to>
      <xdr:col>26</xdr:col>
      <xdr:colOff>151087</xdr:colOff>
      <xdr:row>66</xdr:row>
      <xdr:rowOff>145461</xdr:rowOff>
    </xdr:to>
    <xdr:cxnSp macro="">
      <xdr:nvCxnSpPr>
        <xdr:cNvPr id="179" name="直線矢印コネクタ 178">
          <a:extLst>
            <a:ext uri="{FF2B5EF4-FFF2-40B4-BE49-F238E27FC236}">
              <a16:creationId xmlns:a16="http://schemas.microsoft.com/office/drawing/2014/main" id="{48BFCE4A-35F0-4A6D-8F19-B20679E49164}"/>
            </a:ext>
          </a:extLst>
        </xdr:cNvPr>
        <xdr:cNvCxnSpPr/>
      </xdr:nvCxnSpPr>
      <xdr:spPr>
        <a:xfrm>
          <a:off x="7090869" y="15753323"/>
          <a:ext cx="233528"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191074</xdr:colOff>
      <xdr:row>69</xdr:row>
      <xdr:rowOff>8415</xdr:rowOff>
    </xdr:from>
    <xdr:to>
      <xdr:col>26</xdr:col>
      <xdr:colOff>151087</xdr:colOff>
      <xdr:row>69</xdr:row>
      <xdr:rowOff>8415</xdr:rowOff>
    </xdr:to>
    <xdr:cxnSp macro="">
      <xdr:nvCxnSpPr>
        <xdr:cNvPr id="180" name="直線矢印コネクタ 179">
          <a:extLst>
            <a:ext uri="{FF2B5EF4-FFF2-40B4-BE49-F238E27FC236}">
              <a16:creationId xmlns:a16="http://schemas.microsoft.com/office/drawing/2014/main" id="{EF6C8786-FF9E-4780-9D0E-F4BAEAA93F08}"/>
            </a:ext>
          </a:extLst>
        </xdr:cNvPr>
        <xdr:cNvCxnSpPr/>
      </xdr:nvCxnSpPr>
      <xdr:spPr>
        <a:xfrm>
          <a:off x="7088488" y="16325725"/>
          <a:ext cx="235909"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187461</xdr:colOff>
      <xdr:row>71</xdr:row>
      <xdr:rowOff>134484</xdr:rowOff>
    </xdr:from>
    <xdr:to>
      <xdr:col>26</xdr:col>
      <xdr:colOff>151087</xdr:colOff>
      <xdr:row>71</xdr:row>
      <xdr:rowOff>134484</xdr:rowOff>
    </xdr:to>
    <xdr:cxnSp macro="">
      <xdr:nvCxnSpPr>
        <xdr:cNvPr id="181" name="直線矢印コネクタ 180">
          <a:extLst>
            <a:ext uri="{FF2B5EF4-FFF2-40B4-BE49-F238E27FC236}">
              <a16:creationId xmlns:a16="http://schemas.microsoft.com/office/drawing/2014/main" id="{D4657765-500C-4C63-AABD-A61FDB7DEFF5}"/>
            </a:ext>
          </a:extLst>
        </xdr:cNvPr>
        <xdr:cNvCxnSpPr/>
      </xdr:nvCxnSpPr>
      <xdr:spPr>
        <a:xfrm>
          <a:off x="7084875" y="16924760"/>
          <a:ext cx="239522"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192265</xdr:colOff>
      <xdr:row>73</xdr:row>
      <xdr:rowOff>213285</xdr:rowOff>
    </xdr:from>
    <xdr:to>
      <xdr:col>26</xdr:col>
      <xdr:colOff>144518</xdr:colOff>
      <xdr:row>73</xdr:row>
      <xdr:rowOff>213285</xdr:rowOff>
    </xdr:to>
    <xdr:cxnSp macro="">
      <xdr:nvCxnSpPr>
        <xdr:cNvPr id="182" name="直線矢印コネクタ 181">
          <a:extLst>
            <a:ext uri="{FF2B5EF4-FFF2-40B4-BE49-F238E27FC236}">
              <a16:creationId xmlns:a16="http://schemas.microsoft.com/office/drawing/2014/main" id="{926DABC8-BEBF-4740-8F11-0396639F108C}"/>
            </a:ext>
          </a:extLst>
        </xdr:cNvPr>
        <xdr:cNvCxnSpPr/>
      </xdr:nvCxnSpPr>
      <xdr:spPr>
        <a:xfrm>
          <a:off x="7089679" y="17476526"/>
          <a:ext cx="228149"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195837</xdr:colOff>
      <xdr:row>76</xdr:row>
      <xdr:rowOff>103870</xdr:rowOff>
    </xdr:from>
    <xdr:to>
      <xdr:col>26</xdr:col>
      <xdr:colOff>151087</xdr:colOff>
      <xdr:row>76</xdr:row>
      <xdr:rowOff>103870</xdr:rowOff>
    </xdr:to>
    <xdr:cxnSp macro="">
      <xdr:nvCxnSpPr>
        <xdr:cNvPr id="209" name="直線矢印コネクタ 208">
          <a:extLst>
            <a:ext uri="{FF2B5EF4-FFF2-40B4-BE49-F238E27FC236}">
              <a16:creationId xmlns:a16="http://schemas.microsoft.com/office/drawing/2014/main" id="{C1088764-996C-4FE2-BF01-1FE48DFDBC99}"/>
            </a:ext>
          </a:extLst>
        </xdr:cNvPr>
        <xdr:cNvCxnSpPr/>
      </xdr:nvCxnSpPr>
      <xdr:spPr>
        <a:xfrm>
          <a:off x="7093251" y="18076560"/>
          <a:ext cx="231146"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193455</xdr:colOff>
      <xdr:row>78</xdr:row>
      <xdr:rowOff>143803</xdr:rowOff>
    </xdr:from>
    <xdr:to>
      <xdr:col>26</xdr:col>
      <xdr:colOff>126269</xdr:colOff>
      <xdr:row>78</xdr:row>
      <xdr:rowOff>143803</xdr:rowOff>
    </xdr:to>
    <xdr:cxnSp macro="">
      <xdr:nvCxnSpPr>
        <xdr:cNvPr id="210" name="直線矢印コネクタ 209">
          <a:extLst>
            <a:ext uri="{FF2B5EF4-FFF2-40B4-BE49-F238E27FC236}">
              <a16:creationId xmlns:a16="http://schemas.microsoft.com/office/drawing/2014/main" id="{09D95A8D-6720-4E37-8251-A44C0084CAB7}"/>
            </a:ext>
          </a:extLst>
        </xdr:cNvPr>
        <xdr:cNvCxnSpPr/>
      </xdr:nvCxnSpPr>
      <xdr:spPr>
        <a:xfrm>
          <a:off x="7090869" y="18589458"/>
          <a:ext cx="208710"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190458</xdr:colOff>
      <xdr:row>81</xdr:row>
      <xdr:rowOff>80632</xdr:rowOff>
    </xdr:from>
    <xdr:to>
      <xdr:col>26</xdr:col>
      <xdr:colOff>151087</xdr:colOff>
      <xdr:row>81</xdr:row>
      <xdr:rowOff>80632</xdr:rowOff>
    </xdr:to>
    <xdr:cxnSp macro="">
      <xdr:nvCxnSpPr>
        <xdr:cNvPr id="211" name="直線矢印コネクタ 210">
          <a:extLst>
            <a:ext uri="{FF2B5EF4-FFF2-40B4-BE49-F238E27FC236}">
              <a16:creationId xmlns:a16="http://schemas.microsoft.com/office/drawing/2014/main" id="{6234B5A9-524D-4093-8C88-B4E1DF013ADF}"/>
            </a:ext>
          </a:extLst>
        </xdr:cNvPr>
        <xdr:cNvCxnSpPr/>
      </xdr:nvCxnSpPr>
      <xdr:spPr>
        <a:xfrm>
          <a:off x="7087872" y="19235735"/>
          <a:ext cx="236525"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194646</xdr:colOff>
      <xdr:row>83</xdr:row>
      <xdr:rowOff>157941</xdr:rowOff>
    </xdr:from>
    <xdr:to>
      <xdr:col>26</xdr:col>
      <xdr:colOff>151087</xdr:colOff>
      <xdr:row>83</xdr:row>
      <xdr:rowOff>157941</xdr:rowOff>
    </xdr:to>
    <xdr:cxnSp macro="">
      <xdr:nvCxnSpPr>
        <xdr:cNvPr id="212" name="直線矢印コネクタ 211">
          <a:extLst>
            <a:ext uri="{FF2B5EF4-FFF2-40B4-BE49-F238E27FC236}">
              <a16:creationId xmlns:a16="http://schemas.microsoft.com/office/drawing/2014/main" id="{3EA183F8-C2A2-4C90-8222-15EC931EC788}"/>
            </a:ext>
          </a:extLst>
        </xdr:cNvPr>
        <xdr:cNvCxnSpPr/>
      </xdr:nvCxnSpPr>
      <xdr:spPr>
        <a:xfrm>
          <a:off x="7092060" y="19786010"/>
          <a:ext cx="232337"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232469</xdr:colOff>
      <xdr:row>67</xdr:row>
      <xdr:rowOff>141400</xdr:rowOff>
    </xdr:from>
    <xdr:to>
      <xdr:col>30</xdr:col>
      <xdr:colOff>130399</xdr:colOff>
      <xdr:row>67</xdr:row>
      <xdr:rowOff>141400</xdr:rowOff>
    </xdr:to>
    <xdr:cxnSp macro="">
      <xdr:nvCxnSpPr>
        <xdr:cNvPr id="251" name="直線矢印コネクタ 250">
          <a:extLst>
            <a:ext uri="{FF2B5EF4-FFF2-40B4-BE49-F238E27FC236}">
              <a16:creationId xmlns:a16="http://schemas.microsoft.com/office/drawing/2014/main" id="{9C3BC01B-549E-481F-AABC-2F9DC5B3AA2C}"/>
            </a:ext>
          </a:extLst>
        </xdr:cNvPr>
        <xdr:cNvCxnSpPr/>
      </xdr:nvCxnSpPr>
      <xdr:spPr>
        <a:xfrm>
          <a:off x="8028315" y="16341227"/>
          <a:ext cx="454776" cy="0"/>
        </a:xfrm>
        <a:prstGeom prst="straightConnector1">
          <a:avLst/>
        </a:prstGeom>
        <a:ln>
          <a:solidFill>
            <a:srgbClr val="00B05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220563</xdr:colOff>
      <xdr:row>70</xdr:row>
      <xdr:rowOff>3288</xdr:rowOff>
    </xdr:from>
    <xdr:to>
      <xdr:col>30</xdr:col>
      <xdr:colOff>128018</xdr:colOff>
      <xdr:row>70</xdr:row>
      <xdr:rowOff>3288</xdr:rowOff>
    </xdr:to>
    <xdr:cxnSp macro="">
      <xdr:nvCxnSpPr>
        <xdr:cNvPr id="252" name="直線矢印コネクタ 251">
          <a:extLst>
            <a:ext uri="{FF2B5EF4-FFF2-40B4-BE49-F238E27FC236}">
              <a16:creationId xmlns:a16="http://schemas.microsoft.com/office/drawing/2014/main" id="{EF720BBA-1C22-46AD-9836-42D201B63E8E}"/>
            </a:ext>
          </a:extLst>
        </xdr:cNvPr>
        <xdr:cNvCxnSpPr/>
      </xdr:nvCxnSpPr>
      <xdr:spPr>
        <a:xfrm>
          <a:off x="8016409" y="16928480"/>
          <a:ext cx="464301" cy="0"/>
        </a:xfrm>
        <a:prstGeom prst="straightConnector1">
          <a:avLst/>
        </a:prstGeom>
        <a:ln>
          <a:solidFill>
            <a:srgbClr val="00B05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239613</xdr:colOff>
      <xdr:row>72</xdr:row>
      <xdr:rowOff>93695</xdr:rowOff>
    </xdr:from>
    <xdr:to>
      <xdr:col>30</xdr:col>
      <xdr:colOff>137543</xdr:colOff>
      <xdr:row>72</xdr:row>
      <xdr:rowOff>93695</xdr:rowOff>
    </xdr:to>
    <xdr:cxnSp macro="">
      <xdr:nvCxnSpPr>
        <xdr:cNvPr id="253" name="直線矢印コネクタ 252">
          <a:extLst>
            <a:ext uri="{FF2B5EF4-FFF2-40B4-BE49-F238E27FC236}">
              <a16:creationId xmlns:a16="http://schemas.microsoft.com/office/drawing/2014/main" id="{B570F43D-B9FC-4BB1-BBFF-A0FCD9074A3B}"/>
            </a:ext>
          </a:extLst>
        </xdr:cNvPr>
        <xdr:cNvCxnSpPr/>
      </xdr:nvCxnSpPr>
      <xdr:spPr>
        <a:xfrm>
          <a:off x="8035459" y="17502464"/>
          <a:ext cx="454776" cy="0"/>
        </a:xfrm>
        <a:prstGeom prst="straightConnector1">
          <a:avLst/>
        </a:prstGeom>
        <a:ln>
          <a:solidFill>
            <a:srgbClr val="00B05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231279</xdr:colOff>
      <xdr:row>74</xdr:row>
      <xdr:rowOff>222361</xdr:rowOff>
    </xdr:from>
    <xdr:to>
      <xdr:col>30</xdr:col>
      <xdr:colOff>129209</xdr:colOff>
      <xdr:row>74</xdr:row>
      <xdr:rowOff>222361</xdr:rowOff>
    </xdr:to>
    <xdr:cxnSp macro="">
      <xdr:nvCxnSpPr>
        <xdr:cNvPr id="254" name="直線矢印コネクタ 253">
          <a:extLst>
            <a:ext uri="{FF2B5EF4-FFF2-40B4-BE49-F238E27FC236}">
              <a16:creationId xmlns:a16="http://schemas.microsoft.com/office/drawing/2014/main" id="{2C7BA1F7-08F5-4336-92D5-570F2BD07823}"/>
            </a:ext>
          </a:extLst>
        </xdr:cNvPr>
        <xdr:cNvCxnSpPr/>
      </xdr:nvCxnSpPr>
      <xdr:spPr>
        <a:xfrm>
          <a:off x="8027125" y="18114707"/>
          <a:ext cx="454776" cy="0"/>
        </a:xfrm>
        <a:prstGeom prst="straightConnector1">
          <a:avLst/>
        </a:prstGeom>
        <a:ln>
          <a:solidFill>
            <a:srgbClr val="00B05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234851</xdr:colOff>
      <xdr:row>77</xdr:row>
      <xdr:rowOff>80679</xdr:rowOff>
    </xdr:from>
    <xdr:to>
      <xdr:col>30</xdr:col>
      <xdr:colOff>132781</xdr:colOff>
      <xdr:row>77</xdr:row>
      <xdr:rowOff>80679</xdr:rowOff>
    </xdr:to>
    <xdr:cxnSp macro="">
      <xdr:nvCxnSpPr>
        <xdr:cNvPr id="255" name="直線矢印コネクタ 254">
          <a:extLst>
            <a:ext uri="{FF2B5EF4-FFF2-40B4-BE49-F238E27FC236}">
              <a16:creationId xmlns:a16="http://schemas.microsoft.com/office/drawing/2014/main" id="{85416DD2-1BB4-4110-9B89-3CF07F166F06}"/>
            </a:ext>
          </a:extLst>
        </xdr:cNvPr>
        <xdr:cNvCxnSpPr/>
      </xdr:nvCxnSpPr>
      <xdr:spPr>
        <a:xfrm>
          <a:off x="8030697" y="18698391"/>
          <a:ext cx="454776" cy="0"/>
        </a:xfrm>
        <a:prstGeom prst="straightConnector1">
          <a:avLst/>
        </a:prstGeom>
        <a:ln>
          <a:solidFill>
            <a:srgbClr val="00B05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232469</xdr:colOff>
      <xdr:row>79</xdr:row>
      <xdr:rowOff>158380</xdr:rowOff>
    </xdr:from>
    <xdr:to>
      <xdr:col>30</xdr:col>
      <xdr:colOff>130399</xdr:colOff>
      <xdr:row>79</xdr:row>
      <xdr:rowOff>158380</xdr:rowOff>
    </xdr:to>
    <xdr:cxnSp macro="">
      <xdr:nvCxnSpPr>
        <xdr:cNvPr id="256" name="直線矢印コネクタ 255">
          <a:extLst>
            <a:ext uri="{FF2B5EF4-FFF2-40B4-BE49-F238E27FC236}">
              <a16:creationId xmlns:a16="http://schemas.microsoft.com/office/drawing/2014/main" id="{856CBC5E-FFC8-4F5B-B3F9-F61C43759C3C}"/>
            </a:ext>
          </a:extLst>
        </xdr:cNvPr>
        <xdr:cNvCxnSpPr/>
      </xdr:nvCxnSpPr>
      <xdr:spPr>
        <a:xfrm>
          <a:off x="8028315" y="19259668"/>
          <a:ext cx="454776" cy="0"/>
        </a:xfrm>
        <a:prstGeom prst="straightConnector1">
          <a:avLst/>
        </a:prstGeom>
        <a:ln>
          <a:solidFill>
            <a:srgbClr val="00B05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236041</xdr:colOff>
      <xdr:row>82</xdr:row>
      <xdr:rowOff>34700</xdr:rowOff>
    </xdr:from>
    <xdr:to>
      <xdr:col>30</xdr:col>
      <xdr:colOff>133971</xdr:colOff>
      <xdr:row>82</xdr:row>
      <xdr:rowOff>34700</xdr:rowOff>
    </xdr:to>
    <xdr:cxnSp macro="">
      <xdr:nvCxnSpPr>
        <xdr:cNvPr id="257" name="直線矢印コネクタ 256">
          <a:extLst>
            <a:ext uri="{FF2B5EF4-FFF2-40B4-BE49-F238E27FC236}">
              <a16:creationId xmlns:a16="http://schemas.microsoft.com/office/drawing/2014/main" id="{2F6B7A0D-A726-4FFC-8AC2-5393CCB5DF5E}"/>
            </a:ext>
          </a:extLst>
        </xdr:cNvPr>
        <xdr:cNvCxnSpPr/>
      </xdr:nvCxnSpPr>
      <xdr:spPr>
        <a:xfrm>
          <a:off x="8031887" y="19861354"/>
          <a:ext cx="454776" cy="0"/>
        </a:xfrm>
        <a:prstGeom prst="straightConnector1">
          <a:avLst/>
        </a:prstGeom>
        <a:ln>
          <a:solidFill>
            <a:srgbClr val="00B05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233660</xdr:colOff>
      <xdr:row>84</xdr:row>
      <xdr:rowOff>164792</xdr:rowOff>
    </xdr:from>
    <xdr:to>
      <xdr:col>30</xdr:col>
      <xdr:colOff>131590</xdr:colOff>
      <xdr:row>84</xdr:row>
      <xdr:rowOff>164792</xdr:rowOff>
    </xdr:to>
    <xdr:cxnSp macro="">
      <xdr:nvCxnSpPr>
        <xdr:cNvPr id="258" name="直線矢印コネクタ 257">
          <a:extLst>
            <a:ext uri="{FF2B5EF4-FFF2-40B4-BE49-F238E27FC236}">
              <a16:creationId xmlns:a16="http://schemas.microsoft.com/office/drawing/2014/main" id="{B0D1A777-EDD7-4FB0-81E8-8910F1C0EE77}"/>
            </a:ext>
          </a:extLst>
        </xdr:cNvPr>
        <xdr:cNvCxnSpPr/>
      </xdr:nvCxnSpPr>
      <xdr:spPr>
        <a:xfrm>
          <a:off x="8029506" y="20475023"/>
          <a:ext cx="454776" cy="0"/>
        </a:xfrm>
        <a:prstGeom prst="straightConnector1">
          <a:avLst/>
        </a:prstGeom>
        <a:ln>
          <a:solidFill>
            <a:srgbClr val="00B05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31179</xdr:colOff>
      <xdr:row>66</xdr:row>
      <xdr:rowOff>162220</xdr:rowOff>
    </xdr:from>
    <xdr:to>
      <xdr:col>32</xdr:col>
      <xdr:colOff>5749</xdr:colOff>
      <xdr:row>66</xdr:row>
      <xdr:rowOff>162220</xdr:rowOff>
    </xdr:to>
    <xdr:cxnSp macro="">
      <xdr:nvCxnSpPr>
        <xdr:cNvPr id="259" name="直線矢印コネクタ 258">
          <a:extLst>
            <a:ext uri="{FF2B5EF4-FFF2-40B4-BE49-F238E27FC236}">
              <a16:creationId xmlns:a16="http://schemas.microsoft.com/office/drawing/2014/main" id="{35B3068B-037E-4BE9-A865-B5396CD19A3E}"/>
            </a:ext>
          </a:extLst>
        </xdr:cNvPr>
        <xdr:cNvCxnSpPr/>
      </xdr:nvCxnSpPr>
      <xdr:spPr>
        <a:xfrm>
          <a:off x="8105448" y="16120258"/>
          <a:ext cx="809839"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34493</xdr:colOff>
      <xdr:row>69</xdr:row>
      <xdr:rowOff>44750</xdr:rowOff>
    </xdr:from>
    <xdr:to>
      <xdr:col>31</xdr:col>
      <xdr:colOff>267607</xdr:colOff>
      <xdr:row>69</xdr:row>
      <xdr:rowOff>44750</xdr:rowOff>
    </xdr:to>
    <xdr:cxnSp macro="">
      <xdr:nvCxnSpPr>
        <xdr:cNvPr id="260" name="直線矢印コネクタ 259">
          <a:extLst>
            <a:ext uri="{FF2B5EF4-FFF2-40B4-BE49-F238E27FC236}">
              <a16:creationId xmlns:a16="http://schemas.microsoft.com/office/drawing/2014/main" id="{80D80E25-9F8B-4F43-ABBE-DD1D9FFBD607}"/>
            </a:ext>
          </a:extLst>
        </xdr:cNvPr>
        <xdr:cNvCxnSpPr/>
      </xdr:nvCxnSpPr>
      <xdr:spPr>
        <a:xfrm>
          <a:off x="8108762" y="16728154"/>
          <a:ext cx="789960"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37805</xdr:colOff>
      <xdr:row>71</xdr:row>
      <xdr:rowOff>138851</xdr:rowOff>
    </xdr:from>
    <xdr:to>
      <xdr:col>31</xdr:col>
      <xdr:colOff>275890</xdr:colOff>
      <xdr:row>71</xdr:row>
      <xdr:rowOff>138851</xdr:rowOff>
    </xdr:to>
    <xdr:cxnSp macro="">
      <xdr:nvCxnSpPr>
        <xdr:cNvPr id="261" name="直線矢印コネクタ 260">
          <a:extLst>
            <a:ext uri="{FF2B5EF4-FFF2-40B4-BE49-F238E27FC236}">
              <a16:creationId xmlns:a16="http://schemas.microsoft.com/office/drawing/2014/main" id="{181AAAB1-8971-4610-A141-A9D0B659A9D6}"/>
            </a:ext>
          </a:extLst>
        </xdr:cNvPr>
        <xdr:cNvCxnSpPr/>
      </xdr:nvCxnSpPr>
      <xdr:spPr>
        <a:xfrm>
          <a:off x="8112074" y="17305832"/>
          <a:ext cx="794931"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41118</xdr:colOff>
      <xdr:row>74</xdr:row>
      <xdr:rowOff>16170</xdr:rowOff>
    </xdr:from>
    <xdr:to>
      <xdr:col>31</xdr:col>
      <xdr:colOff>275890</xdr:colOff>
      <xdr:row>74</xdr:row>
      <xdr:rowOff>16170</xdr:rowOff>
    </xdr:to>
    <xdr:cxnSp macro="">
      <xdr:nvCxnSpPr>
        <xdr:cNvPr id="262" name="直線矢印コネクタ 261">
          <a:extLst>
            <a:ext uri="{FF2B5EF4-FFF2-40B4-BE49-F238E27FC236}">
              <a16:creationId xmlns:a16="http://schemas.microsoft.com/office/drawing/2014/main" id="{E4128AC3-3480-417F-8465-052D1AEDA77E}"/>
            </a:ext>
          </a:extLst>
        </xdr:cNvPr>
        <xdr:cNvCxnSpPr/>
      </xdr:nvCxnSpPr>
      <xdr:spPr>
        <a:xfrm>
          <a:off x="8115387" y="17908516"/>
          <a:ext cx="791618"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32778</xdr:colOff>
      <xdr:row>76</xdr:row>
      <xdr:rowOff>119703</xdr:rowOff>
    </xdr:from>
    <xdr:to>
      <xdr:col>31</xdr:col>
      <xdr:colOff>267607</xdr:colOff>
      <xdr:row>76</xdr:row>
      <xdr:rowOff>119703</xdr:rowOff>
    </xdr:to>
    <xdr:cxnSp macro="">
      <xdr:nvCxnSpPr>
        <xdr:cNvPr id="263" name="直線矢印コネクタ 262">
          <a:extLst>
            <a:ext uri="{FF2B5EF4-FFF2-40B4-BE49-F238E27FC236}">
              <a16:creationId xmlns:a16="http://schemas.microsoft.com/office/drawing/2014/main" id="{DEEF5B97-E9CC-4F41-B0F1-5C0C980626D2}"/>
            </a:ext>
          </a:extLst>
        </xdr:cNvPr>
        <xdr:cNvCxnSpPr/>
      </xdr:nvCxnSpPr>
      <xdr:spPr>
        <a:xfrm>
          <a:off x="8107047" y="18495626"/>
          <a:ext cx="791675"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29523</xdr:colOff>
      <xdr:row>78</xdr:row>
      <xdr:rowOff>217467</xdr:rowOff>
    </xdr:from>
    <xdr:to>
      <xdr:col>31</xdr:col>
      <xdr:colOff>259325</xdr:colOff>
      <xdr:row>78</xdr:row>
      <xdr:rowOff>217467</xdr:rowOff>
    </xdr:to>
    <xdr:cxnSp macro="">
      <xdr:nvCxnSpPr>
        <xdr:cNvPr id="264" name="直線矢印コネクタ 263">
          <a:extLst>
            <a:ext uri="{FF2B5EF4-FFF2-40B4-BE49-F238E27FC236}">
              <a16:creationId xmlns:a16="http://schemas.microsoft.com/office/drawing/2014/main" id="{698B1673-3B06-4B8F-94D6-BA0463DF991B}"/>
            </a:ext>
          </a:extLst>
        </xdr:cNvPr>
        <xdr:cNvCxnSpPr/>
      </xdr:nvCxnSpPr>
      <xdr:spPr>
        <a:xfrm>
          <a:off x="8103792" y="19076967"/>
          <a:ext cx="786648"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32835</xdr:colOff>
      <xdr:row>81</xdr:row>
      <xdr:rowOff>91122</xdr:rowOff>
    </xdr:from>
    <xdr:to>
      <xdr:col>31</xdr:col>
      <xdr:colOff>267607</xdr:colOff>
      <xdr:row>81</xdr:row>
      <xdr:rowOff>91122</xdr:rowOff>
    </xdr:to>
    <xdr:cxnSp macro="">
      <xdr:nvCxnSpPr>
        <xdr:cNvPr id="265" name="直線矢印コネクタ 264">
          <a:extLst>
            <a:ext uri="{FF2B5EF4-FFF2-40B4-BE49-F238E27FC236}">
              <a16:creationId xmlns:a16="http://schemas.microsoft.com/office/drawing/2014/main" id="{1C4C160B-FE39-4485-BE79-A044229E56D1}"/>
            </a:ext>
          </a:extLst>
        </xdr:cNvPr>
        <xdr:cNvCxnSpPr/>
      </xdr:nvCxnSpPr>
      <xdr:spPr>
        <a:xfrm>
          <a:off x="8107104" y="19675987"/>
          <a:ext cx="791618"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36148</xdr:colOff>
      <xdr:row>83</xdr:row>
      <xdr:rowOff>209503</xdr:rowOff>
    </xdr:from>
    <xdr:to>
      <xdr:col>32</xdr:col>
      <xdr:colOff>5749</xdr:colOff>
      <xdr:row>83</xdr:row>
      <xdr:rowOff>209503</xdr:rowOff>
    </xdr:to>
    <xdr:cxnSp macro="">
      <xdr:nvCxnSpPr>
        <xdr:cNvPr id="266" name="直線矢印コネクタ 265">
          <a:extLst>
            <a:ext uri="{FF2B5EF4-FFF2-40B4-BE49-F238E27FC236}">
              <a16:creationId xmlns:a16="http://schemas.microsoft.com/office/drawing/2014/main" id="{DDAA2344-F74D-4D6D-B380-87214C49DC0E}"/>
            </a:ext>
          </a:extLst>
        </xdr:cNvPr>
        <xdr:cNvCxnSpPr/>
      </xdr:nvCxnSpPr>
      <xdr:spPr>
        <a:xfrm>
          <a:off x="8110417" y="20277945"/>
          <a:ext cx="804870"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164072</xdr:colOff>
      <xdr:row>66</xdr:row>
      <xdr:rowOff>52920</xdr:rowOff>
    </xdr:from>
    <xdr:to>
      <xdr:col>29</xdr:col>
      <xdr:colOff>114766</xdr:colOff>
      <xdr:row>68</xdr:row>
      <xdr:rowOff>23195</xdr:rowOff>
    </xdr:to>
    <xdr:sp macro="" textlink="">
      <xdr:nvSpPr>
        <xdr:cNvPr id="153" name="正方形/長方形 152">
          <a:extLst>
            <a:ext uri="{FF2B5EF4-FFF2-40B4-BE49-F238E27FC236}">
              <a16:creationId xmlns:a16="http://schemas.microsoft.com/office/drawing/2014/main" id="{A614DC8A-CA65-4FC1-BA8C-ACF953920776}"/>
            </a:ext>
          </a:extLst>
        </xdr:cNvPr>
        <xdr:cNvSpPr/>
      </xdr:nvSpPr>
      <xdr:spPr>
        <a:xfrm>
          <a:off x="7345922" y="15769170"/>
          <a:ext cx="779369" cy="446525"/>
        </a:xfrm>
        <a:prstGeom prst="rect">
          <a:avLst/>
        </a:prstGeom>
        <a:solidFill>
          <a:schemeClr val="accent5">
            <a:lumMod val="20000"/>
            <a:lumOff val="80000"/>
          </a:schemeClr>
        </a:solidFill>
        <a:ln>
          <a:solidFill>
            <a:schemeClr val="tx1"/>
          </a:solidFill>
          <a:headEnd type="none"/>
          <a:tailEnd w="sm"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AWG 8</a:t>
          </a:r>
          <a:endParaRPr kumimoji="1" lang="ja-JP" altLang="en-US" sz="1200">
            <a:solidFill>
              <a:schemeClr val="tx1"/>
            </a:solidFill>
          </a:endParaRPr>
        </a:p>
      </xdr:txBody>
    </xdr:sp>
    <xdr:clientData/>
  </xdr:twoCellAnchor>
  <xdr:twoCellAnchor>
    <xdr:from>
      <xdr:col>26</xdr:col>
      <xdr:colOff>159103</xdr:colOff>
      <xdr:row>68</xdr:row>
      <xdr:rowOff>147642</xdr:rowOff>
    </xdr:from>
    <xdr:to>
      <xdr:col>29</xdr:col>
      <xdr:colOff>101793</xdr:colOff>
      <xdr:row>70</xdr:row>
      <xdr:rowOff>119444</xdr:rowOff>
    </xdr:to>
    <xdr:sp macro="" textlink="">
      <xdr:nvSpPr>
        <xdr:cNvPr id="154" name="正方形/長方形 153">
          <a:extLst>
            <a:ext uri="{FF2B5EF4-FFF2-40B4-BE49-F238E27FC236}">
              <a16:creationId xmlns:a16="http://schemas.microsoft.com/office/drawing/2014/main" id="{3490919B-E3BB-468F-AA41-B9C8A666669B}"/>
            </a:ext>
          </a:extLst>
        </xdr:cNvPr>
        <xdr:cNvSpPr/>
      </xdr:nvSpPr>
      <xdr:spPr>
        <a:xfrm>
          <a:off x="7340953" y="16340142"/>
          <a:ext cx="771365" cy="448052"/>
        </a:xfrm>
        <a:prstGeom prst="rect">
          <a:avLst/>
        </a:prstGeom>
        <a:solidFill>
          <a:schemeClr val="accent5">
            <a:lumMod val="20000"/>
            <a:lumOff val="80000"/>
          </a:schemeClr>
        </a:solidFill>
        <a:ln>
          <a:solidFill>
            <a:schemeClr val="tx1"/>
          </a:solidFill>
          <a:headEnd type="none"/>
          <a:tailEnd w="sm"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AWG 9</a:t>
          </a:r>
          <a:endParaRPr kumimoji="1" lang="ja-JP" altLang="en-US" sz="1200">
            <a:solidFill>
              <a:schemeClr val="tx1"/>
            </a:solidFill>
          </a:endParaRPr>
        </a:p>
      </xdr:txBody>
    </xdr:sp>
    <xdr:clientData/>
  </xdr:twoCellAnchor>
  <xdr:twoCellAnchor>
    <xdr:from>
      <xdr:col>26</xdr:col>
      <xdr:colOff>162415</xdr:colOff>
      <xdr:row>71</xdr:row>
      <xdr:rowOff>36666</xdr:rowOff>
    </xdr:from>
    <xdr:to>
      <xdr:col>29</xdr:col>
      <xdr:colOff>113109</xdr:colOff>
      <xdr:row>72</xdr:row>
      <xdr:rowOff>223214</xdr:rowOff>
    </xdr:to>
    <xdr:sp macro="" textlink="">
      <xdr:nvSpPr>
        <xdr:cNvPr id="155" name="正方形/長方形 154">
          <a:extLst>
            <a:ext uri="{FF2B5EF4-FFF2-40B4-BE49-F238E27FC236}">
              <a16:creationId xmlns:a16="http://schemas.microsoft.com/office/drawing/2014/main" id="{25ECE817-B289-44BE-A37F-CE1209B7A5C2}"/>
            </a:ext>
          </a:extLst>
        </xdr:cNvPr>
        <xdr:cNvSpPr/>
      </xdr:nvSpPr>
      <xdr:spPr>
        <a:xfrm>
          <a:off x="7344265" y="16943541"/>
          <a:ext cx="779369" cy="424673"/>
        </a:xfrm>
        <a:prstGeom prst="rect">
          <a:avLst/>
        </a:prstGeom>
        <a:solidFill>
          <a:schemeClr val="accent5">
            <a:lumMod val="20000"/>
            <a:lumOff val="80000"/>
          </a:schemeClr>
        </a:solidFill>
        <a:ln>
          <a:solidFill>
            <a:schemeClr val="tx1"/>
          </a:solidFill>
          <a:headEnd type="none"/>
          <a:tailEnd w="sm"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AWG 10</a:t>
          </a:r>
          <a:endParaRPr kumimoji="1" lang="ja-JP" altLang="en-US" sz="1200">
            <a:solidFill>
              <a:schemeClr val="tx1"/>
            </a:solidFill>
          </a:endParaRPr>
        </a:p>
      </xdr:txBody>
    </xdr:sp>
    <xdr:clientData/>
  </xdr:twoCellAnchor>
  <xdr:twoCellAnchor>
    <xdr:from>
      <xdr:col>26</xdr:col>
      <xdr:colOff>165728</xdr:colOff>
      <xdr:row>73</xdr:row>
      <xdr:rowOff>129527</xdr:rowOff>
    </xdr:from>
    <xdr:to>
      <xdr:col>29</xdr:col>
      <xdr:colOff>116422</xdr:colOff>
      <xdr:row>75</xdr:row>
      <xdr:rowOff>99801</xdr:rowOff>
    </xdr:to>
    <xdr:sp macro="" textlink="">
      <xdr:nvSpPr>
        <xdr:cNvPr id="156" name="正方形/長方形 155">
          <a:extLst>
            <a:ext uri="{FF2B5EF4-FFF2-40B4-BE49-F238E27FC236}">
              <a16:creationId xmlns:a16="http://schemas.microsoft.com/office/drawing/2014/main" id="{19688B2C-8380-4D94-AACA-103C3DCD4E5A}"/>
            </a:ext>
          </a:extLst>
        </xdr:cNvPr>
        <xdr:cNvSpPr/>
      </xdr:nvSpPr>
      <xdr:spPr>
        <a:xfrm>
          <a:off x="7347578" y="17512652"/>
          <a:ext cx="779369" cy="446524"/>
        </a:xfrm>
        <a:prstGeom prst="rect">
          <a:avLst/>
        </a:prstGeom>
        <a:solidFill>
          <a:schemeClr val="accent5">
            <a:lumMod val="20000"/>
            <a:lumOff val="80000"/>
          </a:schemeClr>
        </a:solidFill>
        <a:ln>
          <a:solidFill>
            <a:schemeClr val="tx1"/>
          </a:solidFill>
          <a:headEnd type="none"/>
          <a:tailEnd w="sm"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AWG 11</a:t>
          </a:r>
          <a:endParaRPr kumimoji="1" lang="ja-JP" altLang="en-US" sz="1200">
            <a:solidFill>
              <a:schemeClr val="tx1"/>
            </a:solidFill>
          </a:endParaRPr>
        </a:p>
      </xdr:txBody>
    </xdr:sp>
    <xdr:clientData/>
  </xdr:twoCellAnchor>
  <xdr:twoCellAnchor>
    <xdr:from>
      <xdr:col>26</xdr:col>
      <xdr:colOff>159102</xdr:colOff>
      <xdr:row>75</xdr:row>
      <xdr:rowOff>232119</xdr:rowOff>
    </xdr:from>
    <xdr:to>
      <xdr:col>29</xdr:col>
      <xdr:colOff>101792</xdr:colOff>
      <xdr:row>77</xdr:row>
      <xdr:rowOff>203922</xdr:rowOff>
    </xdr:to>
    <xdr:sp macro="" textlink="">
      <xdr:nvSpPr>
        <xdr:cNvPr id="158" name="正方形/長方形 157">
          <a:extLst>
            <a:ext uri="{FF2B5EF4-FFF2-40B4-BE49-F238E27FC236}">
              <a16:creationId xmlns:a16="http://schemas.microsoft.com/office/drawing/2014/main" id="{9359B5AF-62FE-4874-A7AB-C36EEAC7B6BA}"/>
            </a:ext>
          </a:extLst>
        </xdr:cNvPr>
        <xdr:cNvSpPr/>
      </xdr:nvSpPr>
      <xdr:spPr>
        <a:xfrm>
          <a:off x="7340952" y="18091494"/>
          <a:ext cx="771365" cy="448053"/>
        </a:xfrm>
        <a:prstGeom prst="rect">
          <a:avLst/>
        </a:prstGeom>
        <a:solidFill>
          <a:schemeClr val="accent5">
            <a:lumMod val="20000"/>
            <a:lumOff val="80000"/>
          </a:schemeClr>
        </a:solidFill>
        <a:ln>
          <a:solidFill>
            <a:schemeClr val="tx1"/>
          </a:solidFill>
          <a:headEnd type="none"/>
          <a:tailEnd w="sm"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AWG 12</a:t>
          </a:r>
          <a:endParaRPr kumimoji="1" lang="ja-JP" altLang="en-US" sz="1200">
            <a:solidFill>
              <a:schemeClr val="tx1"/>
            </a:solidFill>
          </a:endParaRPr>
        </a:p>
      </xdr:txBody>
    </xdr:sp>
    <xdr:clientData/>
  </xdr:twoCellAnchor>
  <xdr:twoCellAnchor>
    <xdr:from>
      <xdr:col>26</xdr:col>
      <xdr:colOff>154133</xdr:colOff>
      <xdr:row>78</xdr:row>
      <xdr:rowOff>102095</xdr:rowOff>
    </xdr:from>
    <xdr:to>
      <xdr:col>29</xdr:col>
      <xdr:colOff>92901</xdr:colOff>
      <xdr:row>80</xdr:row>
      <xdr:rowOff>69567</xdr:rowOff>
    </xdr:to>
    <xdr:sp macro="" textlink="">
      <xdr:nvSpPr>
        <xdr:cNvPr id="160" name="正方形/長方形 159">
          <a:extLst>
            <a:ext uri="{FF2B5EF4-FFF2-40B4-BE49-F238E27FC236}">
              <a16:creationId xmlns:a16="http://schemas.microsoft.com/office/drawing/2014/main" id="{AC0930D8-E335-427C-9623-174AEBFD46FC}"/>
            </a:ext>
          </a:extLst>
        </xdr:cNvPr>
        <xdr:cNvSpPr/>
      </xdr:nvSpPr>
      <xdr:spPr>
        <a:xfrm>
          <a:off x="7335983" y="18675845"/>
          <a:ext cx="767443" cy="443722"/>
        </a:xfrm>
        <a:prstGeom prst="rect">
          <a:avLst/>
        </a:prstGeom>
        <a:solidFill>
          <a:schemeClr val="accent5">
            <a:lumMod val="20000"/>
            <a:lumOff val="80000"/>
          </a:schemeClr>
        </a:solidFill>
        <a:ln>
          <a:solidFill>
            <a:schemeClr val="tx1"/>
          </a:solidFill>
          <a:headEnd type="none"/>
          <a:tailEnd w="sm"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AWG 13</a:t>
          </a:r>
          <a:endParaRPr kumimoji="1" lang="ja-JP" altLang="en-US" sz="1200">
            <a:solidFill>
              <a:schemeClr val="tx1"/>
            </a:solidFill>
          </a:endParaRPr>
        </a:p>
      </xdr:txBody>
    </xdr:sp>
    <xdr:clientData/>
  </xdr:twoCellAnchor>
  <xdr:twoCellAnchor>
    <xdr:from>
      <xdr:col>26</xdr:col>
      <xdr:colOff>157445</xdr:colOff>
      <xdr:row>80</xdr:row>
      <xdr:rowOff>221135</xdr:rowOff>
    </xdr:from>
    <xdr:to>
      <xdr:col>29</xdr:col>
      <xdr:colOff>96213</xdr:colOff>
      <xdr:row>82</xdr:row>
      <xdr:rowOff>184279</xdr:rowOff>
    </xdr:to>
    <xdr:sp macro="" textlink="">
      <xdr:nvSpPr>
        <xdr:cNvPr id="161" name="正方形/長方形 160">
          <a:extLst>
            <a:ext uri="{FF2B5EF4-FFF2-40B4-BE49-F238E27FC236}">
              <a16:creationId xmlns:a16="http://schemas.microsoft.com/office/drawing/2014/main" id="{D66EFA75-0950-48E2-A508-E3AE1773A5A7}"/>
            </a:ext>
          </a:extLst>
        </xdr:cNvPr>
        <xdr:cNvSpPr/>
      </xdr:nvSpPr>
      <xdr:spPr>
        <a:xfrm>
          <a:off x="7339295" y="19271135"/>
          <a:ext cx="767443" cy="439394"/>
        </a:xfrm>
        <a:prstGeom prst="rect">
          <a:avLst/>
        </a:prstGeom>
        <a:solidFill>
          <a:schemeClr val="accent5">
            <a:lumMod val="20000"/>
            <a:lumOff val="80000"/>
          </a:schemeClr>
        </a:solidFill>
        <a:ln>
          <a:solidFill>
            <a:schemeClr val="tx1"/>
          </a:solidFill>
          <a:headEnd type="none"/>
          <a:tailEnd w="sm"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AWG 14</a:t>
          </a:r>
          <a:endParaRPr kumimoji="1" lang="ja-JP" altLang="en-US" sz="1200">
            <a:solidFill>
              <a:schemeClr val="tx1"/>
            </a:solidFill>
          </a:endParaRPr>
        </a:p>
      </xdr:txBody>
    </xdr:sp>
    <xdr:clientData/>
  </xdr:twoCellAnchor>
  <xdr:twoCellAnchor>
    <xdr:from>
      <xdr:col>26</xdr:col>
      <xdr:colOff>160758</xdr:colOff>
      <xdr:row>83</xdr:row>
      <xdr:rowOff>62318</xdr:rowOff>
    </xdr:from>
    <xdr:to>
      <xdr:col>29</xdr:col>
      <xdr:colOff>103448</xdr:colOff>
      <xdr:row>85</xdr:row>
      <xdr:rowOff>79115</xdr:rowOff>
    </xdr:to>
    <xdr:sp macro="" textlink="">
      <xdr:nvSpPr>
        <xdr:cNvPr id="162" name="正方形/長方形 161">
          <a:extLst>
            <a:ext uri="{FF2B5EF4-FFF2-40B4-BE49-F238E27FC236}">
              <a16:creationId xmlns:a16="http://schemas.microsoft.com/office/drawing/2014/main" id="{90DE8969-AE8E-4F70-B1F3-5019C420214B}"/>
            </a:ext>
          </a:extLst>
        </xdr:cNvPr>
        <xdr:cNvSpPr/>
      </xdr:nvSpPr>
      <xdr:spPr>
        <a:xfrm>
          <a:off x="7342608" y="19826693"/>
          <a:ext cx="771365" cy="493047"/>
        </a:xfrm>
        <a:prstGeom prst="rect">
          <a:avLst/>
        </a:prstGeom>
        <a:solidFill>
          <a:schemeClr val="accent5">
            <a:lumMod val="20000"/>
            <a:lumOff val="80000"/>
          </a:schemeClr>
        </a:solidFill>
        <a:ln>
          <a:solidFill>
            <a:schemeClr val="tx1"/>
          </a:solidFill>
          <a:headEnd type="none"/>
          <a:tailEnd w="sm"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AWG 15</a:t>
          </a:r>
          <a:endParaRPr kumimoji="1" lang="ja-JP" altLang="en-US" sz="1200">
            <a:solidFill>
              <a:schemeClr val="tx1"/>
            </a:solidFill>
          </a:endParaRPr>
        </a:p>
      </xdr:txBody>
    </xdr:sp>
    <xdr:clientData/>
  </xdr:twoCellAnchor>
  <xdr:twoCellAnchor>
    <xdr:from>
      <xdr:col>25</xdr:col>
      <xdr:colOff>5159</xdr:colOff>
      <xdr:row>19</xdr:row>
      <xdr:rowOff>219808</xdr:rowOff>
    </xdr:from>
    <xdr:to>
      <xdr:col>25</xdr:col>
      <xdr:colOff>5159</xdr:colOff>
      <xdr:row>26</xdr:row>
      <xdr:rowOff>80596</xdr:rowOff>
    </xdr:to>
    <xdr:cxnSp macro="">
      <xdr:nvCxnSpPr>
        <xdr:cNvPr id="140" name="直線コネクタ 139">
          <a:extLst>
            <a:ext uri="{FF2B5EF4-FFF2-40B4-BE49-F238E27FC236}">
              <a16:creationId xmlns:a16="http://schemas.microsoft.com/office/drawing/2014/main" id="{53ABAABE-C86C-49A7-A3C2-5AC81D0FFFCA}"/>
            </a:ext>
          </a:extLst>
        </xdr:cNvPr>
        <xdr:cNvCxnSpPr/>
      </xdr:nvCxnSpPr>
      <xdr:spPr>
        <a:xfrm>
          <a:off x="6910784" y="4744183"/>
          <a:ext cx="0" cy="1527663"/>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189760</xdr:colOff>
      <xdr:row>26</xdr:row>
      <xdr:rowOff>14625</xdr:rowOff>
    </xdr:from>
    <xdr:to>
      <xdr:col>24</xdr:col>
      <xdr:colOff>266700</xdr:colOff>
      <xdr:row>26</xdr:row>
      <xdr:rowOff>14625</xdr:rowOff>
    </xdr:to>
    <xdr:cxnSp macro="">
      <xdr:nvCxnSpPr>
        <xdr:cNvPr id="151" name="直線矢印コネクタ 150">
          <a:extLst>
            <a:ext uri="{FF2B5EF4-FFF2-40B4-BE49-F238E27FC236}">
              <a16:creationId xmlns:a16="http://schemas.microsoft.com/office/drawing/2014/main" id="{4C3B503A-491F-4FEA-B03D-F6228DD8ACEA}"/>
            </a:ext>
          </a:extLst>
        </xdr:cNvPr>
        <xdr:cNvCxnSpPr/>
      </xdr:nvCxnSpPr>
      <xdr:spPr>
        <a:xfrm>
          <a:off x="6542935" y="6205875"/>
          <a:ext cx="353165"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44931</xdr:colOff>
      <xdr:row>21</xdr:row>
      <xdr:rowOff>88958</xdr:rowOff>
    </xdr:from>
    <xdr:to>
      <xdr:col>23</xdr:col>
      <xdr:colOff>184639</xdr:colOff>
      <xdr:row>23</xdr:row>
      <xdr:rowOff>126023</xdr:rowOff>
    </xdr:to>
    <xdr:sp macro="" textlink="">
      <xdr:nvSpPr>
        <xdr:cNvPr id="127" name="正方形/長方形 126">
          <a:extLst>
            <a:ext uri="{FF2B5EF4-FFF2-40B4-BE49-F238E27FC236}">
              <a16:creationId xmlns:a16="http://schemas.microsoft.com/office/drawing/2014/main" id="{F92B5A6A-3FEE-4696-82FE-DA629C9986E9}"/>
            </a:ext>
          </a:extLst>
        </xdr:cNvPr>
        <xdr:cNvSpPr/>
      </xdr:nvSpPr>
      <xdr:spPr>
        <a:xfrm>
          <a:off x="5647872" y="5030752"/>
          <a:ext cx="980149" cy="507712"/>
        </a:xfrm>
        <a:prstGeom prst="rect">
          <a:avLst/>
        </a:prstGeom>
        <a:solidFill>
          <a:schemeClr val="accent1">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波形データ</a:t>
          </a:r>
          <a:endParaRPr kumimoji="1" lang="en-US" altLang="ja-JP" sz="1100">
            <a:solidFill>
              <a:schemeClr val="tx1"/>
            </a:solidFill>
          </a:endParaRPr>
        </a:p>
        <a:p>
          <a:pPr algn="ctr"/>
          <a:r>
            <a:rPr kumimoji="1" lang="en-US" altLang="ja-JP" sz="1100">
              <a:solidFill>
                <a:schemeClr val="tx1"/>
              </a:solidFill>
            </a:rPr>
            <a:t>RAM 0</a:t>
          </a:r>
        </a:p>
      </xdr:txBody>
    </xdr:sp>
    <xdr:clientData/>
  </xdr:twoCellAnchor>
  <xdr:twoCellAnchor>
    <xdr:from>
      <xdr:col>20</xdr:col>
      <xdr:colOff>50792</xdr:colOff>
      <xdr:row>25</xdr:row>
      <xdr:rowOff>168088</xdr:rowOff>
    </xdr:from>
    <xdr:to>
      <xdr:col>23</xdr:col>
      <xdr:colOff>190500</xdr:colOff>
      <xdr:row>27</xdr:row>
      <xdr:rowOff>205154</xdr:rowOff>
    </xdr:to>
    <xdr:sp macro="" textlink="">
      <xdr:nvSpPr>
        <xdr:cNvPr id="178" name="正方形/長方形 177">
          <a:extLst>
            <a:ext uri="{FF2B5EF4-FFF2-40B4-BE49-F238E27FC236}">
              <a16:creationId xmlns:a16="http://schemas.microsoft.com/office/drawing/2014/main" id="{8304DB0E-531E-4855-96FB-0C4BE4D30D7E}"/>
            </a:ext>
          </a:extLst>
        </xdr:cNvPr>
        <xdr:cNvSpPr/>
      </xdr:nvSpPr>
      <xdr:spPr>
        <a:xfrm>
          <a:off x="5653733" y="6051176"/>
          <a:ext cx="980149" cy="507713"/>
        </a:xfrm>
        <a:prstGeom prst="rect">
          <a:avLst/>
        </a:prstGeom>
        <a:solidFill>
          <a:schemeClr val="accent1">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波形データ</a:t>
          </a:r>
          <a:endParaRPr kumimoji="1" lang="en-US" altLang="ja-JP" sz="1100">
            <a:solidFill>
              <a:schemeClr val="tx1"/>
            </a:solidFill>
          </a:endParaRPr>
        </a:p>
        <a:p>
          <a:pPr algn="ctr"/>
          <a:r>
            <a:rPr kumimoji="1" lang="en-US" altLang="ja-JP" sz="1100">
              <a:solidFill>
                <a:schemeClr val="tx1"/>
              </a:solidFill>
            </a:rPr>
            <a:t>RAM 15</a:t>
          </a:r>
        </a:p>
      </xdr:txBody>
    </xdr:sp>
    <xdr:clientData/>
  </xdr:twoCellAnchor>
  <xdr:twoCellAnchor>
    <xdr:from>
      <xdr:col>21</xdr:col>
      <xdr:colOff>87562</xdr:colOff>
      <xdr:row>23</xdr:row>
      <xdr:rowOff>115719</xdr:rowOff>
    </xdr:from>
    <xdr:to>
      <xdr:col>22</xdr:col>
      <xdr:colOff>78297</xdr:colOff>
      <xdr:row>25</xdr:row>
      <xdr:rowOff>179110</xdr:rowOff>
    </xdr:to>
    <xdr:sp macro="" textlink="">
      <xdr:nvSpPr>
        <xdr:cNvPr id="237" name="正方形/長方形 236">
          <a:extLst>
            <a:ext uri="{FF2B5EF4-FFF2-40B4-BE49-F238E27FC236}">
              <a16:creationId xmlns:a16="http://schemas.microsoft.com/office/drawing/2014/main" id="{36BD4575-4253-496F-843F-91685C397E04}"/>
            </a:ext>
          </a:extLst>
        </xdr:cNvPr>
        <xdr:cNvSpPr/>
      </xdr:nvSpPr>
      <xdr:spPr>
        <a:xfrm rot="5400000">
          <a:off x="5839072" y="5659738"/>
          <a:ext cx="534038" cy="2708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99801</xdr:colOff>
      <xdr:row>2</xdr:row>
      <xdr:rowOff>94130</xdr:rowOff>
    </xdr:from>
    <xdr:to>
      <xdr:col>4</xdr:col>
      <xdr:colOff>254043</xdr:colOff>
      <xdr:row>5</xdr:row>
      <xdr:rowOff>88057</xdr:rowOff>
    </xdr:to>
    <xdr:sp macro="" textlink="">
      <xdr:nvSpPr>
        <xdr:cNvPr id="53" name="正方形/長方形 52">
          <a:extLst>
            <a:ext uri="{FF2B5EF4-FFF2-40B4-BE49-F238E27FC236}">
              <a16:creationId xmlns:a16="http://schemas.microsoft.com/office/drawing/2014/main" id="{706213F7-5317-4DF1-8532-E9491843140A}"/>
            </a:ext>
          </a:extLst>
        </xdr:cNvPr>
        <xdr:cNvSpPr/>
      </xdr:nvSpPr>
      <xdr:spPr>
        <a:xfrm>
          <a:off x="1466919" y="564777"/>
          <a:ext cx="1521359" cy="699898"/>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chemeClr val="tx1"/>
              </a:solidFill>
            </a:rPr>
            <a:t>RESET</a:t>
          </a:r>
          <a:endParaRPr kumimoji="1" lang="ja-JP" altLang="en-US" sz="1400" b="1">
            <a:solidFill>
              <a:schemeClr val="tx1"/>
            </a:solidFill>
          </a:endParaRPr>
        </a:p>
      </xdr:txBody>
    </xdr:sp>
    <xdr:clientData/>
  </xdr:twoCellAnchor>
  <xdr:twoCellAnchor>
    <xdr:from>
      <xdr:col>2</xdr:col>
      <xdr:colOff>127190</xdr:colOff>
      <xdr:row>8</xdr:row>
      <xdr:rowOff>75192</xdr:rowOff>
    </xdr:from>
    <xdr:to>
      <xdr:col>4</xdr:col>
      <xdr:colOff>173331</xdr:colOff>
      <xdr:row>11</xdr:row>
      <xdr:rowOff>94129</xdr:rowOff>
    </xdr:to>
    <xdr:sp macro="" textlink="">
      <xdr:nvSpPr>
        <xdr:cNvPr id="54" name="正方形/長方形 53">
          <a:extLst>
            <a:ext uri="{FF2B5EF4-FFF2-40B4-BE49-F238E27FC236}">
              <a16:creationId xmlns:a16="http://schemas.microsoft.com/office/drawing/2014/main" id="{907DAC81-B032-4068-B7E7-209930A60E80}"/>
            </a:ext>
          </a:extLst>
        </xdr:cNvPr>
        <xdr:cNvSpPr/>
      </xdr:nvSpPr>
      <xdr:spPr>
        <a:xfrm>
          <a:off x="1494308" y="1957780"/>
          <a:ext cx="1413258" cy="724908"/>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chemeClr val="tx1"/>
              </a:solidFill>
            </a:rPr>
            <a:t>IDLE</a:t>
          </a:r>
        </a:p>
      </xdr:txBody>
    </xdr:sp>
    <xdr:clientData/>
  </xdr:twoCellAnchor>
  <xdr:twoCellAnchor>
    <xdr:from>
      <xdr:col>2</xdr:col>
      <xdr:colOff>547326</xdr:colOff>
      <xdr:row>5</xdr:row>
      <xdr:rowOff>82924</xdr:rowOff>
    </xdr:from>
    <xdr:to>
      <xdr:col>2</xdr:col>
      <xdr:colOff>547326</xdr:colOff>
      <xdr:row>8</xdr:row>
      <xdr:rowOff>83850</xdr:rowOff>
    </xdr:to>
    <xdr:cxnSp macro="">
      <xdr:nvCxnSpPr>
        <xdr:cNvPr id="55" name="直線矢印コネクタ 54">
          <a:extLst>
            <a:ext uri="{FF2B5EF4-FFF2-40B4-BE49-F238E27FC236}">
              <a16:creationId xmlns:a16="http://schemas.microsoft.com/office/drawing/2014/main" id="{9E6BE4B1-1C3D-457C-B652-4574A316652E}"/>
            </a:ext>
          </a:extLst>
        </xdr:cNvPr>
        <xdr:cNvCxnSpPr/>
      </xdr:nvCxnSpPr>
      <xdr:spPr>
        <a:xfrm>
          <a:off x="1914444" y="1259542"/>
          <a:ext cx="0" cy="70689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86725</xdr:colOff>
      <xdr:row>15</xdr:row>
      <xdr:rowOff>105331</xdr:rowOff>
    </xdr:from>
    <xdr:to>
      <xdr:col>4</xdr:col>
      <xdr:colOff>177334</xdr:colOff>
      <xdr:row>18</xdr:row>
      <xdr:rowOff>89644</xdr:rowOff>
    </xdr:to>
    <xdr:sp macro="" textlink="">
      <xdr:nvSpPr>
        <xdr:cNvPr id="57" name="正方形/長方形 56">
          <a:extLst>
            <a:ext uri="{FF2B5EF4-FFF2-40B4-BE49-F238E27FC236}">
              <a16:creationId xmlns:a16="http://schemas.microsoft.com/office/drawing/2014/main" id="{0C0E6730-B4AD-4BB6-A436-F8DC7CA4AE8E}"/>
            </a:ext>
          </a:extLst>
        </xdr:cNvPr>
        <xdr:cNvSpPr/>
      </xdr:nvSpPr>
      <xdr:spPr>
        <a:xfrm>
          <a:off x="1453843" y="3635184"/>
          <a:ext cx="1457726" cy="690284"/>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chemeClr val="tx1"/>
              </a:solidFill>
            </a:rPr>
            <a:t>PRELOAD</a:t>
          </a:r>
        </a:p>
      </xdr:txBody>
    </xdr:sp>
    <xdr:clientData/>
  </xdr:twoCellAnchor>
  <xdr:twoCellAnchor>
    <xdr:from>
      <xdr:col>3</xdr:col>
      <xdr:colOff>132028</xdr:colOff>
      <xdr:row>11</xdr:row>
      <xdr:rowOff>94129</xdr:rowOff>
    </xdr:from>
    <xdr:to>
      <xdr:col>3</xdr:col>
      <xdr:colOff>132028</xdr:colOff>
      <xdr:row>15</xdr:row>
      <xdr:rowOff>105331</xdr:rowOff>
    </xdr:to>
    <xdr:cxnSp macro="">
      <xdr:nvCxnSpPr>
        <xdr:cNvPr id="58" name="直線矢印コネクタ 57">
          <a:extLst>
            <a:ext uri="{FF2B5EF4-FFF2-40B4-BE49-F238E27FC236}">
              <a16:creationId xmlns:a16="http://schemas.microsoft.com/office/drawing/2014/main" id="{F90269DC-627F-415F-868E-32BA5E3F9630}"/>
            </a:ext>
          </a:extLst>
        </xdr:cNvPr>
        <xdr:cNvCxnSpPr>
          <a:stCxn id="54" idx="2"/>
          <a:endCxn id="57" idx="0"/>
        </xdr:cNvCxnSpPr>
      </xdr:nvCxnSpPr>
      <xdr:spPr>
        <a:xfrm flipH="1">
          <a:off x="2182704" y="2682688"/>
          <a:ext cx="0" cy="95249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40218</xdr:colOff>
      <xdr:row>15</xdr:row>
      <xdr:rowOff>96485</xdr:rowOff>
    </xdr:from>
    <xdr:to>
      <xdr:col>9</xdr:col>
      <xdr:colOff>196700</xdr:colOff>
      <xdr:row>18</xdr:row>
      <xdr:rowOff>105333</xdr:rowOff>
    </xdr:to>
    <xdr:sp macro="" textlink="">
      <xdr:nvSpPr>
        <xdr:cNvPr id="60" name="正方形/長方形 59">
          <a:extLst>
            <a:ext uri="{FF2B5EF4-FFF2-40B4-BE49-F238E27FC236}">
              <a16:creationId xmlns:a16="http://schemas.microsoft.com/office/drawing/2014/main" id="{DD54CB4C-D981-4BFE-A1C6-591972A98668}"/>
            </a:ext>
          </a:extLst>
        </xdr:cNvPr>
        <xdr:cNvSpPr/>
      </xdr:nvSpPr>
      <xdr:spPr>
        <a:xfrm>
          <a:off x="4825130" y="3626338"/>
          <a:ext cx="1523599" cy="714819"/>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chemeClr val="tx1"/>
              </a:solidFill>
            </a:rPr>
            <a:t>READY</a:t>
          </a:r>
          <a:endParaRPr kumimoji="1" lang="ja-JP" altLang="en-US" sz="1400" b="1">
            <a:solidFill>
              <a:schemeClr val="tx1"/>
            </a:solidFill>
          </a:endParaRPr>
        </a:p>
      </xdr:txBody>
    </xdr:sp>
    <xdr:clientData/>
  </xdr:twoCellAnchor>
  <xdr:twoCellAnchor>
    <xdr:from>
      <xdr:col>4</xdr:col>
      <xdr:colOff>177334</xdr:colOff>
      <xdr:row>16</xdr:row>
      <xdr:rowOff>211789</xdr:rowOff>
    </xdr:from>
    <xdr:to>
      <xdr:col>7</xdr:col>
      <xdr:colOff>40218</xdr:colOff>
      <xdr:row>16</xdr:row>
      <xdr:rowOff>211789</xdr:rowOff>
    </xdr:to>
    <xdr:cxnSp macro="">
      <xdr:nvCxnSpPr>
        <xdr:cNvPr id="62" name="直線矢印コネクタ 61">
          <a:extLst>
            <a:ext uri="{FF2B5EF4-FFF2-40B4-BE49-F238E27FC236}">
              <a16:creationId xmlns:a16="http://schemas.microsoft.com/office/drawing/2014/main" id="{C72ECA53-D8D7-4A66-A884-08FC25BDB911}"/>
            </a:ext>
          </a:extLst>
        </xdr:cNvPr>
        <xdr:cNvCxnSpPr>
          <a:stCxn id="57" idx="3"/>
          <a:endCxn id="60" idx="1"/>
        </xdr:cNvCxnSpPr>
      </xdr:nvCxnSpPr>
      <xdr:spPr>
        <a:xfrm>
          <a:off x="2911569" y="3976965"/>
          <a:ext cx="1913561"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18907</xdr:colOff>
      <xdr:row>8</xdr:row>
      <xdr:rowOff>89036</xdr:rowOff>
    </xdr:from>
    <xdr:to>
      <xdr:col>9</xdr:col>
      <xdr:colOff>212914</xdr:colOff>
      <xdr:row>11</xdr:row>
      <xdr:rowOff>89646</xdr:rowOff>
    </xdr:to>
    <xdr:sp macro="" textlink="">
      <xdr:nvSpPr>
        <xdr:cNvPr id="63" name="正方形/長方形 62">
          <a:extLst>
            <a:ext uri="{FF2B5EF4-FFF2-40B4-BE49-F238E27FC236}">
              <a16:creationId xmlns:a16="http://schemas.microsoft.com/office/drawing/2014/main" id="{ACED9DDD-406E-4539-AE57-698E1711773A}"/>
            </a:ext>
          </a:extLst>
        </xdr:cNvPr>
        <xdr:cNvSpPr/>
      </xdr:nvSpPr>
      <xdr:spPr>
        <a:xfrm>
          <a:off x="4803819" y="1971624"/>
          <a:ext cx="1561124" cy="706581"/>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chemeClr val="tx1"/>
              </a:solidFill>
            </a:rPr>
            <a:t>WAVE GEN</a:t>
          </a:r>
        </a:p>
      </xdr:txBody>
    </xdr:sp>
    <xdr:clientData/>
  </xdr:twoCellAnchor>
  <xdr:twoCellAnchor>
    <xdr:from>
      <xdr:col>5</xdr:col>
      <xdr:colOff>309471</xdr:colOff>
      <xdr:row>3</xdr:row>
      <xdr:rowOff>58841</xdr:rowOff>
    </xdr:from>
    <xdr:to>
      <xdr:col>5</xdr:col>
      <xdr:colOff>634879</xdr:colOff>
      <xdr:row>4</xdr:row>
      <xdr:rowOff>137761</xdr:rowOff>
    </xdr:to>
    <xdr:sp macro="" textlink="">
      <xdr:nvSpPr>
        <xdr:cNvPr id="65" name="楕円 64">
          <a:extLst>
            <a:ext uri="{FF2B5EF4-FFF2-40B4-BE49-F238E27FC236}">
              <a16:creationId xmlns:a16="http://schemas.microsoft.com/office/drawing/2014/main" id="{005AB01A-EDC9-4669-B489-BE5AD0B650FD}"/>
            </a:ext>
          </a:extLst>
        </xdr:cNvPr>
        <xdr:cNvSpPr/>
      </xdr:nvSpPr>
      <xdr:spPr>
        <a:xfrm>
          <a:off x="3727265" y="764812"/>
          <a:ext cx="325408" cy="314243"/>
        </a:xfrm>
        <a:prstGeom prst="ellipse">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254043</xdr:colOff>
      <xdr:row>3</xdr:row>
      <xdr:rowOff>208756</xdr:rowOff>
    </xdr:from>
    <xdr:to>
      <xdr:col>5</xdr:col>
      <xdr:colOff>450477</xdr:colOff>
      <xdr:row>3</xdr:row>
      <xdr:rowOff>208756</xdr:rowOff>
    </xdr:to>
    <xdr:cxnSp macro="">
      <xdr:nvCxnSpPr>
        <xdr:cNvPr id="66" name="直線矢印コネクタ 65">
          <a:extLst>
            <a:ext uri="{FF2B5EF4-FFF2-40B4-BE49-F238E27FC236}">
              <a16:creationId xmlns:a16="http://schemas.microsoft.com/office/drawing/2014/main" id="{CEB81617-5E88-4BB9-9A32-B8C442A7EC78}"/>
            </a:ext>
          </a:extLst>
        </xdr:cNvPr>
        <xdr:cNvCxnSpPr>
          <a:endCxn id="53" idx="3"/>
        </xdr:cNvCxnSpPr>
      </xdr:nvCxnSpPr>
      <xdr:spPr>
        <a:xfrm flipH="1">
          <a:off x="2988278" y="914727"/>
          <a:ext cx="87999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117031</xdr:colOff>
      <xdr:row>11</xdr:row>
      <xdr:rowOff>89646</xdr:rowOff>
    </xdr:from>
    <xdr:to>
      <xdr:col>8</xdr:col>
      <xdr:colOff>117031</xdr:colOff>
      <xdr:row>15</xdr:row>
      <xdr:rowOff>96485</xdr:rowOff>
    </xdr:to>
    <xdr:cxnSp macro="">
      <xdr:nvCxnSpPr>
        <xdr:cNvPr id="71" name="直線矢印コネクタ 70">
          <a:extLst>
            <a:ext uri="{FF2B5EF4-FFF2-40B4-BE49-F238E27FC236}">
              <a16:creationId xmlns:a16="http://schemas.microsoft.com/office/drawing/2014/main" id="{6CE33915-50AF-4456-95F7-4B88F8E45649}"/>
            </a:ext>
          </a:extLst>
        </xdr:cNvPr>
        <xdr:cNvCxnSpPr>
          <a:stCxn id="60" idx="0"/>
          <a:endCxn id="63" idx="2"/>
        </xdr:cNvCxnSpPr>
      </xdr:nvCxnSpPr>
      <xdr:spPr>
        <a:xfrm flipH="1" flipV="1">
          <a:off x="5585502" y="2678205"/>
          <a:ext cx="0" cy="94813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173331</xdr:colOff>
      <xdr:row>9</xdr:row>
      <xdr:rowOff>198961</xdr:rowOff>
    </xdr:from>
    <xdr:to>
      <xdr:col>7</xdr:col>
      <xdr:colOff>18907</xdr:colOff>
      <xdr:row>9</xdr:row>
      <xdr:rowOff>203642</xdr:rowOff>
    </xdr:to>
    <xdr:cxnSp macro="">
      <xdr:nvCxnSpPr>
        <xdr:cNvPr id="72" name="直線矢印コネクタ 71">
          <a:extLst>
            <a:ext uri="{FF2B5EF4-FFF2-40B4-BE49-F238E27FC236}">
              <a16:creationId xmlns:a16="http://schemas.microsoft.com/office/drawing/2014/main" id="{69E84CDD-1713-4FE5-8610-2CF9230371D2}"/>
            </a:ext>
          </a:extLst>
        </xdr:cNvPr>
        <xdr:cNvCxnSpPr>
          <a:stCxn id="63" idx="1"/>
          <a:endCxn id="54" idx="3"/>
        </xdr:cNvCxnSpPr>
      </xdr:nvCxnSpPr>
      <xdr:spPr>
        <a:xfrm flipH="1" flipV="1">
          <a:off x="2907566" y="2316873"/>
          <a:ext cx="1896253" cy="468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415858</xdr:colOff>
      <xdr:row>5</xdr:row>
      <xdr:rowOff>82924</xdr:rowOff>
    </xdr:from>
    <xdr:to>
      <xdr:col>3</xdr:col>
      <xdr:colOff>415858</xdr:colOff>
      <xdr:row>8</xdr:row>
      <xdr:rowOff>78442</xdr:rowOff>
    </xdr:to>
    <xdr:cxnSp macro="">
      <xdr:nvCxnSpPr>
        <xdr:cNvPr id="76" name="直線矢印コネクタ 75">
          <a:extLst>
            <a:ext uri="{FF2B5EF4-FFF2-40B4-BE49-F238E27FC236}">
              <a16:creationId xmlns:a16="http://schemas.microsoft.com/office/drawing/2014/main" id="{66711048-7AF7-420E-A932-BE86E0D51AC1}"/>
            </a:ext>
          </a:extLst>
        </xdr:cNvPr>
        <xdr:cNvCxnSpPr/>
      </xdr:nvCxnSpPr>
      <xdr:spPr>
        <a:xfrm flipV="1">
          <a:off x="2466534" y="1259542"/>
          <a:ext cx="0" cy="70148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182935</xdr:colOff>
      <xdr:row>6</xdr:row>
      <xdr:rowOff>7209</xdr:rowOff>
    </xdr:from>
    <xdr:to>
      <xdr:col>2</xdr:col>
      <xdr:colOff>645177</xdr:colOff>
      <xdr:row>7</xdr:row>
      <xdr:rowOff>179779</xdr:rowOff>
    </xdr:to>
    <xdr:sp macro="" textlink="">
      <xdr:nvSpPr>
        <xdr:cNvPr id="121" name="正方形/長方形 120">
          <a:extLst>
            <a:ext uri="{FF2B5EF4-FFF2-40B4-BE49-F238E27FC236}">
              <a16:creationId xmlns:a16="http://schemas.microsoft.com/office/drawing/2014/main" id="{C5A6496D-A222-4A2A-8DEA-11A65D240757}"/>
            </a:ext>
          </a:extLst>
        </xdr:cNvPr>
        <xdr:cNvSpPr/>
      </xdr:nvSpPr>
      <xdr:spPr>
        <a:xfrm>
          <a:off x="866494" y="1419150"/>
          <a:ext cx="1145801" cy="4078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リセット完了</a:t>
          </a:r>
        </a:p>
      </xdr:txBody>
    </xdr:sp>
    <xdr:clientData/>
  </xdr:twoCellAnchor>
  <xdr:twoCellAnchor>
    <xdr:from>
      <xdr:col>3</xdr:col>
      <xdr:colOff>223277</xdr:colOff>
      <xdr:row>6</xdr:row>
      <xdr:rowOff>47550</xdr:rowOff>
    </xdr:from>
    <xdr:to>
      <xdr:col>5</xdr:col>
      <xdr:colOff>275945</xdr:colOff>
      <xdr:row>7</xdr:row>
      <xdr:rowOff>213397</xdr:rowOff>
    </xdr:to>
    <xdr:sp macro="" textlink="">
      <xdr:nvSpPr>
        <xdr:cNvPr id="122" name="正方形/長方形 121">
          <a:extLst>
            <a:ext uri="{FF2B5EF4-FFF2-40B4-BE49-F238E27FC236}">
              <a16:creationId xmlns:a16="http://schemas.microsoft.com/office/drawing/2014/main" id="{5BC420A4-EF85-4159-9DEF-E1AF04508BD1}"/>
            </a:ext>
          </a:extLst>
        </xdr:cNvPr>
        <xdr:cNvSpPr/>
      </xdr:nvSpPr>
      <xdr:spPr>
        <a:xfrm>
          <a:off x="2273953" y="1459491"/>
          <a:ext cx="1419786" cy="40117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リセット開始</a:t>
          </a:r>
        </a:p>
      </xdr:txBody>
    </xdr:sp>
    <xdr:clientData/>
  </xdr:twoCellAnchor>
  <xdr:twoCellAnchor>
    <xdr:from>
      <xdr:col>1</xdr:col>
      <xdr:colOff>231121</xdr:colOff>
      <xdr:row>12</xdr:row>
      <xdr:rowOff>25135</xdr:rowOff>
    </xdr:from>
    <xdr:to>
      <xdr:col>3</xdr:col>
      <xdr:colOff>170049</xdr:colOff>
      <xdr:row>14</xdr:row>
      <xdr:rowOff>150155</xdr:rowOff>
    </xdr:to>
    <xdr:sp macro="" textlink="">
      <xdr:nvSpPr>
        <xdr:cNvPr id="124" name="正方形/長方形 123">
          <a:extLst>
            <a:ext uri="{FF2B5EF4-FFF2-40B4-BE49-F238E27FC236}">
              <a16:creationId xmlns:a16="http://schemas.microsoft.com/office/drawing/2014/main" id="{00901320-2F2B-42E2-9990-4BF05DF0F1AB}"/>
            </a:ext>
          </a:extLst>
        </xdr:cNvPr>
        <xdr:cNvSpPr/>
      </xdr:nvSpPr>
      <xdr:spPr>
        <a:xfrm>
          <a:off x="914680" y="2849017"/>
          <a:ext cx="1306045" cy="59566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ユーザ定義波形</a:t>
          </a:r>
          <a:endParaRPr kumimoji="1" lang="en-US" altLang="ja-JP" sz="1100">
            <a:solidFill>
              <a:schemeClr val="tx1"/>
            </a:solidFill>
          </a:endParaRPr>
        </a:p>
        <a:p>
          <a:pPr algn="ctr"/>
          <a:r>
            <a:rPr kumimoji="1" lang="ja-JP" altLang="en-US" sz="1100">
              <a:solidFill>
                <a:schemeClr val="tx1"/>
              </a:solidFill>
            </a:rPr>
            <a:t>出力準備開始</a:t>
          </a:r>
        </a:p>
      </xdr:txBody>
    </xdr:sp>
    <xdr:clientData/>
  </xdr:twoCellAnchor>
  <xdr:twoCellAnchor>
    <xdr:from>
      <xdr:col>4</xdr:col>
      <xdr:colOff>464204</xdr:colOff>
      <xdr:row>16</xdr:row>
      <xdr:rowOff>188741</xdr:rowOff>
    </xdr:from>
    <xdr:to>
      <xdr:col>6</xdr:col>
      <xdr:colOff>393888</xdr:colOff>
      <xdr:row>19</xdr:row>
      <xdr:rowOff>105332</xdr:rowOff>
    </xdr:to>
    <xdr:sp macro="" textlink="">
      <xdr:nvSpPr>
        <xdr:cNvPr id="125" name="正方形/長方形 124">
          <a:extLst>
            <a:ext uri="{FF2B5EF4-FFF2-40B4-BE49-F238E27FC236}">
              <a16:creationId xmlns:a16="http://schemas.microsoft.com/office/drawing/2014/main" id="{C3D7D37E-7707-4F12-8410-4DBA74D107EE}"/>
            </a:ext>
          </a:extLst>
        </xdr:cNvPr>
        <xdr:cNvSpPr/>
      </xdr:nvSpPr>
      <xdr:spPr>
        <a:xfrm>
          <a:off x="3198439" y="3953917"/>
          <a:ext cx="1296802" cy="6225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ユーザ定義波形</a:t>
          </a:r>
          <a:endParaRPr kumimoji="1" lang="en-US" altLang="ja-JP" sz="1100">
            <a:solidFill>
              <a:schemeClr val="tx1"/>
            </a:solidFill>
          </a:endParaRPr>
        </a:p>
        <a:p>
          <a:pPr algn="ctr"/>
          <a:r>
            <a:rPr kumimoji="1" lang="ja-JP" altLang="en-US" sz="1100">
              <a:solidFill>
                <a:schemeClr val="tx1"/>
              </a:solidFill>
            </a:rPr>
            <a:t>出力準備完了</a:t>
          </a:r>
        </a:p>
      </xdr:txBody>
    </xdr:sp>
    <xdr:clientData/>
  </xdr:twoCellAnchor>
  <xdr:twoCellAnchor>
    <xdr:from>
      <xdr:col>8</xdr:col>
      <xdr:colOff>157164</xdr:colOff>
      <xdr:row>12</xdr:row>
      <xdr:rowOff>56510</xdr:rowOff>
    </xdr:from>
    <xdr:to>
      <xdr:col>10</xdr:col>
      <xdr:colOff>93852</xdr:colOff>
      <xdr:row>14</xdr:row>
      <xdr:rowOff>172566</xdr:rowOff>
    </xdr:to>
    <xdr:sp macro="" textlink="">
      <xdr:nvSpPr>
        <xdr:cNvPr id="126" name="正方形/長方形 125">
          <a:extLst>
            <a:ext uri="{FF2B5EF4-FFF2-40B4-BE49-F238E27FC236}">
              <a16:creationId xmlns:a16="http://schemas.microsoft.com/office/drawing/2014/main" id="{3EE9EE9D-5E70-491C-B8CB-4DAFEA973991}"/>
            </a:ext>
          </a:extLst>
        </xdr:cNvPr>
        <xdr:cNvSpPr/>
      </xdr:nvSpPr>
      <xdr:spPr>
        <a:xfrm>
          <a:off x="5625635" y="2880392"/>
          <a:ext cx="1303805" cy="58670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ユーザ定義波形</a:t>
          </a:r>
          <a:endParaRPr kumimoji="1" lang="en-US" altLang="ja-JP" sz="1100">
            <a:solidFill>
              <a:schemeClr val="tx1"/>
            </a:solidFill>
          </a:endParaRPr>
        </a:p>
        <a:p>
          <a:pPr algn="ctr"/>
          <a:r>
            <a:rPr kumimoji="1" lang="ja-JP" altLang="en-US" sz="1100">
              <a:solidFill>
                <a:schemeClr val="tx1"/>
              </a:solidFill>
            </a:rPr>
            <a:t>出力開始</a:t>
          </a:r>
        </a:p>
      </xdr:txBody>
    </xdr:sp>
    <xdr:clientData/>
  </xdr:twoCellAnchor>
  <xdr:twoCellAnchor>
    <xdr:from>
      <xdr:col>4</xdr:col>
      <xdr:colOff>444034</xdr:colOff>
      <xdr:row>10</xdr:row>
      <xdr:rowOff>485</xdr:rowOff>
    </xdr:from>
    <xdr:to>
      <xdr:col>6</xdr:col>
      <xdr:colOff>373718</xdr:colOff>
      <xdr:row>12</xdr:row>
      <xdr:rowOff>123264</xdr:rowOff>
    </xdr:to>
    <xdr:sp macro="" textlink="">
      <xdr:nvSpPr>
        <xdr:cNvPr id="127" name="正方形/長方形 126">
          <a:extLst>
            <a:ext uri="{FF2B5EF4-FFF2-40B4-BE49-F238E27FC236}">
              <a16:creationId xmlns:a16="http://schemas.microsoft.com/office/drawing/2014/main" id="{C33D612D-3B56-462F-A09D-A88D0CDBB5DF}"/>
            </a:ext>
          </a:extLst>
        </xdr:cNvPr>
        <xdr:cNvSpPr/>
      </xdr:nvSpPr>
      <xdr:spPr>
        <a:xfrm>
          <a:off x="3178269" y="2353720"/>
          <a:ext cx="1296802" cy="5934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ユーザ定義波形</a:t>
          </a:r>
          <a:endParaRPr kumimoji="1" lang="en-US" altLang="ja-JP" sz="1100">
            <a:solidFill>
              <a:schemeClr val="tx1"/>
            </a:solidFill>
          </a:endParaRPr>
        </a:p>
        <a:p>
          <a:pPr algn="ctr"/>
          <a:r>
            <a:rPr kumimoji="1" lang="ja-JP" altLang="en-US" sz="1100">
              <a:solidFill>
                <a:schemeClr val="tx1"/>
              </a:solidFill>
            </a:rPr>
            <a:t>出力完了</a:t>
          </a:r>
        </a:p>
      </xdr:txBody>
    </xdr:sp>
    <xdr:clientData/>
  </xdr:twoCellAnchor>
  <xdr:twoCellAnchor>
    <xdr:from>
      <xdr:col>7</xdr:col>
      <xdr:colOff>123962</xdr:colOff>
      <xdr:row>2</xdr:row>
      <xdr:rowOff>91838</xdr:rowOff>
    </xdr:from>
    <xdr:to>
      <xdr:col>9</xdr:col>
      <xdr:colOff>159124</xdr:colOff>
      <xdr:row>5</xdr:row>
      <xdr:rowOff>85725</xdr:rowOff>
    </xdr:to>
    <xdr:sp macro="" textlink="">
      <xdr:nvSpPr>
        <xdr:cNvPr id="28" name="正方形/長方形 27">
          <a:extLst>
            <a:ext uri="{FF2B5EF4-FFF2-40B4-BE49-F238E27FC236}">
              <a16:creationId xmlns:a16="http://schemas.microsoft.com/office/drawing/2014/main" id="{B2091822-6E45-4642-97C5-F0B281EBB768}"/>
            </a:ext>
          </a:extLst>
        </xdr:cNvPr>
        <xdr:cNvSpPr/>
      </xdr:nvSpPr>
      <xdr:spPr>
        <a:xfrm>
          <a:off x="4908874" y="562485"/>
          <a:ext cx="1402279" cy="699858"/>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chemeClr val="tx1"/>
              </a:solidFill>
            </a:rPr>
            <a:t>PAUSE</a:t>
          </a:r>
        </a:p>
      </xdr:txBody>
    </xdr:sp>
    <xdr:clientData/>
  </xdr:twoCellAnchor>
  <xdr:twoCellAnchor>
    <xdr:from>
      <xdr:col>7</xdr:col>
      <xdr:colOff>554330</xdr:colOff>
      <xdr:row>5</xdr:row>
      <xdr:rowOff>88527</xdr:rowOff>
    </xdr:from>
    <xdr:to>
      <xdr:col>7</xdr:col>
      <xdr:colOff>554330</xdr:colOff>
      <xdr:row>8</xdr:row>
      <xdr:rowOff>89453</xdr:rowOff>
    </xdr:to>
    <xdr:cxnSp macro="">
      <xdr:nvCxnSpPr>
        <xdr:cNvPr id="32" name="直線矢印コネクタ 31">
          <a:extLst>
            <a:ext uri="{FF2B5EF4-FFF2-40B4-BE49-F238E27FC236}">
              <a16:creationId xmlns:a16="http://schemas.microsoft.com/office/drawing/2014/main" id="{DEC673D8-6509-4BAF-B902-6B5481B333FE}"/>
            </a:ext>
          </a:extLst>
        </xdr:cNvPr>
        <xdr:cNvCxnSpPr/>
      </xdr:nvCxnSpPr>
      <xdr:spPr>
        <a:xfrm>
          <a:off x="5339242" y="1265145"/>
          <a:ext cx="0" cy="70689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422861</xdr:colOff>
      <xdr:row>5</xdr:row>
      <xdr:rowOff>88527</xdr:rowOff>
    </xdr:from>
    <xdr:to>
      <xdr:col>8</xdr:col>
      <xdr:colOff>422861</xdr:colOff>
      <xdr:row>8</xdr:row>
      <xdr:rowOff>84045</xdr:rowOff>
    </xdr:to>
    <xdr:cxnSp macro="">
      <xdr:nvCxnSpPr>
        <xdr:cNvPr id="33" name="直線矢印コネクタ 32">
          <a:extLst>
            <a:ext uri="{FF2B5EF4-FFF2-40B4-BE49-F238E27FC236}">
              <a16:creationId xmlns:a16="http://schemas.microsoft.com/office/drawing/2014/main" id="{D03BFAAD-2E33-4031-AC9C-9CB0F7A12977}"/>
            </a:ext>
          </a:extLst>
        </xdr:cNvPr>
        <xdr:cNvCxnSpPr/>
      </xdr:nvCxnSpPr>
      <xdr:spPr>
        <a:xfrm flipV="1">
          <a:off x="5891332" y="1265145"/>
          <a:ext cx="0" cy="70148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472888</xdr:colOff>
      <xdr:row>6</xdr:row>
      <xdr:rowOff>35224</xdr:rowOff>
    </xdr:from>
    <xdr:to>
      <xdr:col>7</xdr:col>
      <xdr:colOff>652181</xdr:colOff>
      <xdr:row>7</xdr:row>
      <xdr:rowOff>207794</xdr:rowOff>
    </xdr:to>
    <xdr:sp macro="" textlink="">
      <xdr:nvSpPr>
        <xdr:cNvPr id="34" name="正方形/長方形 33">
          <a:extLst>
            <a:ext uri="{FF2B5EF4-FFF2-40B4-BE49-F238E27FC236}">
              <a16:creationId xmlns:a16="http://schemas.microsoft.com/office/drawing/2014/main" id="{8763A032-6138-443B-96C9-355C3B15193C}"/>
            </a:ext>
          </a:extLst>
        </xdr:cNvPr>
        <xdr:cNvSpPr/>
      </xdr:nvSpPr>
      <xdr:spPr>
        <a:xfrm>
          <a:off x="4574241" y="1447165"/>
          <a:ext cx="862852" cy="4078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再開</a:t>
          </a:r>
        </a:p>
      </xdr:txBody>
    </xdr:sp>
    <xdr:clientData/>
  </xdr:twoCellAnchor>
  <xdr:twoCellAnchor>
    <xdr:from>
      <xdr:col>8</xdr:col>
      <xdr:colOff>230279</xdr:colOff>
      <xdr:row>6</xdr:row>
      <xdr:rowOff>24018</xdr:rowOff>
    </xdr:from>
    <xdr:to>
      <xdr:col>10</xdr:col>
      <xdr:colOff>2241</xdr:colOff>
      <xdr:row>7</xdr:row>
      <xdr:rowOff>196588</xdr:rowOff>
    </xdr:to>
    <xdr:sp macro="" textlink="">
      <xdr:nvSpPr>
        <xdr:cNvPr id="35" name="正方形/長方形 34">
          <a:extLst>
            <a:ext uri="{FF2B5EF4-FFF2-40B4-BE49-F238E27FC236}">
              <a16:creationId xmlns:a16="http://schemas.microsoft.com/office/drawing/2014/main" id="{2215DA03-CB5B-49A2-AC9E-7CA5BC6C22AD}"/>
            </a:ext>
          </a:extLst>
        </xdr:cNvPr>
        <xdr:cNvSpPr/>
      </xdr:nvSpPr>
      <xdr:spPr>
        <a:xfrm>
          <a:off x="5698750" y="1435959"/>
          <a:ext cx="1139079" cy="4078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一時停止</a:t>
          </a:r>
        </a:p>
      </xdr:txBody>
    </xdr:sp>
    <xdr:clientData/>
  </xdr:twoCellAnchor>
  <xdr:twoCellAnchor>
    <xdr:from>
      <xdr:col>1</xdr:col>
      <xdr:colOff>633201</xdr:colOff>
      <xdr:row>23</xdr:row>
      <xdr:rowOff>33059</xdr:rowOff>
    </xdr:from>
    <xdr:to>
      <xdr:col>4</xdr:col>
      <xdr:colOff>103884</xdr:colOff>
      <xdr:row>26</xdr:row>
      <xdr:rowOff>26986</xdr:rowOff>
    </xdr:to>
    <xdr:sp macro="" textlink="">
      <xdr:nvSpPr>
        <xdr:cNvPr id="108" name="正方形/長方形 107">
          <a:extLst>
            <a:ext uri="{FF2B5EF4-FFF2-40B4-BE49-F238E27FC236}">
              <a16:creationId xmlns:a16="http://schemas.microsoft.com/office/drawing/2014/main" id="{DD96B4CC-1BA9-4005-A24D-E67075E3B0F1}"/>
            </a:ext>
          </a:extLst>
        </xdr:cNvPr>
        <xdr:cNvSpPr/>
      </xdr:nvSpPr>
      <xdr:spPr>
        <a:xfrm>
          <a:off x="1319001" y="5509934"/>
          <a:ext cx="1528083" cy="708302"/>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chemeClr val="tx1"/>
              </a:solidFill>
            </a:rPr>
            <a:t>RESET</a:t>
          </a:r>
          <a:endParaRPr kumimoji="1" lang="ja-JP" altLang="en-US" sz="1400" b="1">
            <a:solidFill>
              <a:schemeClr val="tx1"/>
            </a:solidFill>
          </a:endParaRPr>
        </a:p>
      </xdr:txBody>
    </xdr:sp>
    <xdr:clientData/>
  </xdr:twoCellAnchor>
  <xdr:twoCellAnchor>
    <xdr:from>
      <xdr:col>1</xdr:col>
      <xdr:colOff>660590</xdr:colOff>
      <xdr:row>29</xdr:row>
      <xdr:rowOff>137946</xdr:rowOff>
    </xdr:from>
    <xdr:to>
      <xdr:col>4</xdr:col>
      <xdr:colOff>23172</xdr:colOff>
      <xdr:row>32</xdr:row>
      <xdr:rowOff>156883</xdr:rowOff>
    </xdr:to>
    <xdr:sp macro="" textlink="">
      <xdr:nvSpPr>
        <xdr:cNvPr id="109" name="正方形/長方形 108">
          <a:extLst>
            <a:ext uri="{FF2B5EF4-FFF2-40B4-BE49-F238E27FC236}">
              <a16:creationId xmlns:a16="http://schemas.microsoft.com/office/drawing/2014/main" id="{938C1AF7-7724-4218-B3E4-802601F6C5A4}"/>
            </a:ext>
          </a:extLst>
        </xdr:cNvPr>
        <xdr:cNvSpPr/>
      </xdr:nvSpPr>
      <xdr:spPr>
        <a:xfrm>
          <a:off x="1344149" y="6962328"/>
          <a:ext cx="1413258" cy="724908"/>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chemeClr val="tx1"/>
              </a:solidFill>
            </a:rPr>
            <a:t>IDLE</a:t>
          </a:r>
        </a:p>
      </xdr:txBody>
    </xdr:sp>
    <xdr:clientData/>
  </xdr:twoCellAnchor>
  <xdr:twoCellAnchor>
    <xdr:from>
      <xdr:col>2</xdr:col>
      <xdr:colOff>473367</xdr:colOff>
      <xdr:row>26</xdr:row>
      <xdr:rowOff>38100</xdr:rowOff>
    </xdr:from>
    <xdr:to>
      <xdr:col>2</xdr:col>
      <xdr:colOff>473367</xdr:colOff>
      <xdr:row>29</xdr:row>
      <xdr:rowOff>146604</xdr:rowOff>
    </xdr:to>
    <xdr:cxnSp macro="">
      <xdr:nvCxnSpPr>
        <xdr:cNvPr id="110" name="直線矢印コネクタ 109">
          <a:extLst>
            <a:ext uri="{FF2B5EF4-FFF2-40B4-BE49-F238E27FC236}">
              <a16:creationId xmlns:a16="http://schemas.microsoft.com/office/drawing/2014/main" id="{CE3723C0-0B2C-4716-82CA-AC45B2B57A9F}"/>
            </a:ext>
          </a:extLst>
        </xdr:cNvPr>
        <xdr:cNvCxnSpPr/>
      </xdr:nvCxnSpPr>
      <xdr:spPr>
        <a:xfrm>
          <a:off x="1844967" y="6229350"/>
          <a:ext cx="0" cy="82287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259382</xdr:colOff>
      <xdr:row>34</xdr:row>
      <xdr:rowOff>132743</xdr:rowOff>
    </xdr:from>
    <xdr:to>
      <xdr:col>6</xdr:col>
      <xdr:colOff>349990</xdr:colOff>
      <xdr:row>37</xdr:row>
      <xdr:rowOff>117056</xdr:rowOff>
    </xdr:to>
    <xdr:sp macro="" textlink="">
      <xdr:nvSpPr>
        <xdr:cNvPr id="111" name="正方形/長方形 110">
          <a:extLst>
            <a:ext uri="{FF2B5EF4-FFF2-40B4-BE49-F238E27FC236}">
              <a16:creationId xmlns:a16="http://schemas.microsoft.com/office/drawing/2014/main" id="{A4B28F96-AB40-44A0-8491-9B52D74E52F1}"/>
            </a:ext>
          </a:extLst>
        </xdr:cNvPr>
        <xdr:cNvSpPr/>
      </xdr:nvSpPr>
      <xdr:spPr>
        <a:xfrm>
          <a:off x="3014305" y="8353551"/>
          <a:ext cx="1468070" cy="709678"/>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chemeClr val="tx1"/>
              </a:solidFill>
            </a:rPr>
            <a:t>PREPARE</a:t>
          </a:r>
        </a:p>
      </xdr:txBody>
    </xdr:sp>
    <xdr:clientData/>
  </xdr:twoCellAnchor>
  <xdr:twoCellAnchor>
    <xdr:from>
      <xdr:col>6</xdr:col>
      <xdr:colOff>552307</xdr:colOff>
      <xdr:row>29</xdr:row>
      <xdr:rowOff>151790</xdr:rowOff>
    </xdr:from>
    <xdr:to>
      <xdr:col>9</xdr:col>
      <xdr:colOff>62755</xdr:colOff>
      <xdr:row>32</xdr:row>
      <xdr:rowOff>152400</xdr:rowOff>
    </xdr:to>
    <xdr:sp macro="" textlink="">
      <xdr:nvSpPr>
        <xdr:cNvPr id="115" name="正方形/長方形 114">
          <a:extLst>
            <a:ext uri="{FF2B5EF4-FFF2-40B4-BE49-F238E27FC236}">
              <a16:creationId xmlns:a16="http://schemas.microsoft.com/office/drawing/2014/main" id="{7E001AFD-ADE4-4436-A78B-4B6C65569A88}"/>
            </a:ext>
          </a:extLst>
        </xdr:cNvPr>
        <xdr:cNvSpPr/>
      </xdr:nvSpPr>
      <xdr:spPr>
        <a:xfrm>
          <a:off x="4653660" y="6976172"/>
          <a:ext cx="1561124" cy="706581"/>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chemeClr val="tx1"/>
              </a:solidFill>
            </a:rPr>
            <a:t>ACTIVE</a:t>
          </a:r>
        </a:p>
      </xdr:txBody>
    </xdr:sp>
    <xdr:clientData/>
  </xdr:twoCellAnchor>
  <xdr:twoCellAnchor>
    <xdr:from>
      <xdr:col>5</xdr:col>
      <xdr:colOff>159312</xdr:colOff>
      <xdr:row>23</xdr:row>
      <xdr:rowOff>235895</xdr:rowOff>
    </xdr:from>
    <xdr:to>
      <xdr:col>5</xdr:col>
      <xdr:colOff>484720</xdr:colOff>
      <xdr:row>25</xdr:row>
      <xdr:rowOff>76690</xdr:rowOff>
    </xdr:to>
    <xdr:sp macro="" textlink="">
      <xdr:nvSpPr>
        <xdr:cNvPr id="116" name="楕円 115">
          <a:extLst>
            <a:ext uri="{FF2B5EF4-FFF2-40B4-BE49-F238E27FC236}">
              <a16:creationId xmlns:a16="http://schemas.microsoft.com/office/drawing/2014/main" id="{DEF4FC52-50CD-486E-9A5E-6DD2C63440F3}"/>
            </a:ext>
          </a:extLst>
        </xdr:cNvPr>
        <xdr:cNvSpPr/>
      </xdr:nvSpPr>
      <xdr:spPr>
        <a:xfrm>
          <a:off x="3588312" y="5712770"/>
          <a:ext cx="325408" cy="317045"/>
        </a:xfrm>
        <a:prstGeom prst="ellipse">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103884</xdr:colOff>
      <xdr:row>24</xdr:row>
      <xdr:rowOff>150487</xdr:rowOff>
    </xdr:from>
    <xdr:to>
      <xdr:col>5</xdr:col>
      <xdr:colOff>300318</xdr:colOff>
      <xdr:row>24</xdr:row>
      <xdr:rowOff>150487</xdr:rowOff>
    </xdr:to>
    <xdr:cxnSp macro="">
      <xdr:nvCxnSpPr>
        <xdr:cNvPr id="117" name="直線矢印コネクタ 116">
          <a:extLst>
            <a:ext uri="{FF2B5EF4-FFF2-40B4-BE49-F238E27FC236}">
              <a16:creationId xmlns:a16="http://schemas.microsoft.com/office/drawing/2014/main" id="{9CB9FF4C-A5DF-4B93-AED4-E650F1456E24}"/>
            </a:ext>
          </a:extLst>
        </xdr:cNvPr>
        <xdr:cNvCxnSpPr>
          <a:endCxn id="108" idx="3"/>
        </xdr:cNvCxnSpPr>
      </xdr:nvCxnSpPr>
      <xdr:spPr>
        <a:xfrm flipH="1">
          <a:off x="2847084" y="5865487"/>
          <a:ext cx="882234"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23172</xdr:colOff>
      <xdr:row>31</xdr:row>
      <xdr:rowOff>26392</xdr:rowOff>
    </xdr:from>
    <xdr:to>
      <xdr:col>6</xdr:col>
      <xdr:colOff>552307</xdr:colOff>
      <xdr:row>31</xdr:row>
      <xdr:rowOff>31073</xdr:rowOff>
    </xdr:to>
    <xdr:cxnSp macro="">
      <xdr:nvCxnSpPr>
        <xdr:cNvPr id="119" name="直線矢印コネクタ 118">
          <a:extLst>
            <a:ext uri="{FF2B5EF4-FFF2-40B4-BE49-F238E27FC236}">
              <a16:creationId xmlns:a16="http://schemas.microsoft.com/office/drawing/2014/main" id="{ACE567AE-90D2-43FC-875C-F5524AD5F26E}"/>
            </a:ext>
          </a:extLst>
        </xdr:cNvPr>
        <xdr:cNvCxnSpPr>
          <a:stCxn id="115" idx="1"/>
          <a:endCxn id="109" idx="3"/>
        </xdr:cNvCxnSpPr>
      </xdr:nvCxnSpPr>
      <xdr:spPr>
        <a:xfrm flipH="1" flipV="1">
          <a:off x="2757407" y="7321421"/>
          <a:ext cx="1896253" cy="468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189499</xdr:colOff>
      <xdr:row>26</xdr:row>
      <xdr:rowOff>28575</xdr:rowOff>
    </xdr:from>
    <xdr:to>
      <xdr:col>3</xdr:col>
      <xdr:colOff>189499</xdr:colOff>
      <xdr:row>29</xdr:row>
      <xdr:rowOff>141196</xdr:rowOff>
    </xdr:to>
    <xdr:cxnSp macro="">
      <xdr:nvCxnSpPr>
        <xdr:cNvPr id="120" name="直線矢印コネクタ 119">
          <a:extLst>
            <a:ext uri="{FF2B5EF4-FFF2-40B4-BE49-F238E27FC236}">
              <a16:creationId xmlns:a16="http://schemas.microsoft.com/office/drawing/2014/main" id="{A93D79B8-DA25-40D5-A446-CC629335EF9A}"/>
            </a:ext>
          </a:extLst>
        </xdr:cNvPr>
        <xdr:cNvCxnSpPr/>
      </xdr:nvCxnSpPr>
      <xdr:spPr>
        <a:xfrm flipV="1">
          <a:off x="2246899" y="6219825"/>
          <a:ext cx="0" cy="82699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108976</xdr:colOff>
      <xdr:row>26</xdr:row>
      <xdr:rowOff>203313</xdr:rowOff>
    </xdr:from>
    <xdr:to>
      <xdr:col>2</xdr:col>
      <xdr:colOff>571218</xdr:colOff>
      <xdr:row>28</xdr:row>
      <xdr:rowOff>140560</xdr:rowOff>
    </xdr:to>
    <xdr:sp macro="" textlink="">
      <xdr:nvSpPr>
        <xdr:cNvPr id="123" name="正方形/長方形 122">
          <a:extLst>
            <a:ext uri="{FF2B5EF4-FFF2-40B4-BE49-F238E27FC236}">
              <a16:creationId xmlns:a16="http://schemas.microsoft.com/office/drawing/2014/main" id="{17172290-E8DD-4487-84BF-E91CFFCC80DA}"/>
            </a:ext>
          </a:extLst>
        </xdr:cNvPr>
        <xdr:cNvSpPr/>
      </xdr:nvSpPr>
      <xdr:spPr>
        <a:xfrm>
          <a:off x="794776" y="6394563"/>
          <a:ext cx="1148042" cy="41349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リセット完了</a:t>
          </a:r>
        </a:p>
      </xdr:txBody>
    </xdr:sp>
    <xdr:clientData/>
  </xdr:twoCellAnchor>
  <xdr:twoCellAnchor>
    <xdr:from>
      <xdr:col>2</xdr:col>
      <xdr:colOff>682718</xdr:colOff>
      <xdr:row>26</xdr:row>
      <xdr:rowOff>205554</xdr:rowOff>
    </xdr:from>
    <xdr:to>
      <xdr:col>5</xdr:col>
      <xdr:colOff>49586</xdr:colOff>
      <xdr:row>28</xdr:row>
      <xdr:rowOff>136078</xdr:rowOff>
    </xdr:to>
    <xdr:sp macro="" textlink="">
      <xdr:nvSpPr>
        <xdr:cNvPr id="128" name="正方形/長方形 127">
          <a:extLst>
            <a:ext uri="{FF2B5EF4-FFF2-40B4-BE49-F238E27FC236}">
              <a16:creationId xmlns:a16="http://schemas.microsoft.com/office/drawing/2014/main" id="{FA0E3CFB-24FD-4E77-AFB4-655D771A1DEA}"/>
            </a:ext>
          </a:extLst>
        </xdr:cNvPr>
        <xdr:cNvSpPr/>
      </xdr:nvSpPr>
      <xdr:spPr>
        <a:xfrm>
          <a:off x="2054318" y="6396804"/>
          <a:ext cx="1424268" cy="40677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リセット開始</a:t>
          </a:r>
        </a:p>
      </xdr:txBody>
    </xdr:sp>
    <xdr:clientData/>
  </xdr:twoCellAnchor>
  <xdr:twoCellAnchor>
    <xdr:from>
      <xdr:col>1</xdr:col>
      <xdr:colOff>278423</xdr:colOff>
      <xdr:row>33</xdr:row>
      <xdr:rowOff>99956</xdr:rowOff>
    </xdr:from>
    <xdr:to>
      <xdr:col>3</xdr:col>
      <xdr:colOff>82320</xdr:colOff>
      <xdr:row>35</xdr:row>
      <xdr:rowOff>231441</xdr:rowOff>
    </xdr:to>
    <xdr:sp macro="" textlink="">
      <xdr:nvSpPr>
        <xdr:cNvPr id="129" name="正方形/長方形 128">
          <a:extLst>
            <a:ext uri="{FF2B5EF4-FFF2-40B4-BE49-F238E27FC236}">
              <a16:creationId xmlns:a16="http://schemas.microsoft.com/office/drawing/2014/main" id="{4B23050F-830F-41C5-8A06-1053A2C5F1FD}"/>
            </a:ext>
          </a:extLst>
        </xdr:cNvPr>
        <xdr:cNvSpPr/>
      </xdr:nvSpPr>
      <xdr:spPr>
        <a:xfrm>
          <a:off x="967154" y="8078975"/>
          <a:ext cx="1181358" cy="6150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ディジタル値</a:t>
          </a:r>
          <a:endParaRPr kumimoji="1" lang="en-US" altLang="ja-JP" sz="1100">
            <a:solidFill>
              <a:schemeClr val="tx1"/>
            </a:solidFill>
          </a:endParaRPr>
        </a:p>
        <a:p>
          <a:pPr algn="ctr"/>
          <a:r>
            <a:rPr kumimoji="1" lang="ja-JP" altLang="en-US" sz="1100">
              <a:solidFill>
                <a:schemeClr val="tx1"/>
              </a:solidFill>
            </a:rPr>
            <a:t>出力開始</a:t>
          </a:r>
        </a:p>
      </xdr:txBody>
    </xdr:sp>
    <xdr:clientData/>
  </xdr:twoCellAnchor>
  <xdr:twoCellAnchor>
    <xdr:from>
      <xdr:col>7</xdr:col>
      <xdr:colOff>525838</xdr:colOff>
      <xdr:row>33</xdr:row>
      <xdr:rowOff>117108</xdr:rowOff>
    </xdr:from>
    <xdr:to>
      <xdr:col>9</xdr:col>
      <xdr:colOff>462526</xdr:colOff>
      <xdr:row>36</xdr:row>
      <xdr:rowOff>1504</xdr:rowOff>
    </xdr:to>
    <xdr:sp macro="" textlink="">
      <xdr:nvSpPr>
        <xdr:cNvPr id="131" name="正方形/長方形 130">
          <a:extLst>
            <a:ext uri="{FF2B5EF4-FFF2-40B4-BE49-F238E27FC236}">
              <a16:creationId xmlns:a16="http://schemas.microsoft.com/office/drawing/2014/main" id="{7926E5EB-A239-4FB6-B93C-66E619E33F07}"/>
            </a:ext>
          </a:extLst>
        </xdr:cNvPr>
        <xdr:cNvSpPr/>
      </xdr:nvSpPr>
      <xdr:spPr>
        <a:xfrm>
          <a:off x="5326438" y="7975233"/>
          <a:ext cx="1308288" cy="59877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ディジタル値</a:t>
          </a:r>
          <a:endParaRPr kumimoji="1" lang="en-US" altLang="ja-JP" sz="1100">
            <a:solidFill>
              <a:schemeClr val="tx1"/>
            </a:solidFill>
          </a:endParaRPr>
        </a:p>
        <a:p>
          <a:pPr algn="ctr"/>
          <a:r>
            <a:rPr kumimoji="1" lang="ja-JP" altLang="en-US" sz="1100">
              <a:solidFill>
                <a:schemeClr val="tx1"/>
              </a:solidFill>
            </a:rPr>
            <a:t>出力準備完了</a:t>
          </a:r>
          <a:endParaRPr kumimoji="1" lang="en-US" altLang="ja-JP" sz="1100">
            <a:solidFill>
              <a:schemeClr val="tx1"/>
            </a:solidFill>
          </a:endParaRPr>
        </a:p>
      </xdr:txBody>
    </xdr:sp>
    <xdr:clientData/>
  </xdr:twoCellAnchor>
  <xdr:twoCellAnchor>
    <xdr:from>
      <xdr:col>4</xdr:col>
      <xdr:colOff>293875</xdr:colOff>
      <xdr:row>31</xdr:row>
      <xdr:rowOff>4623</xdr:rowOff>
    </xdr:from>
    <xdr:to>
      <xdr:col>6</xdr:col>
      <xdr:colOff>223559</xdr:colOff>
      <xdr:row>33</xdr:row>
      <xdr:rowOff>127402</xdr:rowOff>
    </xdr:to>
    <xdr:sp macro="" textlink="">
      <xdr:nvSpPr>
        <xdr:cNvPr id="132" name="正方形/長方形 131">
          <a:extLst>
            <a:ext uri="{FF2B5EF4-FFF2-40B4-BE49-F238E27FC236}">
              <a16:creationId xmlns:a16="http://schemas.microsoft.com/office/drawing/2014/main" id="{EBF91BD6-5409-4AA8-865B-2A4A69986249}"/>
            </a:ext>
          </a:extLst>
        </xdr:cNvPr>
        <xdr:cNvSpPr/>
      </xdr:nvSpPr>
      <xdr:spPr>
        <a:xfrm>
          <a:off x="3048798" y="7500065"/>
          <a:ext cx="1307146" cy="60635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ディジタル値</a:t>
          </a:r>
        </a:p>
        <a:p>
          <a:pPr algn="ctr"/>
          <a:r>
            <a:rPr kumimoji="1" lang="ja-JP" altLang="en-US" sz="1100">
              <a:solidFill>
                <a:schemeClr val="tx1"/>
              </a:solidFill>
            </a:rPr>
            <a:t>出力完了</a:t>
          </a:r>
        </a:p>
      </xdr:txBody>
    </xdr:sp>
    <xdr:clientData/>
  </xdr:twoCellAnchor>
  <xdr:twoCellAnchor>
    <xdr:from>
      <xdr:col>6</xdr:col>
      <xdr:colOff>657362</xdr:colOff>
      <xdr:row>23</xdr:row>
      <xdr:rowOff>30767</xdr:rowOff>
    </xdr:from>
    <xdr:to>
      <xdr:col>9</xdr:col>
      <xdr:colOff>8965</xdr:colOff>
      <xdr:row>26</xdr:row>
      <xdr:rowOff>24654</xdr:rowOff>
    </xdr:to>
    <xdr:sp macro="" textlink="">
      <xdr:nvSpPr>
        <xdr:cNvPr id="133" name="正方形/長方形 132">
          <a:extLst>
            <a:ext uri="{FF2B5EF4-FFF2-40B4-BE49-F238E27FC236}">
              <a16:creationId xmlns:a16="http://schemas.microsoft.com/office/drawing/2014/main" id="{82DA16CE-AC42-491E-B20B-B6F49CF637C6}"/>
            </a:ext>
          </a:extLst>
        </xdr:cNvPr>
        <xdr:cNvSpPr/>
      </xdr:nvSpPr>
      <xdr:spPr>
        <a:xfrm>
          <a:off x="4772162" y="5507642"/>
          <a:ext cx="1409003" cy="708262"/>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chemeClr val="tx1"/>
              </a:solidFill>
            </a:rPr>
            <a:t>PAUSE</a:t>
          </a:r>
        </a:p>
      </xdr:txBody>
    </xdr:sp>
    <xdr:clientData/>
  </xdr:twoCellAnchor>
  <xdr:twoCellAnchor>
    <xdr:from>
      <xdr:col>7</xdr:col>
      <xdr:colOff>470846</xdr:colOff>
      <xdr:row>26</xdr:row>
      <xdr:rowOff>38100</xdr:rowOff>
    </xdr:from>
    <xdr:to>
      <xdr:col>7</xdr:col>
      <xdr:colOff>470846</xdr:colOff>
      <xdr:row>29</xdr:row>
      <xdr:rowOff>152207</xdr:rowOff>
    </xdr:to>
    <xdr:cxnSp macro="">
      <xdr:nvCxnSpPr>
        <xdr:cNvPr id="134" name="直線矢印コネクタ 133">
          <a:extLst>
            <a:ext uri="{FF2B5EF4-FFF2-40B4-BE49-F238E27FC236}">
              <a16:creationId xmlns:a16="http://schemas.microsoft.com/office/drawing/2014/main" id="{81ED4BE8-9AB4-4D89-B385-D4EF40CD6174}"/>
            </a:ext>
          </a:extLst>
        </xdr:cNvPr>
        <xdr:cNvCxnSpPr/>
      </xdr:nvCxnSpPr>
      <xdr:spPr>
        <a:xfrm>
          <a:off x="5271446" y="6229350"/>
          <a:ext cx="0" cy="82848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186977</xdr:colOff>
      <xdr:row>26</xdr:row>
      <xdr:rowOff>28575</xdr:rowOff>
    </xdr:from>
    <xdr:to>
      <xdr:col>8</xdr:col>
      <xdr:colOff>186977</xdr:colOff>
      <xdr:row>29</xdr:row>
      <xdr:rowOff>146799</xdr:rowOff>
    </xdr:to>
    <xdr:cxnSp macro="">
      <xdr:nvCxnSpPr>
        <xdr:cNvPr id="135" name="直線矢印コネクタ 134">
          <a:extLst>
            <a:ext uri="{FF2B5EF4-FFF2-40B4-BE49-F238E27FC236}">
              <a16:creationId xmlns:a16="http://schemas.microsoft.com/office/drawing/2014/main" id="{A6B350AE-DFE2-4EFA-8DC6-792C828444C8}"/>
            </a:ext>
          </a:extLst>
        </xdr:cNvPr>
        <xdr:cNvCxnSpPr/>
      </xdr:nvCxnSpPr>
      <xdr:spPr>
        <a:xfrm flipV="1">
          <a:off x="5673377" y="6219825"/>
          <a:ext cx="0" cy="83259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389404</xdr:colOff>
      <xdr:row>27</xdr:row>
      <xdr:rowOff>40826</xdr:rowOff>
    </xdr:from>
    <xdr:to>
      <xdr:col>7</xdr:col>
      <xdr:colOff>568697</xdr:colOff>
      <xdr:row>28</xdr:row>
      <xdr:rowOff>206672</xdr:rowOff>
    </xdr:to>
    <xdr:sp macro="" textlink="">
      <xdr:nvSpPr>
        <xdr:cNvPr id="137" name="正方形/長方形 136">
          <a:extLst>
            <a:ext uri="{FF2B5EF4-FFF2-40B4-BE49-F238E27FC236}">
              <a16:creationId xmlns:a16="http://schemas.microsoft.com/office/drawing/2014/main" id="{5B29F33D-F50B-4FAA-BE90-C39084F5D579}"/>
            </a:ext>
          </a:extLst>
        </xdr:cNvPr>
        <xdr:cNvSpPr/>
      </xdr:nvSpPr>
      <xdr:spPr>
        <a:xfrm>
          <a:off x="4471547" y="6653897"/>
          <a:ext cx="859650" cy="4107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再開</a:t>
          </a:r>
        </a:p>
      </xdr:txBody>
    </xdr:sp>
    <xdr:clientData/>
  </xdr:twoCellAnchor>
  <xdr:twoCellAnchor>
    <xdr:from>
      <xdr:col>7</xdr:col>
      <xdr:colOff>680195</xdr:colOff>
      <xdr:row>27</xdr:row>
      <xdr:rowOff>29620</xdr:rowOff>
    </xdr:from>
    <xdr:to>
      <xdr:col>9</xdr:col>
      <xdr:colOff>449916</xdr:colOff>
      <xdr:row>28</xdr:row>
      <xdr:rowOff>204991</xdr:rowOff>
    </xdr:to>
    <xdr:sp macro="" textlink="">
      <xdr:nvSpPr>
        <xdr:cNvPr id="139" name="正方形/長方形 138">
          <a:extLst>
            <a:ext uri="{FF2B5EF4-FFF2-40B4-BE49-F238E27FC236}">
              <a16:creationId xmlns:a16="http://schemas.microsoft.com/office/drawing/2014/main" id="{6F32ED47-8A9C-473D-9F4D-415457114969}"/>
            </a:ext>
          </a:extLst>
        </xdr:cNvPr>
        <xdr:cNvSpPr/>
      </xdr:nvSpPr>
      <xdr:spPr>
        <a:xfrm>
          <a:off x="5442695" y="6642691"/>
          <a:ext cx="1130435" cy="4203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一時停止</a:t>
          </a:r>
        </a:p>
      </xdr:txBody>
    </xdr:sp>
    <xdr:clientData/>
  </xdr:twoCellAnchor>
  <xdr:twoCellAnchor>
    <xdr:from>
      <xdr:col>2</xdr:col>
      <xdr:colOff>686245</xdr:colOff>
      <xdr:row>32</xdr:row>
      <xdr:rowOff>156883</xdr:rowOff>
    </xdr:from>
    <xdr:to>
      <xdr:col>4</xdr:col>
      <xdr:colOff>259381</xdr:colOff>
      <xdr:row>36</xdr:row>
      <xdr:rowOff>4005</xdr:rowOff>
    </xdr:to>
    <xdr:cxnSp macro="">
      <xdr:nvCxnSpPr>
        <xdr:cNvPr id="142" name="コネクタ: カギ線 141">
          <a:extLst>
            <a:ext uri="{FF2B5EF4-FFF2-40B4-BE49-F238E27FC236}">
              <a16:creationId xmlns:a16="http://schemas.microsoft.com/office/drawing/2014/main" id="{805E4412-4F9A-D39A-FED2-4599850A37D7}"/>
            </a:ext>
          </a:extLst>
        </xdr:cNvPr>
        <xdr:cNvCxnSpPr>
          <a:stCxn id="109" idx="2"/>
          <a:endCxn id="111" idx="1"/>
        </xdr:cNvCxnSpPr>
      </xdr:nvCxnSpPr>
      <xdr:spPr>
        <a:xfrm rot="16200000" flipH="1">
          <a:off x="2131868" y="7825953"/>
          <a:ext cx="814276" cy="950597"/>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349990</xdr:colOff>
      <xdr:row>32</xdr:row>
      <xdr:rowOff>152400</xdr:rowOff>
    </xdr:from>
    <xdr:to>
      <xdr:col>7</xdr:col>
      <xdr:colOff>651897</xdr:colOff>
      <xdr:row>36</xdr:row>
      <xdr:rowOff>4005</xdr:rowOff>
    </xdr:to>
    <xdr:cxnSp macro="">
      <xdr:nvCxnSpPr>
        <xdr:cNvPr id="143" name="コネクタ: カギ線 142">
          <a:extLst>
            <a:ext uri="{FF2B5EF4-FFF2-40B4-BE49-F238E27FC236}">
              <a16:creationId xmlns:a16="http://schemas.microsoft.com/office/drawing/2014/main" id="{67318B7C-56FF-4D40-8A49-3AD0F3B2FE8E}"/>
            </a:ext>
          </a:extLst>
        </xdr:cNvPr>
        <xdr:cNvCxnSpPr>
          <a:stCxn id="111" idx="3"/>
          <a:endCxn id="115" idx="2"/>
        </xdr:cNvCxnSpPr>
      </xdr:nvCxnSpPr>
      <xdr:spPr>
        <a:xfrm flipV="1">
          <a:off x="4482375" y="7889631"/>
          <a:ext cx="990637" cy="818759"/>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304686</xdr:colOff>
      <xdr:row>24</xdr:row>
      <xdr:rowOff>146773</xdr:rowOff>
    </xdr:from>
    <xdr:to>
      <xdr:col>9</xdr:col>
      <xdr:colOff>8965</xdr:colOff>
      <xdr:row>37</xdr:row>
      <xdr:rowOff>117056</xdr:rowOff>
    </xdr:to>
    <xdr:cxnSp macro="">
      <xdr:nvCxnSpPr>
        <xdr:cNvPr id="267" name="コネクタ: カギ線 266">
          <a:extLst>
            <a:ext uri="{FF2B5EF4-FFF2-40B4-BE49-F238E27FC236}">
              <a16:creationId xmlns:a16="http://schemas.microsoft.com/office/drawing/2014/main" id="{92986645-2772-DF0B-7DC0-D9A12684D1E0}"/>
            </a:ext>
          </a:extLst>
        </xdr:cNvPr>
        <xdr:cNvCxnSpPr>
          <a:stCxn id="133" idx="3"/>
          <a:endCxn id="111" idx="2"/>
        </xdr:cNvCxnSpPr>
      </xdr:nvCxnSpPr>
      <xdr:spPr>
        <a:xfrm flipH="1">
          <a:off x="3733686" y="5861773"/>
          <a:ext cx="2447479" cy="3065908"/>
        </a:xfrm>
        <a:prstGeom prst="bentConnector4">
          <a:avLst>
            <a:gd name="adj1" fmla="val -20237"/>
            <a:gd name="adj2" fmla="val 107456"/>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405179</xdr:colOff>
      <xdr:row>38</xdr:row>
      <xdr:rowOff>97025</xdr:rowOff>
    </xdr:from>
    <xdr:to>
      <xdr:col>8</xdr:col>
      <xdr:colOff>323850</xdr:colOff>
      <xdr:row>40</xdr:row>
      <xdr:rowOff>228510</xdr:rowOff>
    </xdr:to>
    <xdr:sp macro="" textlink="">
      <xdr:nvSpPr>
        <xdr:cNvPr id="269" name="正方形/長方形 268">
          <a:extLst>
            <a:ext uri="{FF2B5EF4-FFF2-40B4-BE49-F238E27FC236}">
              <a16:creationId xmlns:a16="http://schemas.microsoft.com/office/drawing/2014/main" id="{E270D9FD-8163-4BF6-BB2E-24098C7EA3F0}"/>
            </a:ext>
          </a:extLst>
        </xdr:cNvPr>
        <xdr:cNvSpPr/>
      </xdr:nvSpPr>
      <xdr:spPr>
        <a:xfrm>
          <a:off x="4519979" y="9145775"/>
          <a:ext cx="1290271" cy="6077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ディジタル値</a:t>
          </a:r>
          <a:endParaRPr kumimoji="1" lang="en-US" altLang="ja-JP" sz="1100">
            <a:solidFill>
              <a:schemeClr val="tx1"/>
            </a:solidFill>
          </a:endParaRPr>
        </a:p>
        <a:p>
          <a:pPr algn="ctr"/>
          <a:r>
            <a:rPr kumimoji="1" lang="ja-JP" altLang="en-US" sz="1100">
              <a:solidFill>
                <a:schemeClr val="tx1"/>
              </a:solidFill>
            </a:rPr>
            <a:t>出力再スタート</a:t>
          </a:r>
        </a:p>
      </xdr:txBody>
    </xdr:sp>
    <xdr:clientData/>
  </xdr:twoCellAnchor>
  <xdr:twoCellAnchor>
    <xdr:from>
      <xdr:col>1</xdr:col>
      <xdr:colOff>277586</xdr:colOff>
      <xdr:row>73</xdr:row>
      <xdr:rowOff>201272</xdr:rowOff>
    </xdr:from>
    <xdr:to>
      <xdr:col>2</xdr:col>
      <xdr:colOff>480269</xdr:colOff>
      <xdr:row>78</xdr:row>
      <xdr:rowOff>55910</xdr:rowOff>
    </xdr:to>
    <xdr:sp macro="" textlink="">
      <xdr:nvSpPr>
        <xdr:cNvPr id="2" name="正方形/長方形 1">
          <a:extLst>
            <a:ext uri="{FF2B5EF4-FFF2-40B4-BE49-F238E27FC236}">
              <a16:creationId xmlns:a16="http://schemas.microsoft.com/office/drawing/2014/main" id="{EE10ED2F-F319-45B8-B613-90C01EFE7962}"/>
            </a:ext>
          </a:extLst>
        </xdr:cNvPr>
        <xdr:cNvSpPr/>
      </xdr:nvSpPr>
      <xdr:spPr>
        <a:xfrm>
          <a:off x="957943" y="18081058"/>
          <a:ext cx="883040" cy="1079281"/>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chemeClr val="tx1"/>
              </a:solidFill>
            </a:rPr>
            <a:t>Idle</a:t>
          </a:r>
          <a:endParaRPr kumimoji="1" lang="ja-JP" altLang="en-US" sz="1400">
            <a:solidFill>
              <a:schemeClr val="tx1"/>
            </a:solidFill>
          </a:endParaRPr>
        </a:p>
      </xdr:txBody>
    </xdr:sp>
    <xdr:clientData/>
  </xdr:twoCellAnchor>
  <xdr:twoCellAnchor>
    <xdr:from>
      <xdr:col>9</xdr:col>
      <xdr:colOff>122225</xdr:colOff>
      <xdr:row>73</xdr:row>
      <xdr:rowOff>198039</xdr:rowOff>
    </xdr:from>
    <xdr:to>
      <xdr:col>10</xdr:col>
      <xdr:colOff>451518</xdr:colOff>
      <xdr:row>77</xdr:row>
      <xdr:rowOff>203988</xdr:rowOff>
    </xdr:to>
    <xdr:sp macro="" textlink="">
      <xdr:nvSpPr>
        <xdr:cNvPr id="3" name="正方形/長方形 2">
          <a:extLst>
            <a:ext uri="{FF2B5EF4-FFF2-40B4-BE49-F238E27FC236}">
              <a16:creationId xmlns:a16="http://schemas.microsoft.com/office/drawing/2014/main" id="{44D155F9-75B3-478D-9322-7AC226299B9A}"/>
            </a:ext>
          </a:extLst>
        </xdr:cNvPr>
        <xdr:cNvSpPr/>
      </xdr:nvSpPr>
      <xdr:spPr>
        <a:xfrm>
          <a:off x="6245439" y="18077825"/>
          <a:ext cx="1009650" cy="985663"/>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chemeClr val="tx1"/>
              </a:solidFill>
            </a:rPr>
            <a:t>Active</a:t>
          </a:r>
          <a:endParaRPr kumimoji="1" lang="ja-JP" altLang="en-US" sz="1400">
            <a:solidFill>
              <a:schemeClr val="tx1"/>
            </a:solidFill>
          </a:endParaRPr>
        </a:p>
      </xdr:txBody>
    </xdr:sp>
    <xdr:clientData/>
  </xdr:twoCellAnchor>
  <xdr:twoCellAnchor>
    <xdr:from>
      <xdr:col>2</xdr:col>
      <xdr:colOff>583616</xdr:colOff>
      <xdr:row>71</xdr:row>
      <xdr:rowOff>208503</xdr:rowOff>
    </xdr:from>
    <xdr:to>
      <xdr:col>5</xdr:col>
      <xdr:colOff>321333</xdr:colOff>
      <xdr:row>74</xdr:row>
      <xdr:rowOff>198979</xdr:rowOff>
    </xdr:to>
    <xdr:sp macro="" textlink="">
      <xdr:nvSpPr>
        <xdr:cNvPr id="4" name="正方形/長方形 3">
          <a:extLst>
            <a:ext uri="{FF2B5EF4-FFF2-40B4-BE49-F238E27FC236}">
              <a16:creationId xmlns:a16="http://schemas.microsoft.com/office/drawing/2014/main" id="{49C36A6A-649E-4BA0-9E61-510C7DF6C5D4}"/>
            </a:ext>
          </a:extLst>
        </xdr:cNvPr>
        <xdr:cNvSpPr/>
      </xdr:nvSpPr>
      <xdr:spPr>
        <a:xfrm>
          <a:off x="1944330" y="17598432"/>
          <a:ext cx="1778789" cy="72526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kumimoji="1" lang="en-US" altLang="ja-JP" sz="1100">
              <a:solidFill>
                <a:srgbClr val="00B0F0"/>
              </a:solidFill>
            </a:rPr>
            <a:t>DigitalOutCtrl.start_douts</a:t>
          </a:r>
        </a:p>
        <a:p>
          <a:pPr algn="ctr"/>
          <a:r>
            <a:rPr kumimoji="1" lang="en-US" altLang="ja-JP" sz="1100">
              <a:solidFill>
                <a:schemeClr val="tx1"/>
              </a:solidFill>
            </a:rPr>
            <a:t>or</a:t>
          </a:r>
        </a:p>
        <a:p>
          <a:pPr algn="ctr"/>
          <a:r>
            <a:rPr kumimoji="1" lang="en-US" altLang="ja-JP" sz="1100">
              <a:solidFill>
                <a:schemeClr val="tx1"/>
              </a:solidFill>
            </a:rPr>
            <a:t>AWG </a:t>
          </a:r>
          <a:r>
            <a:rPr kumimoji="1" lang="ja-JP" altLang="en-US" sz="1100">
              <a:solidFill>
                <a:schemeClr val="tx1"/>
              </a:solidFill>
            </a:rPr>
            <a:t>波形出力開始</a:t>
          </a:r>
          <a:endParaRPr kumimoji="1" lang="ja-JP" altLang="en-US" sz="1400">
            <a:solidFill>
              <a:schemeClr val="tx1"/>
            </a:solidFill>
          </a:endParaRPr>
        </a:p>
      </xdr:txBody>
    </xdr:sp>
    <xdr:clientData/>
  </xdr:twoCellAnchor>
  <xdr:twoCellAnchor>
    <xdr:from>
      <xdr:col>10</xdr:col>
      <xdr:colOff>127529</xdr:colOff>
      <xdr:row>77</xdr:row>
      <xdr:rowOff>211705</xdr:rowOff>
    </xdr:from>
    <xdr:to>
      <xdr:col>13</xdr:col>
      <xdr:colOff>55374</xdr:colOff>
      <xdr:row>80</xdr:row>
      <xdr:rowOff>171177</xdr:rowOff>
    </xdr:to>
    <xdr:sp macro="" textlink="">
      <xdr:nvSpPr>
        <xdr:cNvPr id="5" name="正方形/長方形 4">
          <a:extLst>
            <a:ext uri="{FF2B5EF4-FFF2-40B4-BE49-F238E27FC236}">
              <a16:creationId xmlns:a16="http://schemas.microsoft.com/office/drawing/2014/main" id="{43F05D1B-523C-4954-9C01-E87DC41694D8}"/>
            </a:ext>
          </a:extLst>
        </xdr:cNvPr>
        <xdr:cNvSpPr/>
      </xdr:nvSpPr>
      <xdr:spPr>
        <a:xfrm>
          <a:off x="6931100" y="19071205"/>
          <a:ext cx="1968917" cy="69425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a:solidFill>
                <a:srgbClr val="00B0F0"/>
              </a:solidFill>
            </a:rPr>
            <a:t>DigitalOutCtrl.pause_douts</a:t>
          </a:r>
        </a:p>
        <a:p>
          <a:pPr algn="ctr"/>
          <a:r>
            <a:rPr kumimoji="1" lang="en-US" altLang="ja-JP" sz="1100">
              <a:solidFill>
                <a:schemeClr val="tx1"/>
              </a:solidFill>
            </a:rPr>
            <a:t>or</a:t>
          </a:r>
        </a:p>
        <a:p>
          <a:pPr algn="ctr"/>
          <a:r>
            <a:rPr kumimoji="1" lang="en-US" altLang="ja-JP" sz="1100">
              <a:solidFill>
                <a:schemeClr val="tx1"/>
              </a:solidFill>
            </a:rPr>
            <a:t>AWG </a:t>
          </a:r>
          <a:r>
            <a:rPr kumimoji="1" lang="ja-JP" altLang="en-US" sz="1100">
              <a:solidFill>
                <a:schemeClr val="tx1"/>
              </a:solidFill>
            </a:rPr>
            <a:t>波形出力一時停止</a:t>
          </a:r>
        </a:p>
      </xdr:txBody>
    </xdr:sp>
    <xdr:clientData/>
  </xdr:twoCellAnchor>
  <xdr:twoCellAnchor>
    <xdr:from>
      <xdr:col>1</xdr:col>
      <xdr:colOff>603045</xdr:colOff>
      <xdr:row>82</xdr:row>
      <xdr:rowOff>19853</xdr:rowOff>
    </xdr:from>
    <xdr:to>
      <xdr:col>2</xdr:col>
      <xdr:colOff>100959</xdr:colOff>
      <xdr:row>82</xdr:row>
      <xdr:rowOff>185700</xdr:rowOff>
    </xdr:to>
    <xdr:sp macro="" textlink="">
      <xdr:nvSpPr>
        <xdr:cNvPr id="6" name="楕円 5">
          <a:extLst>
            <a:ext uri="{FF2B5EF4-FFF2-40B4-BE49-F238E27FC236}">
              <a16:creationId xmlns:a16="http://schemas.microsoft.com/office/drawing/2014/main" id="{FF136D0C-4DF1-44F6-8182-BF4E8F77F3B4}"/>
            </a:ext>
          </a:extLst>
        </xdr:cNvPr>
        <xdr:cNvSpPr/>
      </xdr:nvSpPr>
      <xdr:spPr>
        <a:xfrm>
          <a:off x="1283402" y="20103996"/>
          <a:ext cx="178271" cy="16584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14040</xdr:colOff>
      <xdr:row>78</xdr:row>
      <xdr:rowOff>78322</xdr:rowOff>
    </xdr:from>
    <xdr:to>
      <xdr:col>2</xdr:col>
      <xdr:colOff>14040</xdr:colOff>
      <xdr:row>82</xdr:row>
      <xdr:rowOff>74878</xdr:rowOff>
    </xdr:to>
    <xdr:cxnSp macro="">
      <xdr:nvCxnSpPr>
        <xdr:cNvPr id="7" name="直線矢印コネクタ 6">
          <a:extLst>
            <a:ext uri="{FF2B5EF4-FFF2-40B4-BE49-F238E27FC236}">
              <a16:creationId xmlns:a16="http://schemas.microsoft.com/office/drawing/2014/main" id="{967560A9-C41F-4817-A574-BE10B10427EE}"/>
            </a:ext>
          </a:extLst>
        </xdr:cNvPr>
        <xdr:cNvCxnSpPr/>
      </xdr:nvCxnSpPr>
      <xdr:spPr>
        <a:xfrm flipV="1">
          <a:off x="1374754" y="19182751"/>
          <a:ext cx="0" cy="97627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412865</xdr:colOff>
      <xdr:row>73</xdr:row>
      <xdr:rowOff>195959</xdr:rowOff>
    </xdr:from>
    <xdr:to>
      <xdr:col>6</xdr:col>
      <xdr:colOff>612352</xdr:colOff>
      <xdr:row>75</xdr:row>
      <xdr:rowOff>139154</xdr:rowOff>
    </xdr:to>
    <xdr:sp macro="" textlink="">
      <xdr:nvSpPr>
        <xdr:cNvPr id="8" name="正方形/長方形 7">
          <a:extLst>
            <a:ext uri="{FF2B5EF4-FFF2-40B4-BE49-F238E27FC236}">
              <a16:creationId xmlns:a16="http://schemas.microsoft.com/office/drawing/2014/main" id="{A5BE0235-091E-4C50-AC15-0DAD9155F5D3}"/>
            </a:ext>
          </a:extLst>
        </xdr:cNvPr>
        <xdr:cNvSpPr/>
      </xdr:nvSpPr>
      <xdr:spPr>
        <a:xfrm>
          <a:off x="3814651" y="18075745"/>
          <a:ext cx="879844" cy="433052"/>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chemeClr val="tx1"/>
              </a:solidFill>
            </a:rPr>
            <a:t>Prepare</a:t>
          </a:r>
          <a:endParaRPr kumimoji="1" lang="ja-JP" altLang="en-US" sz="1400">
            <a:solidFill>
              <a:schemeClr val="tx1"/>
            </a:solidFill>
          </a:endParaRPr>
        </a:p>
      </xdr:txBody>
    </xdr:sp>
    <xdr:clientData/>
  </xdr:twoCellAnchor>
  <xdr:twoCellAnchor>
    <xdr:from>
      <xdr:col>9</xdr:col>
      <xdr:colOff>131750</xdr:colOff>
      <xdr:row>81</xdr:row>
      <xdr:rowOff>19380</xdr:rowOff>
    </xdr:from>
    <xdr:to>
      <xdr:col>10</xdr:col>
      <xdr:colOff>470568</xdr:colOff>
      <xdr:row>83</xdr:row>
      <xdr:rowOff>6452</xdr:rowOff>
    </xdr:to>
    <xdr:sp macro="" textlink="">
      <xdr:nvSpPr>
        <xdr:cNvPr id="9" name="正方形/長方形 8">
          <a:extLst>
            <a:ext uri="{FF2B5EF4-FFF2-40B4-BE49-F238E27FC236}">
              <a16:creationId xmlns:a16="http://schemas.microsoft.com/office/drawing/2014/main" id="{56FE56E7-5F31-452D-B548-BDC503D5BCC0}"/>
            </a:ext>
          </a:extLst>
        </xdr:cNvPr>
        <xdr:cNvSpPr/>
      </xdr:nvSpPr>
      <xdr:spPr>
        <a:xfrm>
          <a:off x="6254964" y="19858594"/>
          <a:ext cx="1019175" cy="476929"/>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chemeClr val="tx1"/>
              </a:solidFill>
            </a:rPr>
            <a:t>Pause</a:t>
          </a:r>
          <a:endParaRPr kumimoji="1" lang="ja-JP" altLang="en-US" sz="1400">
            <a:solidFill>
              <a:schemeClr val="tx1"/>
            </a:solidFill>
          </a:endParaRPr>
        </a:p>
      </xdr:txBody>
    </xdr:sp>
    <xdr:clientData/>
  </xdr:twoCellAnchor>
  <xdr:twoCellAnchor>
    <xdr:from>
      <xdr:col>2</xdr:col>
      <xdr:colOff>513676</xdr:colOff>
      <xdr:row>74</xdr:row>
      <xdr:rowOff>185669</xdr:rowOff>
    </xdr:from>
    <xdr:to>
      <xdr:col>5</xdr:col>
      <xdr:colOff>403938</xdr:colOff>
      <xdr:row>74</xdr:row>
      <xdr:rowOff>185669</xdr:rowOff>
    </xdr:to>
    <xdr:cxnSp macro="">
      <xdr:nvCxnSpPr>
        <xdr:cNvPr id="10" name="直線矢印コネクタ 9">
          <a:extLst>
            <a:ext uri="{FF2B5EF4-FFF2-40B4-BE49-F238E27FC236}">
              <a16:creationId xmlns:a16="http://schemas.microsoft.com/office/drawing/2014/main" id="{8442D618-BD98-472A-A408-682E5D9245A1}"/>
            </a:ext>
          </a:extLst>
        </xdr:cNvPr>
        <xdr:cNvCxnSpPr/>
      </xdr:nvCxnSpPr>
      <xdr:spPr>
        <a:xfrm>
          <a:off x="1874390" y="18310383"/>
          <a:ext cx="1931334"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614449</xdr:colOff>
      <xdr:row>74</xdr:row>
      <xdr:rowOff>211362</xdr:rowOff>
    </xdr:from>
    <xdr:to>
      <xdr:col>9</xdr:col>
      <xdr:colOff>105660</xdr:colOff>
      <xdr:row>74</xdr:row>
      <xdr:rowOff>211362</xdr:rowOff>
    </xdr:to>
    <xdr:cxnSp macro="">
      <xdr:nvCxnSpPr>
        <xdr:cNvPr id="11" name="直線矢印コネクタ 10">
          <a:extLst>
            <a:ext uri="{FF2B5EF4-FFF2-40B4-BE49-F238E27FC236}">
              <a16:creationId xmlns:a16="http://schemas.microsoft.com/office/drawing/2014/main" id="{E03FCED0-2034-4180-96CF-CA12DF5F91F0}"/>
            </a:ext>
          </a:extLst>
        </xdr:cNvPr>
        <xdr:cNvCxnSpPr/>
      </xdr:nvCxnSpPr>
      <xdr:spPr>
        <a:xfrm>
          <a:off x="4696592" y="18336076"/>
          <a:ext cx="1532282"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196350</xdr:colOff>
      <xdr:row>73</xdr:row>
      <xdr:rowOff>143196</xdr:rowOff>
    </xdr:from>
    <xdr:to>
      <xdr:col>8</xdr:col>
      <xdr:colOff>509270</xdr:colOff>
      <xdr:row>74</xdr:row>
      <xdr:rowOff>230523</xdr:rowOff>
    </xdr:to>
    <xdr:sp macro="" textlink="">
      <xdr:nvSpPr>
        <xdr:cNvPr id="12" name="正方形/長方形 11">
          <a:extLst>
            <a:ext uri="{FF2B5EF4-FFF2-40B4-BE49-F238E27FC236}">
              <a16:creationId xmlns:a16="http://schemas.microsoft.com/office/drawing/2014/main" id="{ED406623-AFE8-4972-89C7-91DC93624FEF}"/>
            </a:ext>
          </a:extLst>
        </xdr:cNvPr>
        <xdr:cNvSpPr/>
      </xdr:nvSpPr>
      <xdr:spPr>
        <a:xfrm>
          <a:off x="4958850" y="18022982"/>
          <a:ext cx="993277" cy="33225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kumimoji="1" lang="en-US" altLang="ja-JP" sz="1200">
              <a:solidFill>
                <a:schemeClr val="tx1"/>
              </a:solidFill>
            </a:rPr>
            <a:t>(</a:t>
          </a:r>
          <a:r>
            <a:rPr kumimoji="1" lang="ja-JP" altLang="en-US" sz="1200">
              <a:solidFill>
                <a:schemeClr val="tx1"/>
              </a:solidFill>
            </a:rPr>
            <a:t>自動遷移</a:t>
          </a:r>
          <a:r>
            <a:rPr kumimoji="1" lang="en-US" altLang="ja-JP" sz="1200">
              <a:solidFill>
                <a:schemeClr val="tx1"/>
              </a:solidFill>
            </a:rPr>
            <a:t>)</a:t>
          </a:r>
          <a:endParaRPr kumimoji="1" lang="ja-JP" altLang="en-US" sz="1200">
            <a:solidFill>
              <a:schemeClr val="tx1"/>
            </a:solidFill>
          </a:endParaRPr>
        </a:p>
      </xdr:txBody>
    </xdr:sp>
    <xdr:clientData/>
  </xdr:twoCellAnchor>
  <xdr:twoCellAnchor>
    <xdr:from>
      <xdr:col>10</xdr:col>
      <xdr:colOff>117976</xdr:colOff>
      <xdr:row>77</xdr:row>
      <xdr:rowOff>222726</xdr:rowOff>
    </xdr:from>
    <xdr:to>
      <xdr:col>10</xdr:col>
      <xdr:colOff>117976</xdr:colOff>
      <xdr:row>80</xdr:row>
      <xdr:rowOff>235604</xdr:rowOff>
    </xdr:to>
    <xdr:cxnSp macro="">
      <xdr:nvCxnSpPr>
        <xdr:cNvPr id="13" name="直線矢印コネクタ 12">
          <a:extLst>
            <a:ext uri="{FF2B5EF4-FFF2-40B4-BE49-F238E27FC236}">
              <a16:creationId xmlns:a16="http://schemas.microsoft.com/office/drawing/2014/main" id="{7E32677B-615C-4A1F-BC8F-DF05B5B28311}"/>
            </a:ext>
          </a:extLst>
        </xdr:cNvPr>
        <xdr:cNvCxnSpPr/>
      </xdr:nvCxnSpPr>
      <xdr:spPr>
        <a:xfrm>
          <a:off x="6921547" y="19082226"/>
          <a:ext cx="0" cy="74766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410869</xdr:colOff>
      <xdr:row>77</xdr:row>
      <xdr:rowOff>228608</xdr:rowOff>
    </xdr:from>
    <xdr:to>
      <xdr:col>9</xdr:col>
      <xdr:colOff>410869</xdr:colOff>
      <xdr:row>80</xdr:row>
      <xdr:rowOff>229392</xdr:rowOff>
    </xdr:to>
    <xdr:cxnSp macro="">
      <xdr:nvCxnSpPr>
        <xdr:cNvPr id="14" name="直線矢印コネクタ 13">
          <a:extLst>
            <a:ext uri="{FF2B5EF4-FFF2-40B4-BE49-F238E27FC236}">
              <a16:creationId xmlns:a16="http://schemas.microsoft.com/office/drawing/2014/main" id="{CBEFE709-102F-4A5F-9B61-83928685EC7C}"/>
            </a:ext>
          </a:extLst>
        </xdr:cNvPr>
        <xdr:cNvCxnSpPr/>
      </xdr:nvCxnSpPr>
      <xdr:spPr>
        <a:xfrm flipV="1">
          <a:off x="6534083" y="19088108"/>
          <a:ext cx="0" cy="73557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506773</xdr:colOff>
      <xdr:row>77</xdr:row>
      <xdr:rowOff>204220</xdr:rowOff>
    </xdr:from>
    <xdr:to>
      <xdr:col>9</xdr:col>
      <xdr:colOff>409595</xdr:colOff>
      <xdr:row>80</xdr:row>
      <xdr:rowOff>181177</xdr:rowOff>
    </xdr:to>
    <xdr:sp macro="" textlink="">
      <xdr:nvSpPr>
        <xdr:cNvPr id="15" name="正方形/長方形 14">
          <a:extLst>
            <a:ext uri="{FF2B5EF4-FFF2-40B4-BE49-F238E27FC236}">
              <a16:creationId xmlns:a16="http://schemas.microsoft.com/office/drawing/2014/main" id="{4A74679C-E4D5-460E-8021-8AC973B4AB3B}"/>
            </a:ext>
          </a:extLst>
        </xdr:cNvPr>
        <xdr:cNvSpPr/>
      </xdr:nvSpPr>
      <xdr:spPr>
        <a:xfrm>
          <a:off x="4588916" y="19063720"/>
          <a:ext cx="1943893" cy="71174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rgbClr val="00B0F0"/>
              </a:solidFill>
            </a:rPr>
            <a:t>DigitalOutCtrl.resume_douts</a:t>
          </a:r>
        </a:p>
        <a:p>
          <a:pPr algn="ctr"/>
          <a:r>
            <a:rPr kumimoji="1" lang="en-US" altLang="ja-JP" sz="1100">
              <a:solidFill>
                <a:schemeClr val="tx1"/>
              </a:solidFill>
            </a:rPr>
            <a:t>or</a:t>
          </a:r>
        </a:p>
        <a:p>
          <a:pPr algn="ctr"/>
          <a:r>
            <a:rPr kumimoji="1" lang="en-US" altLang="ja-JP" sz="1100">
              <a:solidFill>
                <a:schemeClr val="tx1"/>
              </a:solidFill>
            </a:rPr>
            <a:t>AWG </a:t>
          </a:r>
          <a:r>
            <a:rPr kumimoji="1" lang="ja-JP" altLang="en-US" sz="1100">
              <a:solidFill>
                <a:schemeClr val="tx1"/>
              </a:solidFill>
            </a:rPr>
            <a:t>波形出力再開</a:t>
          </a:r>
        </a:p>
      </xdr:txBody>
    </xdr:sp>
    <xdr:clientData/>
  </xdr:twoCellAnchor>
  <xdr:twoCellAnchor>
    <xdr:from>
      <xdr:col>6</xdr:col>
      <xdr:colOff>173199</xdr:colOff>
      <xdr:row>75</xdr:row>
      <xdr:rowOff>139154</xdr:rowOff>
    </xdr:from>
    <xdr:to>
      <xdr:col>9</xdr:col>
      <xdr:colOff>131750</xdr:colOff>
      <xdr:row>82</xdr:row>
      <xdr:rowOff>12916</xdr:rowOff>
    </xdr:to>
    <xdr:cxnSp macro="">
      <xdr:nvCxnSpPr>
        <xdr:cNvPr id="16" name="コネクタ: カギ線 15">
          <a:extLst>
            <a:ext uri="{FF2B5EF4-FFF2-40B4-BE49-F238E27FC236}">
              <a16:creationId xmlns:a16="http://schemas.microsoft.com/office/drawing/2014/main" id="{CE33C330-953A-41F8-9E2E-3EDCF2634E12}"/>
            </a:ext>
          </a:extLst>
        </xdr:cNvPr>
        <xdr:cNvCxnSpPr>
          <a:stCxn id="9" idx="1"/>
          <a:endCxn id="8" idx="2"/>
        </xdr:cNvCxnSpPr>
      </xdr:nvCxnSpPr>
      <xdr:spPr>
        <a:xfrm rot="10800000">
          <a:off x="4255342" y="18508797"/>
          <a:ext cx="1999622" cy="1588262"/>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209545</xdr:colOff>
      <xdr:row>72</xdr:row>
      <xdr:rowOff>45300</xdr:rowOff>
    </xdr:from>
    <xdr:to>
      <xdr:col>7</xdr:col>
      <xdr:colOff>532193</xdr:colOff>
      <xdr:row>73</xdr:row>
      <xdr:rowOff>33849</xdr:rowOff>
    </xdr:to>
    <xdr:sp macro="" textlink="">
      <xdr:nvSpPr>
        <xdr:cNvPr id="17" name="正方形/長方形 16">
          <a:extLst>
            <a:ext uri="{FF2B5EF4-FFF2-40B4-BE49-F238E27FC236}">
              <a16:creationId xmlns:a16="http://schemas.microsoft.com/office/drawing/2014/main" id="{EC5B5559-5D6C-47B6-98E5-B4251EF76E13}"/>
            </a:ext>
          </a:extLst>
        </xdr:cNvPr>
        <xdr:cNvSpPr/>
      </xdr:nvSpPr>
      <xdr:spPr>
        <a:xfrm>
          <a:off x="4972045" y="17680157"/>
          <a:ext cx="322648" cy="23347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endParaRPr kumimoji="1" lang="ja-JP" altLang="en-US" sz="1100">
            <a:solidFill>
              <a:schemeClr val="tx1"/>
            </a:solidFill>
          </a:endParaRPr>
        </a:p>
      </xdr:txBody>
    </xdr:sp>
    <xdr:clientData/>
  </xdr:twoCellAnchor>
  <xdr:twoCellAnchor>
    <xdr:from>
      <xdr:col>6</xdr:col>
      <xdr:colOff>42955</xdr:colOff>
      <xdr:row>81</xdr:row>
      <xdr:rowOff>226540</xdr:rowOff>
    </xdr:from>
    <xdr:to>
      <xdr:col>8</xdr:col>
      <xdr:colOff>593818</xdr:colOff>
      <xdr:row>84</xdr:row>
      <xdr:rowOff>231273</xdr:rowOff>
    </xdr:to>
    <xdr:sp macro="" textlink="">
      <xdr:nvSpPr>
        <xdr:cNvPr id="18" name="正方形/長方形 17">
          <a:extLst>
            <a:ext uri="{FF2B5EF4-FFF2-40B4-BE49-F238E27FC236}">
              <a16:creationId xmlns:a16="http://schemas.microsoft.com/office/drawing/2014/main" id="{30391590-7A59-4888-93B2-61AB074A2DE6}"/>
            </a:ext>
          </a:extLst>
        </xdr:cNvPr>
        <xdr:cNvSpPr/>
      </xdr:nvSpPr>
      <xdr:spPr>
        <a:xfrm>
          <a:off x="4125098" y="20065754"/>
          <a:ext cx="1911577" cy="73951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rgbClr val="00B0F0"/>
              </a:solidFill>
            </a:rPr>
            <a:t>DigitalOutCtrl.restart_douts</a:t>
          </a:r>
        </a:p>
        <a:p>
          <a:pPr algn="ctr"/>
          <a:r>
            <a:rPr kumimoji="1" lang="en-US" altLang="ja-JP" sz="1100">
              <a:solidFill>
                <a:schemeClr val="tx1"/>
              </a:solidFill>
            </a:rPr>
            <a:t>or</a:t>
          </a:r>
        </a:p>
        <a:p>
          <a:pPr algn="ctr"/>
          <a:r>
            <a:rPr kumimoji="1" lang="en-US" altLang="ja-JP" sz="1100">
              <a:solidFill>
                <a:schemeClr val="tx1"/>
              </a:solidFill>
            </a:rPr>
            <a:t>AWG </a:t>
          </a:r>
          <a:r>
            <a:rPr kumimoji="1" lang="ja-JP" altLang="en-US" sz="1100">
              <a:solidFill>
                <a:schemeClr val="tx1"/>
              </a:solidFill>
            </a:rPr>
            <a:t>波形出力開始</a:t>
          </a:r>
        </a:p>
      </xdr:txBody>
    </xdr:sp>
    <xdr:clientData/>
  </xdr:twoCellAnchor>
  <xdr:twoCellAnchor>
    <xdr:from>
      <xdr:col>1</xdr:col>
      <xdr:colOff>642922</xdr:colOff>
      <xdr:row>79</xdr:row>
      <xdr:rowOff>163854</xdr:rowOff>
    </xdr:from>
    <xdr:to>
      <xdr:col>4</xdr:col>
      <xdr:colOff>167739</xdr:colOff>
      <xdr:row>81</xdr:row>
      <xdr:rowOff>28482</xdr:rowOff>
    </xdr:to>
    <xdr:sp macro="" textlink="">
      <xdr:nvSpPr>
        <xdr:cNvPr id="19" name="正方形/長方形 18">
          <a:extLst>
            <a:ext uri="{FF2B5EF4-FFF2-40B4-BE49-F238E27FC236}">
              <a16:creationId xmlns:a16="http://schemas.microsoft.com/office/drawing/2014/main" id="{6867E245-DD17-45C8-8499-716DC816C43A}"/>
            </a:ext>
          </a:extLst>
        </xdr:cNvPr>
        <xdr:cNvSpPr/>
      </xdr:nvSpPr>
      <xdr:spPr>
        <a:xfrm>
          <a:off x="1323279" y="19513211"/>
          <a:ext cx="1565889" cy="35448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rgbClr val="00B0F0"/>
              </a:solidFill>
            </a:rPr>
            <a:t>DigitalOutCtrl.initialize</a:t>
          </a:r>
        </a:p>
      </xdr:txBody>
    </xdr:sp>
    <xdr:clientData/>
  </xdr:twoCellAnchor>
  <xdr:twoCellAnchor>
    <xdr:from>
      <xdr:col>2</xdr:col>
      <xdr:colOff>44961</xdr:colOff>
      <xdr:row>73</xdr:row>
      <xdr:rowOff>201272</xdr:rowOff>
    </xdr:from>
    <xdr:to>
      <xdr:col>10</xdr:col>
      <xdr:colOff>470568</xdr:colOff>
      <xdr:row>82</xdr:row>
      <xdr:rowOff>12916</xdr:rowOff>
    </xdr:to>
    <xdr:cxnSp macro="">
      <xdr:nvCxnSpPr>
        <xdr:cNvPr id="20" name="コネクタ: カギ線 19">
          <a:extLst>
            <a:ext uri="{FF2B5EF4-FFF2-40B4-BE49-F238E27FC236}">
              <a16:creationId xmlns:a16="http://schemas.microsoft.com/office/drawing/2014/main" id="{528B15FC-3192-459E-A4E3-F5BBE474FB46}"/>
            </a:ext>
          </a:extLst>
        </xdr:cNvPr>
        <xdr:cNvCxnSpPr>
          <a:stCxn id="9" idx="3"/>
          <a:endCxn id="2" idx="0"/>
        </xdr:cNvCxnSpPr>
      </xdr:nvCxnSpPr>
      <xdr:spPr>
        <a:xfrm flipH="1" flipV="1">
          <a:off x="1405675" y="18081058"/>
          <a:ext cx="5868464" cy="2016001"/>
        </a:xfrm>
        <a:prstGeom prst="bentConnector4">
          <a:avLst>
            <a:gd name="adj1" fmla="val -29565"/>
            <a:gd name="adj2" fmla="val 142646"/>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173319</xdr:colOff>
      <xdr:row>70</xdr:row>
      <xdr:rowOff>50533</xdr:rowOff>
    </xdr:from>
    <xdr:to>
      <xdr:col>6</xdr:col>
      <xdr:colOff>173319</xdr:colOff>
      <xdr:row>73</xdr:row>
      <xdr:rowOff>184008</xdr:rowOff>
    </xdr:to>
    <xdr:cxnSp macro="">
      <xdr:nvCxnSpPr>
        <xdr:cNvPr id="21" name="直線矢印コネクタ 20">
          <a:extLst>
            <a:ext uri="{FF2B5EF4-FFF2-40B4-BE49-F238E27FC236}">
              <a16:creationId xmlns:a16="http://schemas.microsoft.com/office/drawing/2014/main" id="{F254490F-544F-4ABA-A023-E3D82F61BD54}"/>
            </a:ext>
          </a:extLst>
        </xdr:cNvPr>
        <xdr:cNvCxnSpPr/>
      </xdr:nvCxnSpPr>
      <xdr:spPr>
        <a:xfrm flipV="1">
          <a:off x="4255462" y="17195533"/>
          <a:ext cx="0" cy="868261"/>
        </a:xfrm>
        <a:prstGeom prst="straightConnector1">
          <a:avLst/>
        </a:prstGeom>
        <a:ln>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608998</xdr:colOff>
      <xdr:row>70</xdr:row>
      <xdr:rowOff>50533</xdr:rowOff>
    </xdr:from>
    <xdr:to>
      <xdr:col>9</xdr:col>
      <xdr:colOff>608998</xdr:colOff>
      <xdr:row>73</xdr:row>
      <xdr:rowOff>170756</xdr:rowOff>
    </xdr:to>
    <xdr:cxnSp macro="">
      <xdr:nvCxnSpPr>
        <xdr:cNvPr id="22" name="直線矢印コネクタ 21">
          <a:extLst>
            <a:ext uri="{FF2B5EF4-FFF2-40B4-BE49-F238E27FC236}">
              <a16:creationId xmlns:a16="http://schemas.microsoft.com/office/drawing/2014/main" id="{614B40BC-8D3F-4E18-AD83-0FD42FE302A8}"/>
            </a:ext>
          </a:extLst>
        </xdr:cNvPr>
        <xdr:cNvCxnSpPr/>
      </xdr:nvCxnSpPr>
      <xdr:spPr>
        <a:xfrm flipV="1">
          <a:off x="6732212" y="17195533"/>
          <a:ext cx="0" cy="855009"/>
        </a:xfrm>
        <a:prstGeom prst="straightConnector1">
          <a:avLst/>
        </a:prstGeom>
        <a:ln>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589444</xdr:colOff>
      <xdr:row>68</xdr:row>
      <xdr:rowOff>198664</xdr:rowOff>
    </xdr:from>
    <xdr:to>
      <xdr:col>8</xdr:col>
      <xdr:colOff>668087</xdr:colOff>
      <xdr:row>70</xdr:row>
      <xdr:rowOff>49259</xdr:rowOff>
    </xdr:to>
    <xdr:sp macro="" textlink="">
      <xdr:nvSpPr>
        <xdr:cNvPr id="23" name="正方形/長方形 22">
          <a:extLst>
            <a:ext uri="{FF2B5EF4-FFF2-40B4-BE49-F238E27FC236}">
              <a16:creationId xmlns:a16="http://schemas.microsoft.com/office/drawing/2014/main" id="{FA9D9CBE-3F9A-4A31-8678-A0FBC2C555C0}"/>
            </a:ext>
          </a:extLst>
        </xdr:cNvPr>
        <xdr:cNvSpPr/>
      </xdr:nvSpPr>
      <xdr:spPr>
        <a:xfrm>
          <a:off x="3991230" y="16853807"/>
          <a:ext cx="2119714" cy="34045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r>
            <a:rPr kumimoji="1" lang="en-US" altLang="ja-JP" sz="1100">
              <a:solidFill>
                <a:srgbClr val="00B0F0"/>
              </a:solidFill>
            </a:rPr>
            <a:t>DigitalOutCtrl.terminate_douts</a:t>
          </a:r>
        </a:p>
      </xdr:txBody>
    </xdr:sp>
    <xdr:clientData/>
  </xdr:twoCellAnchor>
  <xdr:twoCellAnchor>
    <xdr:from>
      <xdr:col>2</xdr:col>
      <xdr:colOff>500788</xdr:colOff>
      <xdr:row>76</xdr:row>
      <xdr:rowOff>211283</xdr:rowOff>
    </xdr:from>
    <xdr:to>
      <xdr:col>9</xdr:col>
      <xdr:colOff>76671</xdr:colOff>
      <xdr:row>76</xdr:row>
      <xdr:rowOff>211283</xdr:rowOff>
    </xdr:to>
    <xdr:cxnSp macro="">
      <xdr:nvCxnSpPr>
        <xdr:cNvPr id="24" name="直線矢印コネクタ 23">
          <a:extLst>
            <a:ext uri="{FF2B5EF4-FFF2-40B4-BE49-F238E27FC236}">
              <a16:creationId xmlns:a16="http://schemas.microsoft.com/office/drawing/2014/main" id="{7C8FA77D-5F4B-41C3-8EC9-4EA1E55974BD}"/>
            </a:ext>
          </a:extLst>
        </xdr:cNvPr>
        <xdr:cNvCxnSpPr/>
      </xdr:nvCxnSpPr>
      <xdr:spPr>
        <a:xfrm flipH="1">
          <a:off x="1861502" y="18825854"/>
          <a:ext cx="433838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18899</xdr:colOff>
      <xdr:row>76</xdr:row>
      <xdr:rowOff>160885</xdr:rowOff>
    </xdr:from>
    <xdr:to>
      <xdr:col>6</xdr:col>
      <xdr:colOff>14374</xdr:colOff>
      <xdr:row>78</xdr:row>
      <xdr:rowOff>20611</xdr:rowOff>
    </xdr:to>
    <xdr:sp macro="" textlink="">
      <xdr:nvSpPr>
        <xdr:cNvPr id="25" name="正方形/長方形 24">
          <a:extLst>
            <a:ext uri="{FF2B5EF4-FFF2-40B4-BE49-F238E27FC236}">
              <a16:creationId xmlns:a16="http://schemas.microsoft.com/office/drawing/2014/main" id="{11362172-1E34-44A9-9E9C-91E758915873}"/>
            </a:ext>
          </a:extLst>
        </xdr:cNvPr>
        <xdr:cNvSpPr/>
      </xdr:nvSpPr>
      <xdr:spPr>
        <a:xfrm>
          <a:off x="2059970" y="18775456"/>
          <a:ext cx="2036547" cy="34958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kumimoji="1" lang="ja-JP" altLang="en-US" sz="1100">
              <a:solidFill>
                <a:schemeClr val="tx1"/>
              </a:solidFill>
            </a:rPr>
            <a:t>全ディジタル出力完了</a:t>
          </a:r>
        </a:p>
      </xdr:txBody>
    </xdr:sp>
    <xdr:clientData/>
  </xdr:twoCellAnchor>
  <xdr:twoCellAnchor>
    <xdr:from>
      <xdr:col>1</xdr:col>
      <xdr:colOff>407323</xdr:colOff>
      <xdr:row>46</xdr:row>
      <xdr:rowOff>121506</xdr:rowOff>
    </xdr:from>
    <xdr:to>
      <xdr:col>3</xdr:col>
      <xdr:colOff>558364</xdr:colOff>
      <xdr:row>49</xdr:row>
      <xdr:rowOff>115433</xdr:rowOff>
    </xdr:to>
    <xdr:sp macro="" textlink="">
      <xdr:nvSpPr>
        <xdr:cNvPr id="41" name="正方形/長方形 40">
          <a:extLst>
            <a:ext uri="{FF2B5EF4-FFF2-40B4-BE49-F238E27FC236}">
              <a16:creationId xmlns:a16="http://schemas.microsoft.com/office/drawing/2014/main" id="{4C10A828-41FF-4819-9ED6-7F6B8A38BAFD}"/>
            </a:ext>
          </a:extLst>
        </xdr:cNvPr>
        <xdr:cNvSpPr/>
      </xdr:nvSpPr>
      <xdr:spPr>
        <a:xfrm>
          <a:off x="1087680" y="11388220"/>
          <a:ext cx="1511755" cy="728713"/>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chemeClr val="tx1"/>
              </a:solidFill>
            </a:rPr>
            <a:t>RESET</a:t>
          </a:r>
          <a:endParaRPr kumimoji="1" lang="ja-JP" altLang="en-US" sz="1400" b="1">
            <a:solidFill>
              <a:schemeClr val="tx1"/>
            </a:solidFill>
          </a:endParaRPr>
        </a:p>
      </xdr:txBody>
    </xdr:sp>
    <xdr:clientData/>
  </xdr:twoCellAnchor>
  <xdr:twoCellAnchor>
    <xdr:from>
      <xdr:col>1</xdr:col>
      <xdr:colOff>434712</xdr:colOff>
      <xdr:row>52</xdr:row>
      <xdr:rowOff>226393</xdr:rowOff>
    </xdr:from>
    <xdr:to>
      <xdr:col>3</xdr:col>
      <xdr:colOff>477652</xdr:colOff>
      <xdr:row>56</xdr:row>
      <xdr:rowOff>401</xdr:rowOff>
    </xdr:to>
    <xdr:sp macro="" textlink="">
      <xdr:nvSpPr>
        <xdr:cNvPr id="42" name="正方形/長方形 41">
          <a:extLst>
            <a:ext uri="{FF2B5EF4-FFF2-40B4-BE49-F238E27FC236}">
              <a16:creationId xmlns:a16="http://schemas.microsoft.com/office/drawing/2014/main" id="{F6C73FFF-B2B8-42DE-A547-85CD57B21099}"/>
            </a:ext>
          </a:extLst>
        </xdr:cNvPr>
        <xdr:cNvSpPr/>
      </xdr:nvSpPr>
      <xdr:spPr>
        <a:xfrm>
          <a:off x="1115069" y="12962679"/>
          <a:ext cx="1403654" cy="753722"/>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chemeClr val="tx1"/>
              </a:solidFill>
            </a:rPr>
            <a:t>IDLE</a:t>
          </a:r>
        </a:p>
      </xdr:txBody>
    </xdr:sp>
    <xdr:clientData/>
  </xdr:twoCellAnchor>
  <xdr:twoCellAnchor>
    <xdr:from>
      <xdr:col>2</xdr:col>
      <xdr:colOff>247489</xdr:colOff>
      <xdr:row>49</xdr:row>
      <xdr:rowOff>126547</xdr:rowOff>
    </xdr:from>
    <xdr:to>
      <xdr:col>2</xdr:col>
      <xdr:colOff>247489</xdr:colOff>
      <xdr:row>52</xdr:row>
      <xdr:rowOff>235051</xdr:rowOff>
    </xdr:to>
    <xdr:cxnSp macro="">
      <xdr:nvCxnSpPr>
        <xdr:cNvPr id="43" name="直線矢印コネクタ 42">
          <a:extLst>
            <a:ext uri="{FF2B5EF4-FFF2-40B4-BE49-F238E27FC236}">
              <a16:creationId xmlns:a16="http://schemas.microsoft.com/office/drawing/2014/main" id="{6BEF753F-94DA-48D8-ACAE-C82104AB4D04}"/>
            </a:ext>
          </a:extLst>
        </xdr:cNvPr>
        <xdr:cNvCxnSpPr/>
      </xdr:nvCxnSpPr>
      <xdr:spPr>
        <a:xfrm>
          <a:off x="1608203" y="12128047"/>
          <a:ext cx="0" cy="84329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33504</xdr:colOff>
      <xdr:row>57</xdr:row>
      <xdr:rowOff>221189</xdr:rowOff>
    </xdr:from>
    <xdr:to>
      <xdr:col>6</xdr:col>
      <xdr:colOff>124112</xdr:colOff>
      <xdr:row>60</xdr:row>
      <xdr:rowOff>205503</xdr:rowOff>
    </xdr:to>
    <xdr:sp macro="" textlink="">
      <xdr:nvSpPr>
        <xdr:cNvPr id="44" name="正方形/長方形 43">
          <a:extLst>
            <a:ext uri="{FF2B5EF4-FFF2-40B4-BE49-F238E27FC236}">
              <a16:creationId xmlns:a16="http://schemas.microsoft.com/office/drawing/2014/main" id="{0E299095-C37E-4926-BF57-E93588FE49D9}"/>
            </a:ext>
          </a:extLst>
        </xdr:cNvPr>
        <xdr:cNvSpPr/>
      </xdr:nvSpPr>
      <xdr:spPr>
        <a:xfrm>
          <a:off x="2754933" y="14182118"/>
          <a:ext cx="1451322" cy="719099"/>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chemeClr val="tx1"/>
              </a:solidFill>
            </a:rPr>
            <a:t>PREPARE</a:t>
          </a:r>
        </a:p>
      </xdr:txBody>
    </xdr:sp>
    <xdr:clientData/>
  </xdr:twoCellAnchor>
  <xdr:twoCellAnchor>
    <xdr:from>
      <xdr:col>6</xdr:col>
      <xdr:colOff>326429</xdr:colOff>
      <xdr:row>52</xdr:row>
      <xdr:rowOff>240237</xdr:rowOff>
    </xdr:from>
    <xdr:to>
      <xdr:col>8</xdr:col>
      <xdr:colOff>517234</xdr:colOff>
      <xdr:row>55</xdr:row>
      <xdr:rowOff>240847</xdr:rowOff>
    </xdr:to>
    <xdr:sp macro="" textlink="">
      <xdr:nvSpPr>
        <xdr:cNvPr id="45" name="正方形/長方形 44">
          <a:extLst>
            <a:ext uri="{FF2B5EF4-FFF2-40B4-BE49-F238E27FC236}">
              <a16:creationId xmlns:a16="http://schemas.microsoft.com/office/drawing/2014/main" id="{FF17F4D0-67E7-4B23-BC84-3E36C759B944}"/>
            </a:ext>
          </a:extLst>
        </xdr:cNvPr>
        <xdr:cNvSpPr/>
      </xdr:nvSpPr>
      <xdr:spPr>
        <a:xfrm>
          <a:off x="4408572" y="12976523"/>
          <a:ext cx="1551519" cy="735395"/>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chemeClr val="tx1"/>
              </a:solidFill>
            </a:rPr>
            <a:t>ACTIVE</a:t>
          </a:r>
        </a:p>
      </xdr:txBody>
    </xdr:sp>
    <xdr:clientData/>
  </xdr:twoCellAnchor>
  <xdr:twoCellAnchor>
    <xdr:from>
      <xdr:col>4</xdr:col>
      <xdr:colOff>613791</xdr:colOff>
      <xdr:row>47</xdr:row>
      <xdr:rowOff>79413</xdr:rowOff>
    </xdr:from>
    <xdr:to>
      <xdr:col>5</xdr:col>
      <xdr:colOff>258842</xdr:colOff>
      <xdr:row>48</xdr:row>
      <xdr:rowOff>165137</xdr:rowOff>
    </xdr:to>
    <xdr:sp macro="" textlink="">
      <xdr:nvSpPr>
        <xdr:cNvPr id="46" name="楕円 45">
          <a:extLst>
            <a:ext uri="{FF2B5EF4-FFF2-40B4-BE49-F238E27FC236}">
              <a16:creationId xmlns:a16="http://schemas.microsoft.com/office/drawing/2014/main" id="{AAD28495-3C22-4E76-80A9-2CC2A9C14198}"/>
            </a:ext>
          </a:extLst>
        </xdr:cNvPr>
        <xdr:cNvSpPr/>
      </xdr:nvSpPr>
      <xdr:spPr>
        <a:xfrm>
          <a:off x="3335220" y="11591056"/>
          <a:ext cx="325408" cy="330652"/>
        </a:xfrm>
        <a:prstGeom prst="ellipse">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558364</xdr:colOff>
      <xdr:row>47</xdr:row>
      <xdr:rowOff>238934</xdr:rowOff>
    </xdr:from>
    <xdr:to>
      <xdr:col>5</xdr:col>
      <xdr:colOff>74440</xdr:colOff>
      <xdr:row>47</xdr:row>
      <xdr:rowOff>238934</xdr:rowOff>
    </xdr:to>
    <xdr:cxnSp macro="">
      <xdr:nvCxnSpPr>
        <xdr:cNvPr id="47" name="直線矢印コネクタ 46">
          <a:extLst>
            <a:ext uri="{FF2B5EF4-FFF2-40B4-BE49-F238E27FC236}">
              <a16:creationId xmlns:a16="http://schemas.microsoft.com/office/drawing/2014/main" id="{033DE5D1-0938-49E2-81E6-647D34C621AC}"/>
            </a:ext>
          </a:extLst>
        </xdr:cNvPr>
        <xdr:cNvCxnSpPr>
          <a:endCxn id="41" idx="3"/>
        </xdr:cNvCxnSpPr>
      </xdr:nvCxnSpPr>
      <xdr:spPr>
        <a:xfrm flipH="1">
          <a:off x="2599435" y="11750577"/>
          <a:ext cx="876791"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477652</xdr:colOff>
      <xdr:row>54</xdr:row>
      <xdr:rowOff>114839</xdr:rowOff>
    </xdr:from>
    <xdr:to>
      <xdr:col>6</xdr:col>
      <xdr:colOff>326429</xdr:colOff>
      <xdr:row>54</xdr:row>
      <xdr:rowOff>119520</xdr:rowOff>
    </xdr:to>
    <xdr:cxnSp macro="">
      <xdr:nvCxnSpPr>
        <xdr:cNvPr id="48" name="直線矢印コネクタ 47">
          <a:extLst>
            <a:ext uri="{FF2B5EF4-FFF2-40B4-BE49-F238E27FC236}">
              <a16:creationId xmlns:a16="http://schemas.microsoft.com/office/drawing/2014/main" id="{7F3C9ED0-8532-4373-9A3F-8DF290903FAF}"/>
            </a:ext>
          </a:extLst>
        </xdr:cNvPr>
        <xdr:cNvCxnSpPr>
          <a:stCxn id="45" idx="1"/>
          <a:endCxn id="42" idx="3"/>
        </xdr:cNvCxnSpPr>
      </xdr:nvCxnSpPr>
      <xdr:spPr>
        <a:xfrm flipH="1" flipV="1">
          <a:off x="2518723" y="13340982"/>
          <a:ext cx="1889849" cy="468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643978</xdr:colOff>
      <xdr:row>49</xdr:row>
      <xdr:rowOff>117022</xdr:rowOff>
    </xdr:from>
    <xdr:to>
      <xdr:col>2</xdr:col>
      <xdr:colOff>643978</xdr:colOff>
      <xdr:row>52</xdr:row>
      <xdr:rowOff>229643</xdr:rowOff>
    </xdr:to>
    <xdr:cxnSp macro="">
      <xdr:nvCxnSpPr>
        <xdr:cNvPr id="49" name="直線矢印コネクタ 48">
          <a:extLst>
            <a:ext uri="{FF2B5EF4-FFF2-40B4-BE49-F238E27FC236}">
              <a16:creationId xmlns:a16="http://schemas.microsoft.com/office/drawing/2014/main" id="{F8F96083-FA11-4AE3-9367-984F22FD1DA5}"/>
            </a:ext>
          </a:extLst>
        </xdr:cNvPr>
        <xdr:cNvCxnSpPr/>
      </xdr:nvCxnSpPr>
      <xdr:spPr>
        <a:xfrm flipV="1">
          <a:off x="2004692" y="12118522"/>
          <a:ext cx="0" cy="84740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563455</xdr:colOff>
      <xdr:row>50</xdr:row>
      <xdr:rowOff>46831</xdr:rowOff>
    </xdr:from>
    <xdr:to>
      <xdr:col>2</xdr:col>
      <xdr:colOff>345340</xdr:colOff>
      <xdr:row>51</xdr:row>
      <xdr:rowOff>229007</xdr:rowOff>
    </xdr:to>
    <xdr:sp macro="" textlink="">
      <xdr:nvSpPr>
        <xdr:cNvPr id="50" name="正方形/長方形 49">
          <a:extLst>
            <a:ext uri="{FF2B5EF4-FFF2-40B4-BE49-F238E27FC236}">
              <a16:creationId xmlns:a16="http://schemas.microsoft.com/office/drawing/2014/main" id="{E97193C8-102F-4904-9096-CD368BD12FA7}"/>
            </a:ext>
          </a:extLst>
        </xdr:cNvPr>
        <xdr:cNvSpPr/>
      </xdr:nvSpPr>
      <xdr:spPr>
        <a:xfrm>
          <a:off x="563455" y="12293260"/>
          <a:ext cx="1142599" cy="42710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リセット完了</a:t>
          </a:r>
        </a:p>
      </xdr:txBody>
    </xdr:sp>
    <xdr:clientData/>
  </xdr:twoCellAnchor>
  <xdr:twoCellAnchor>
    <xdr:from>
      <xdr:col>2</xdr:col>
      <xdr:colOff>456840</xdr:colOff>
      <xdr:row>50</xdr:row>
      <xdr:rowOff>49072</xdr:rowOff>
    </xdr:from>
    <xdr:to>
      <xdr:col>4</xdr:col>
      <xdr:colOff>504065</xdr:colOff>
      <xdr:row>51</xdr:row>
      <xdr:rowOff>224525</xdr:rowOff>
    </xdr:to>
    <xdr:sp macro="" textlink="">
      <xdr:nvSpPr>
        <xdr:cNvPr id="51" name="正方形/長方形 50">
          <a:extLst>
            <a:ext uri="{FF2B5EF4-FFF2-40B4-BE49-F238E27FC236}">
              <a16:creationId xmlns:a16="http://schemas.microsoft.com/office/drawing/2014/main" id="{0D41EEF2-EFE1-49FC-A368-8D701B8F17ED}"/>
            </a:ext>
          </a:extLst>
        </xdr:cNvPr>
        <xdr:cNvSpPr/>
      </xdr:nvSpPr>
      <xdr:spPr>
        <a:xfrm>
          <a:off x="1817554" y="12295501"/>
          <a:ext cx="1407940" cy="4203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リセット開始</a:t>
          </a:r>
        </a:p>
      </xdr:txBody>
    </xdr:sp>
    <xdr:clientData/>
  </xdr:twoCellAnchor>
  <xdr:twoCellAnchor>
    <xdr:from>
      <xdr:col>1</xdr:col>
      <xdr:colOff>52545</xdr:colOff>
      <xdr:row>58</xdr:row>
      <xdr:rowOff>120367</xdr:rowOff>
    </xdr:from>
    <xdr:to>
      <xdr:col>2</xdr:col>
      <xdr:colOff>536799</xdr:colOff>
      <xdr:row>61</xdr:row>
      <xdr:rowOff>6923</xdr:rowOff>
    </xdr:to>
    <xdr:sp macro="" textlink="">
      <xdr:nvSpPr>
        <xdr:cNvPr id="52" name="正方形/長方形 51">
          <a:extLst>
            <a:ext uri="{FF2B5EF4-FFF2-40B4-BE49-F238E27FC236}">
              <a16:creationId xmlns:a16="http://schemas.microsoft.com/office/drawing/2014/main" id="{F45B1CF2-575B-4B5D-B075-1DC861B09258}"/>
            </a:ext>
          </a:extLst>
        </xdr:cNvPr>
        <xdr:cNvSpPr/>
      </xdr:nvSpPr>
      <xdr:spPr>
        <a:xfrm>
          <a:off x="732902" y="14326224"/>
          <a:ext cx="1164611" cy="62134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ディジタル値</a:t>
          </a:r>
          <a:endParaRPr kumimoji="1" lang="en-US" altLang="ja-JP" sz="1100">
            <a:solidFill>
              <a:schemeClr val="tx1"/>
            </a:solidFill>
          </a:endParaRPr>
        </a:p>
        <a:p>
          <a:pPr algn="ctr"/>
          <a:r>
            <a:rPr kumimoji="1" lang="ja-JP" altLang="en-US" sz="1100">
              <a:solidFill>
                <a:schemeClr val="tx1"/>
              </a:solidFill>
            </a:rPr>
            <a:t>出力開始</a:t>
          </a:r>
        </a:p>
      </xdr:txBody>
    </xdr:sp>
    <xdr:clientData/>
  </xdr:twoCellAnchor>
  <xdr:twoCellAnchor>
    <xdr:from>
      <xdr:col>7</xdr:col>
      <xdr:colOff>299960</xdr:colOff>
      <xdr:row>56</xdr:row>
      <xdr:rowOff>205555</xdr:rowOff>
    </xdr:from>
    <xdr:to>
      <xdr:col>9</xdr:col>
      <xdr:colOff>236648</xdr:colOff>
      <xdr:row>59</xdr:row>
      <xdr:rowOff>89951</xdr:rowOff>
    </xdr:to>
    <xdr:sp macro="" textlink="">
      <xdr:nvSpPr>
        <xdr:cNvPr id="56" name="正方形/長方形 55">
          <a:extLst>
            <a:ext uri="{FF2B5EF4-FFF2-40B4-BE49-F238E27FC236}">
              <a16:creationId xmlns:a16="http://schemas.microsoft.com/office/drawing/2014/main" id="{49A7BE11-D55A-46AA-914A-75F204124AA6}"/>
            </a:ext>
          </a:extLst>
        </xdr:cNvPr>
        <xdr:cNvSpPr/>
      </xdr:nvSpPr>
      <xdr:spPr>
        <a:xfrm>
          <a:off x="5062460" y="13921555"/>
          <a:ext cx="1297402" cy="6191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ディジタル値</a:t>
          </a:r>
          <a:endParaRPr kumimoji="1" lang="en-US" altLang="ja-JP" sz="1100">
            <a:solidFill>
              <a:schemeClr val="tx1"/>
            </a:solidFill>
          </a:endParaRPr>
        </a:p>
        <a:p>
          <a:pPr algn="ctr"/>
          <a:r>
            <a:rPr kumimoji="1" lang="ja-JP" altLang="en-US" sz="1100">
              <a:solidFill>
                <a:schemeClr val="tx1"/>
              </a:solidFill>
            </a:rPr>
            <a:t>出力準備完了</a:t>
          </a:r>
          <a:endParaRPr kumimoji="1" lang="en-US" altLang="ja-JP" sz="1100">
            <a:solidFill>
              <a:schemeClr val="tx1"/>
            </a:solidFill>
          </a:endParaRPr>
        </a:p>
      </xdr:txBody>
    </xdr:sp>
    <xdr:clientData/>
  </xdr:twoCellAnchor>
  <xdr:twoCellAnchor>
    <xdr:from>
      <xdr:col>4</xdr:col>
      <xdr:colOff>67997</xdr:colOff>
      <xdr:row>54</xdr:row>
      <xdr:rowOff>93070</xdr:rowOff>
    </xdr:from>
    <xdr:to>
      <xdr:col>5</xdr:col>
      <xdr:colOff>678038</xdr:colOff>
      <xdr:row>56</xdr:row>
      <xdr:rowOff>215849</xdr:rowOff>
    </xdr:to>
    <xdr:sp macro="" textlink="">
      <xdr:nvSpPr>
        <xdr:cNvPr id="59" name="正方形/長方形 58">
          <a:extLst>
            <a:ext uri="{FF2B5EF4-FFF2-40B4-BE49-F238E27FC236}">
              <a16:creationId xmlns:a16="http://schemas.microsoft.com/office/drawing/2014/main" id="{E47CB48B-3AC1-4B0B-81E8-A135430AA6C3}"/>
            </a:ext>
          </a:extLst>
        </xdr:cNvPr>
        <xdr:cNvSpPr/>
      </xdr:nvSpPr>
      <xdr:spPr>
        <a:xfrm>
          <a:off x="2789426" y="13319213"/>
          <a:ext cx="1290398" cy="61263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ディジタル値</a:t>
          </a:r>
        </a:p>
        <a:p>
          <a:pPr algn="ctr"/>
          <a:r>
            <a:rPr kumimoji="1" lang="ja-JP" altLang="en-US" sz="1100">
              <a:solidFill>
                <a:schemeClr val="tx1"/>
              </a:solidFill>
            </a:rPr>
            <a:t>出力完了</a:t>
          </a:r>
        </a:p>
      </xdr:txBody>
    </xdr:sp>
    <xdr:clientData/>
  </xdr:twoCellAnchor>
  <xdr:twoCellAnchor>
    <xdr:from>
      <xdr:col>6</xdr:col>
      <xdr:colOff>431484</xdr:colOff>
      <xdr:row>46</xdr:row>
      <xdr:rowOff>119214</xdr:rowOff>
    </xdr:from>
    <xdr:to>
      <xdr:col>8</xdr:col>
      <xdr:colOff>463444</xdr:colOff>
      <xdr:row>49</xdr:row>
      <xdr:rowOff>113101</xdr:rowOff>
    </xdr:to>
    <xdr:sp macro="" textlink="">
      <xdr:nvSpPr>
        <xdr:cNvPr id="61" name="正方形/長方形 60">
          <a:extLst>
            <a:ext uri="{FF2B5EF4-FFF2-40B4-BE49-F238E27FC236}">
              <a16:creationId xmlns:a16="http://schemas.microsoft.com/office/drawing/2014/main" id="{D4FB2777-E8D6-489C-9E30-662B098DEC98}"/>
            </a:ext>
          </a:extLst>
        </xdr:cNvPr>
        <xdr:cNvSpPr/>
      </xdr:nvSpPr>
      <xdr:spPr>
        <a:xfrm>
          <a:off x="4513627" y="11385928"/>
          <a:ext cx="1392674" cy="728673"/>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chemeClr val="tx1"/>
              </a:solidFill>
            </a:rPr>
            <a:t>PAUSE</a:t>
          </a:r>
        </a:p>
      </xdr:txBody>
    </xdr:sp>
    <xdr:clientData/>
  </xdr:twoCellAnchor>
  <xdr:twoCellAnchor>
    <xdr:from>
      <xdr:col>7</xdr:col>
      <xdr:colOff>244968</xdr:colOff>
      <xdr:row>49</xdr:row>
      <xdr:rowOff>126547</xdr:rowOff>
    </xdr:from>
    <xdr:to>
      <xdr:col>7</xdr:col>
      <xdr:colOff>244968</xdr:colOff>
      <xdr:row>52</xdr:row>
      <xdr:rowOff>240654</xdr:rowOff>
    </xdr:to>
    <xdr:cxnSp macro="">
      <xdr:nvCxnSpPr>
        <xdr:cNvPr id="64" name="直線矢印コネクタ 63">
          <a:extLst>
            <a:ext uri="{FF2B5EF4-FFF2-40B4-BE49-F238E27FC236}">
              <a16:creationId xmlns:a16="http://schemas.microsoft.com/office/drawing/2014/main" id="{63EF03E0-0C4B-40B0-95FB-2101DD999AF0}"/>
            </a:ext>
          </a:extLst>
        </xdr:cNvPr>
        <xdr:cNvCxnSpPr/>
      </xdr:nvCxnSpPr>
      <xdr:spPr>
        <a:xfrm>
          <a:off x="5007468" y="12128047"/>
          <a:ext cx="0" cy="84889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641456</xdr:colOff>
      <xdr:row>49</xdr:row>
      <xdr:rowOff>117022</xdr:rowOff>
    </xdr:from>
    <xdr:to>
      <xdr:col>7</xdr:col>
      <xdr:colOff>641456</xdr:colOff>
      <xdr:row>52</xdr:row>
      <xdr:rowOff>235246</xdr:rowOff>
    </xdr:to>
    <xdr:cxnSp macro="">
      <xdr:nvCxnSpPr>
        <xdr:cNvPr id="67" name="直線矢印コネクタ 66">
          <a:extLst>
            <a:ext uri="{FF2B5EF4-FFF2-40B4-BE49-F238E27FC236}">
              <a16:creationId xmlns:a16="http://schemas.microsoft.com/office/drawing/2014/main" id="{8FFC1CF9-00F1-4135-81C3-FF17E1EF2CE7}"/>
            </a:ext>
          </a:extLst>
        </xdr:cNvPr>
        <xdr:cNvCxnSpPr/>
      </xdr:nvCxnSpPr>
      <xdr:spPr>
        <a:xfrm flipV="1">
          <a:off x="5403956" y="12118522"/>
          <a:ext cx="0" cy="85301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204348</xdr:colOff>
      <xdr:row>51</xdr:row>
      <xdr:rowOff>129275</xdr:rowOff>
    </xdr:from>
    <xdr:to>
      <xdr:col>7</xdr:col>
      <xdr:colOff>383641</xdr:colOff>
      <xdr:row>53</xdr:row>
      <xdr:rowOff>59718</xdr:rowOff>
    </xdr:to>
    <xdr:sp macro="" textlink="">
      <xdr:nvSpPr>
        <xdr:cNvPr id="68" name="正方形/長方形 67">
          <a:extLst>
            <a:ext uri="{FF2B5EF4-FFF2-40B4-BE49-F238E27FC236}">
              <a16:creationId xmlns:a16="http://schemas.microsoft.com/office/drawing/2014/main" id="{55F463C3-5C33-4D06-96F5-BBC6EA17A7D7}"/>
            </a:ext>
          </a:extLst>
        </xdr:cNvPr>
        <xdr:cNvSpPr/>
      </xdr:nvSpPr>
      <xdr:spPr>
        <a:xfrm>
          <a:off x="4286491" y="12620632"/>
          <a:ext cx="859650" cy="4203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再開</a:t>
          </a:r>
        </a:p>
      </xdr:txBody>
    </xdr:sp>
    <xdr:clientData/>
  </xdr:twoCellAnchor>
  <xdr:twoCellAnchor>
    <xdr:from>
      <xdr:col>7</xdr:col>
      <xdr:colOff>467924</xdr:colOff>
      <xdr:row>51</xdr:row>
      <xdr:rowOff>90855</xdr:rowOff>
    </xdr:from>
    <xdr:to>
      <xdr:col>9</xdr:col>
      <xdr:colOff>237645</xdr:colOff>
      <xdr:row>53</xdr:row>
      <xdr:rowOff>21298</xdr:rowOff>
    </xdr:to>
    <xdr:sp macro="" textlink="">
      <xdr:nvSpPr>
        <xdr:cNvPr id="69" name="正方形/長方形 68">
          <a:extLst>
            <a:ext uri="{FF2B5EF4-FFF2-40B4-BE49-F238E27FC236}">
              <a16:creationId xmlns:a16="http://schemas.microsoft.com/office/drawing/2014/main" id="{F89FE5CD-B7AD-4324-AE96-FB18EB4D1C21}"/>
            </a:ext>
          </a:extLst>
        </xdr:cNvPr>
        <xdr:cNvSpPr/>
      </xdr:nvSpPr>
      <xdr:spPr>
        <a:xfrm>
          <a:off x="5230424" y="12582212"/>
          <a:ext cx="1130435" cy="4203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一時停止</a:t>
          </a:r>
        </a:p>
      </xdr:txBody>
    </xdr:sp>
    <xdr:clientData/>
  </xdr:twoCellAnchor>
  <xdr:twoCellAnchor>
    <xdr:from>
      <xdr:col>2</xdr:col>
      <xdr:colOff>460367</xdr:colOff>
      <xdr:row>56</xdr:row>
      <xdr:rowOff>401</xdr:rowOff>
    </xdr:from>
    <xdr:to>
      <xdr:col>4</xdr:col>
      <xdr:colOff>33503</xdr:colOff>
      <xdr:row>59</xdr:row>
      <xdr:rowOff>92452</xdr:rowOff>
    </xdr:to>
    <xdr:cxnSp macro="">
      <xdr:nvCxnSpPr>
        <xdr:cNvPr id="70" name="コネクタ: カギ線 69">
          <a:extLst>
            <a:ext uri="{FF2B5EF4-FFF2-40B4-BE49-F238E27FC236}">
              <a16:creationId xmlns:a16="http://schemas.microsoft.com/office/drawing/2014/main" id="{7314A628-07B5-4623-BBF3-40E44A1513E2}"/>
            </a:ext>
          </a:extLst>
        </xdr:cNvPr>
        <xdr:cNvCxnSpPr>
          <a:stCxn id="42" idx="2"/>
          <a:endCxn id="44" idx="1"/>
        </xdr:cNvCxnSpPr>
      </xdr:nvCxnSpPr>
      <xdr:spPr>
        <a:xfrm rot="16200000" flipH="1">
          <a:off x="1874588" y="13662894"/>
          <a:ext cx="826837" cy="933851"/>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124112</xdr:colOff>
      <xdr:row>55</xdr:row>
      <xdr:rowOff>240847</xdr:rowOff>
    </xdr:from>
    <xdr:to>
      <xdr:col>7</xdr:col>
      <xdr:colOff>426019</xdr:colOff>
      <xdr:row>59</xdr:row>
      <xdr:rowOff>92452</xdr:rowOff>
    </xdr:to>
    <xdr:cxnSp macro="">
      <xdr:nvCxnSpPr>
        <xdr:cNvPr id="73" name="コネクタ: カギ線 72">
          <a:extLst>
            <a:ext uri="{FF2B5EF4-FFF2-40B4-BE49-F238E27FC236}">
              <a16:creationId xmlns:a16="http://schemas.microsoft.com/office/drawing/2014/main" id="{E902F7F0-9CFB-410F-8FA0-D569870F7B0C}"/>
            </a:ext>
          </a:extLst>
        </xdr:cNvPr>
        <xdr:cNvCxnSpPr>
          <a:stCxn id="44" idx="3"/>
          <a:endCxn id="45" idx="2"/>
        </xdr:cNvCxnSpPr>
      </xdr:nvCxnSpPr>
      <xdr:spPr>
        <a:xfrm flipV="1">
          <a:off x="4206255" y="13711918"/>
          <a:ext cx="982264" cy="831320"/>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78808</xdr:colOff>
      <xdr:row>47</xdr:row>
      <xdr:rowOff>235220</xdr:rowOff>
    </xdr:from>
    <xdr:to>
      <xdr:col>8</xdr:col>
      <xdr:colOff>463444</xdr:colOff>
      <xdr:row>60</xdr:row>
      <xdr:rowOff>205503</xdr:rowOff>
    </xdr:to>
    <xdr:cxnSp macro="">
      <xdr:nvCxnSpPr>
        <xdr:cNvPr id="74" name="コネクタ: カギ線 73">
          <a:extLst>
            <a:ext uri="{FF2B5EF4-FFF2-40B4-BE49-F238E27FC236}">
              <a16:creationId xmlns:a16="http://schemas.microsoft.com/office/drawing/2014/main" id="{EA342EE8-870A-480C-8DF3-54D5777B8574}"/>
            </a:ext>
          </a:extLst>
        </xdr:cNvPr>
        <xdr:cNvCxnSpPr>
          <a:stCxn id="61" idx="3"/>
          <a:endCxn id="44" idx="2"/>
        </xdr:cNvCxnSpPr>
      </xdr:nvCxnSpPr>
      <xdr:spPr>
        <a:xfrm flipH="1">
          <a:off x="3480594" y="11746863"/>
          <a:ext cx="2425707" cy="3154354"/>
        </a:xfrm>
        <a:prstGeom prst="bentConnector4">
          <a:avLst>
            <a:gd name="adj1" fmla="val -20237"/>
            <a:gd name="adj2" fmla="val 107456"/>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179301</xdr:colOff>
      <xdr:row>61</xdr:row>
      <xdr:rowOff>185472</xdr:rowOff>
    </xdr:from>
    <xdr:to>
      <xdr:col>8</xdr:col>
      <xdr:colOff>97972</xdr:colOff>
      <xdr:row>64</xdr:row>
      <xdr:rowOff>72028</xdr:rowOff>
    </xdr:to>
    <xdr:sp macro="" textlink="">
      <xdr:nvSpPr>
        <xdr:cNvPr id="75" name="正方形/長方形 74">
          <a:extLst>
            <a:ext uri="{FF2B5EF4-FFF2-40B4-BE49-F238E27FC236}">
              <a16:creationId xmlns:a16="http://schemas.microsoft.com/office/drawing/2014/main" id="{3B8BE857-BB0A-4A54-BB34-8565C25BD370}"/>
            </a:ext>
          </a:extLst>
        </xdr:cNvPr>
        <xdr:cNvSpPr/>
      </xdr:nvSpPr>
      <xdr:spPr>
        <a:xfrm>
          <a:off x="4261444" y="15126115"/>
          <a:ext cx="1279385" cy="62134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ディジタル値</a:t>
          </a:r>
          <a:endParaRPr kumimoji="1" lang="en-US" altLang="ja-JP" sz="1100">
            <a:solidFill>
              <a:schemeClr val="tx1"/>
            </a:solidFill>
          </a:endParaRPr>
        </a:p>
        <a:p>
          <a:pPr algn="ctr"/>
          <a:r>
            <a:rPr kumimoji="1" lang="ja-JP" altLang="en-US" sz="1100">
              <a:solidFill>
                <a:schemeClr val="tx1"/>
              </a:solidFill>
            </a:rPr>
            <a:t>出力再スタート</a:t>
          </a:r>
        </a:p>
      </xdr:txBody>
    </xdr:sp>
    <xdr:clientData/>
  </xdr:twoCellAnchor>
  <xdr:twoCellAnchor>
    <xdr:from>
      <xdr:col>1</xdr:col>
      <xdr:colOff>381001</xdr:colOff>
      <xdr:row>57</xdr:row>
      <xdr:rowOff>44904</xdr:rowOff>
    </xdr:from>
    <xdr:to>
      <xdr:col>2</xdr:col>
      <xdr:colOff>285751</xdr:colOff>
      <xdr:row>58</xdr:row>
      <xdr:rowOff>242208</xdr:rowOff>
    </xdr:to>
    <xdr:sp macro="" textlink="">
      <xdr:nvSpPr>
        <xdr:cNvPr id="77" name="正方形/長方形 76">
          <a:extLst>
            <a:ext uri="{FF2B5EF4-FFF2-40B4-BE49-F238E27FC236}">
              <a16:creationId xmlns:a16="http://schemas.microsoft.com/office/drawing/2014/main" id="{F653AE67-8C57-4D09-87C9-2362E03A779B}"/>
            </a:ext>
          </a:extLst>
        </xdr:cNvPr>
        <xdr:cNvSpPr/>
      </xdr:nvSpPr>
      <xdr:spPr>
        <a:xfrm>
          <a:off x="1061358" y="14005833"/>
          <a:ext cx="585107" cy="44223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rgbClr val="00B0F0"/>
              </a:solidFill>
            </a:rPr>
            <a:t>①</a:t>
          </a:r>
        </a:p>
      </xdr:txBody>
    </xdr:sp>
    <xdr:clientData/>
  </xdr:twoCellAnchor>
  <xdr:twoCellAnchor>
    <xdr:from>
      <xdr:col>8</xdr:col>
      <xdr:colOff>88448</xdr:colOff>
      <xdr:row>49</xdr:row>
      <xdr:rowOff>206828</xdr:rowOff>
    </xdr:from>
    <xdr:to>
      <xdr:col>8</xdr:col>
      <xdr:colOff>673555</xdr:colOff>
      <xdr:row>51</xdr:row>
      <xdr:rowOff>159204</xdr:rowOff>
    </xdr:to>
    <xdr:sp macro="" textlink="">
      <xdr:nvSpPr>
        <xdr:cNvPr id="78" name="正方形/長方形 77">
          <a:extLst>
            <a:ext uri="{FF2B5EF4-FFF2-40B4-BE49-F238E27FC236}">
              <a16:creationId xmlns:a16="http://schemas.microsoft.com/office/drawing/2014/main" id="{40E524D7-BF6E-416C-8BC2-709977B6D6D1}"/>
            </a:ext>
          </a:extLst>
        </xdr:cNvPr>
        <xdr:cNvSpPr/>
      </xdr:nvSpPr>
      <xdr:spPr>
        <a:xfrm>
          <a:off x="5531305" y="12208328"/>
          <a:ext cx="585107" cy="4422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rgbClr val="00B0F0"/>
              </a:solidFill>
            </a:rPr>
            <a:t>②</a:t>
          </a:r>
        </a:p>
      </xdr:txBody>
    </xdr:sp>
    <xdr:clientData/>
  </xdr:twoCellAnchor>
  <xdr:twoCellAnchor>
    <xdr:from>
      <xdr:col>6</xdr:col>
      <xdr:colOff>378279</xdr:colOff>
      <xdr:row>49</xdr:row>
      <xdr:rowOff>210911</xdr:rowOff>
    </xdr:from>
    <xdr:to>
      <xdr:col>7</xdr:col>
      <xdr:colOff>283029</xdr:colOff>
      <xdr:row>51</xdr:row>
      <xdr:rowOff>163287</xdr:rowOff>
    </xdr:to>
    <xdr:sp macro="" textlink="">
      <xdr:nvSpPr>
        <xdr:cNvPr id="79" name="正方形/長方形 78">
          <a:extLst>
            <a:ext uri="{FF2B5EF4-FFF2-40B4-BE49-F238E27FC236}">
              <a16:creationId xmlns:a16="http://schemas.microsoft.com/office/drawing/2014/main" id="{CD90C186-BE6B-42C5-9583-A9ABF1C78211}"/>
            </a:ext>
          </a:extLst>
        </xdr:cNvPr>
        <xdr:cNvSpPr/>
      </xdr:nvSpPr>
      <xdr:spPr>
        <a:xfrm>
          <a:off x="4460422" y="12212411"/>
          <a:ext cx="585107" cy="4422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rgbClr val="00B0F0"/>
              </a:solidFill>
            </a:rPr>
            <a:t>③</a:t>
          </a:r>
        </a:p>
      </xdr:txBody>
    </xdr:sp>
    <xdr:clientData/>
  </xdr:twoCellAnchor>
  <xdr:twoCellAnchor>
    <xdr:from>
      <xdr:col>5</xdr:col>
      <xdr:colOff>443593</xdr:colOff>
      <xdr:row>61</xdr:row>
      <xdr:rowOff>231322</xdr:rowOff>
    </xdr:from>
    <xdr:to>
      <xdr:col>6</xdr:col>
      <xdr:colOff>348343</xdr:colOff>
      <xdr:row>63</xdr:row>
      <xdr:rowOff>183697</xdr:rowOff>
    </xdr:to>
    <xdr:sp macro="" textlink="">
      <xdr:nvSpPr>
        <xdr:cNvPr id="80" name="正方形/長方形 79">
          <a:extLst>
            <a:ext uri="{FF2B5EF4-FFF2-40B4-BE49-F238E27FC236}">
              <a16:creationId xmlns:a16="http://schemas.microsoft.com/office/drawing/2014/main" id="{5AD743F2-F8EA-461D-9460-D05E8BA763B3}"/>
            </a:ext>
          </a:extLst>
        </xdr:cNvPr>
        <xdr:cNvSpPr/>
      </xdr:nvSpPr>
      <xdr:spPr>
        <a:xfrm>
          <a:off x="3845379" y="15171965"/>
          <a:ext cx="585107" cy="44223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rgbClr val="00B0F0"/>
              </a:solidFill>
            </a:rPr>
            <a:t>④</a:t>
          </a:r>
        </a:p>
      </xdr:txBody>
    </xdr:sp>
    <xdr:clientData/>
  </xdr:twoCellAnchor>
  <xdr:twoCellAnchor>
    <xdr:from>
      <xdr:col>11</xdr:col>
      <xdr:colOff>266463</xdr:colOff>
      <xdr:row>52</xdr:row>
      <xdr:rowOff>96804</xdr:rowOff>
    </xdr:from>
    <xdr:to>
      <xdr:col>13</xdr:col>
      <xdr:colOff>312605</xdr:colOff>
      <xdr:row>55</xdr:row>
      <xdr:rowOff>115741</xdr:rowOff>
    </xdr:to>
    <xdr:sp macro="" textlink="">
      <xdr:nvSpPr>
        <xdr:cNvPr id="82" name="正方形/長方形 81">
          <a:extLst>
            <a:ext uri="{FF2B5EF4-FFF2-40B4-BE49-F238E27FC236}">
              <a16:creationId xmlns:a16="http://schemas.microsoft.com/office/drawing/2014/main" id="{98E7EA33-341A-4CEC-ACFE-F489D1AC0F18}"/>
            </a:ext>
          </a:extLst>
        </xdr:cNvPr>
        <xdr:cNvSpPr/>
      </xdr:nvSpPr>
      <xdr:spPr>
        <a:xfrm>
          <a:off x="7750392" y="12833090"/>
          <a:ext cx="1406856" cy="753722"/>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chemeClr val="tx1"/>
              </a:solidFill>
            </a:rPr>
            <a:t>IDLE</a:t>
          </a:r>
        </a:p>
      </xdr:txBody>
    </xdr:sp>
    <xdr:clientData/>
  </xdr:twoCellAnchor>
  <xdr:twoCellAnchor>
    <xdr:from>
      <xdr:col>12</xdr:col>
      <xdr:colOff>6242</xdr:colOff>
      <xdr:row>48</xdr:row>
      <xdr:rowOff>231322</xdr:rowOff>
    </xdr:from>
    <xdr:to>
      <xdr:col>12</xdr:col>
      <xdr:colOff>6242</xdr:colOff>
      <xdr:row>52</xdr:row>
      <xdr:rowOff>105462</xdr:rowOff>
    </xdr:to>
    <xdr:cxnSp macro="">
      <xdr:nvCxnSpPr>
        <xdr:cNvPr id="83" name="直線矢印コネクタ 82">
          <a:extLst>
            <a:ext uri="{FF2B5EF4-FFF2-40B4-BE49-F238E27FC236}">
              <a16:creationId xmlns:a16="http://schemas.microsoft.com/office/drawing/2014/main" id="{B58CCDD1-518A-4F1F-A970-506F8D985BC2}"/>
            </a:ext>
          </a:extLst>
        </xdr:cNvPr>
        <xdr:cNvCxnSpPr/>
      </xdr:nvCxnSpPr>
      <xdr:spPr>
        <a:xfrm>
          <a:off x="8170528" y="11987893"/>
          <a:ext cx="0" cy="85385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225998</xdr:colOff>
      <xdr:row>60</xdr:row>
      <xdr:rowOff>18085</xdr:rowOff>
    </xdr:from>
    <xdr:to>
      <xdr:col>13</xdr:col>
      <xdr:colOff>316608</xdr:colOff>
      <xdr:row>63</xdr:row>
      <xdr:rowOff>2397</xdr:rowOff>
    </xdr:to>
    <xdr:sp macro="" textlink="">
      <xdr:nvSpPr>
        <xdr:cNvPr id="84" name="正方形/長方形 83">
          <a:extLst>
            <a:ext uri="{FF2B5EF4-FFF2-40B4-BE49-F238E27FC236}">
              <a16:creationId xmlns:a16="http://schemas.microsoft.com/office/drawing/2014/main" id="{FBE6CC9E-CC22-4D46-9F09-5DEDA864ECE1}"/>
            </a:ext>
          </a:extLst>
        </xdr:cNvPr>
        <xdr:cNvSpPr/>
      </xdr:nvSpPr>
      <xdr:spPr>
        <a:xfrm>
          <a:off x="7709927" y="14713799"/>
          <a:ext cx="1451324" cy="719098"/>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chemeClr val="tx1"/>
              </a:solidFill>
            </a:rPr>
            <a:t>PRELOAD</a:t>
          </a:r>
        </a:p>
      </xdr:txBody>
    </xdr:sp>
    <xdr:clientData/>
  </xdr:twoCellAnchor>
  <xdr:twoCellAnchor>
    <xdr:from>
      <xdr:col>12</xdr:col>
      <xdr:colOff>271303</xdr:colOff>
      <xdr:row>55</xdr:row>
      <xdr:rowOff>115741</xdr:rowOff>
    </xdr:from>
    <xdr:to>
      <xdr:col>12</xdr:col>
      <xdr:colOff>271303</xdr:colOff>
      <xdr:row>60</xdr:row>
      <xdr:rowOff>18085</xdr:rowOff>
    </xdr:to>
    <xdr:cxnSp macro="">
      <xdr:nvCxnSpPr>
        <xdr:cNvPr id="85" name="直線矢印コネクタ 84">
          <a:extLst>
            <a:ext uri="{FF2B5EF4-FFF2-40B4-BE49-F238E27FC236}">
              <a16:creationId xmlns:a16="http://schemas.microsoft.com/office/drawing/2014/main" id="{0C061458-59B5-48B0-BAA4-1AE505B0E2E1}"/>
            </a:ext>
          </a:extLst>
        </xdr:cNvPr>
        <xdr:cNvCxnSpPr>
          <a:stCxn id="82" idx="2"/>
          <a:endCxn id="84" idx="0"/>
        </xdr:cNvCxnSpPr>
      </xdr:nvCxnSpPr>
      <xdr:spPr>
        <a:xfrm flipH="1">
          <a:off x="8435589" y="13586812"/>
          <a:ext cx="0" cy="112698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179492</xdr:colOff>
      <xdr:row>60</xdr:row>
      <xdr:rowOff>9239</xdr:rowOff>
    </xdr:from>
    <xdr:to>
      <xdr:col>18</xdr:col>
      <xdr:colOff>335973</xdr:colOff>
      <xdr:row>63</xdr:row>
      <xdr:rowOff>18086</xdr:rowOff>
    </xdr:to>
    <xdr:sp macro="" textlink="">
      <xdr:nvSpPr>
        <xdr:cNvPr id="86" name="正方形/長方形 85">
          <a:extLst>
            <a:ext uri="{FF2B5EF4-FFF2-40B4-BE49-F238E27FC236}">
              <a16:creationId xmlns:a16="http://schemas.microsoft.com/office/drawing/2014/main" id="{39239B8C-DEA3-4F1D-8EB9-F55379330294}"/>
            </a:ext>
          </a:extLst>
        </xdr:cNvPr>
        <xdr:cNvSpPr/>
      </xdr:nvSpPr>
      <xdr:spPr>
        <a:xfrm>
          <a:off x="11065206" y="14704953"/>
          <a:ext cx="1517196" cy="743633"/>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chemeClr val="tx1"/>
              </a:solidFill>
            </a:rPr>
            <a:t>READY</a:t>
          </a:r>
          <a:endParaRPr kumimoji="1" lang="ja-JP" altLang="en-US" sz="1400" b="1">
            <a:solidFill>
              <a:schemeClr val="tx1"/>
            </a:solidFill>
          </a:endParaRPr>
        </a:p>
      </xdr:txBody>
    </xdr:sp>
    <xdr:clientData/>
  </xdr:twoCellAnchor>
  <xdr:twoCellAnchor>
    <xdr:from>
      <xdr:col>13</xdr:col>
      <xdr:colOff>316608</xdr:colOff>
      <xdr:row>61</xdr:row>
      <xdr:rowOff>124542</xdr:rowOff>
    </xdr:from>
    <xdr:to>
      <xdr:col>16</xdr:col>
      <xdr:colOff>179492</xdr:colOff>
      <xdr:row>61</xdr:row>
      <xdr:rowOff>124542</xdr:rowOff>
    </xdr:to>
    <xdr:cxnSp macro="">
      <xdr:nvCxnSpPr>
        <xdr:cNvPr id="87" name="直線矢印コネクタ 86">
          <a:extLst>
            <a:ext uri="{FF2B5EF4-FFF2-40B4-BE49-F238E27FC236}">
              <a16:creationId xmlns:a16="http://schemas.microsoft.com/office/drawing/2014/main" id="{8222AB1D-92DE-4208-9465-CAEDB8F508E9}"/>
            </a:ext>
          </a:extLst>
        </xdr:cNvPr>
        <xdr:cNvCxnSpPr>
          <a:stCxn id="84" idx="3"/>
          <a:endCxn id="86" idx="1"/>
        </xdr:cNvCxnSpPr>
      </xdr:nvCxnSpPr>
      <xdr:spPr>
        <a:xfrm>
          <a:off x="9161251" y="15065185"/>
          <a:ext cx="190395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158181</xdr:colOff>
      <xdr:row>52</xdr:row>
      <xdr:rowOff>110648</xdr:rowOff>
    </xdr:from>
    <xdr:to>
      <xdr:col>18</xdr:col>
      <xdr:colOff>352187</xdr:colOff>
      <xdr:row>55</xdr:row>
      <xdr:rowOff>111258</xdr:rowOff>
    </xdr:to>
    <xdr:sp macro="" textlink="">
      <xdr:nvSpPr>
        <xdr:cNvPr id="88" name="正方形/長方形 87">
          <a:extLst>
            <a:ext uri="{FF2B5EF4-FFF2-40B4-BE49-F238E27FC236}">
              <a16:creationId xmlns:a16="http://schemas.microsoft.com/office/drawing/2014/main" id="{B94C0483-316F-44BF-814D-AC6DD4AFBD78}"/>
            </a:ext>
          </a:extLst>
        </xdr:cNvPr>
        <xdr:cNvSpPr/>
      </xdr:nvSpPr>
      <xdr:spPr>
        <a:xfrm>
          <a:off x="11043895" y="12846934"/>
          <a:ext cx="1554721" cy="735395"/>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chemeClr val="tx1"/>
              </a:solidFill>
            </a:rPr>
            <a:t>WAVE GEN</a:t>
          </a:r>
        </a:p>
      </xdr:txBody>
    </xdr:sp>
    <xdr:clientData/>
  </xdr:twoCellAnchor>
  <xdr:twoCellAnchor>
    <xdr:from>
      <xdr:col>14</xdr:col>
      <xdr:colOff>448745</xdr:colOff>
      <xdr:row>47</xdr:row>
      <xdr:rowOff>12418</xdr:rowOff>
    </xdr:from>
    <xdr:to>
      <xdr:col>15</xdr:col>
      <xdr:colOff>93796</xdr:colOff>
      <xdr:row>48</xdr:row>
      <xdr:rowOff>91338</xdr:rowOff>
    </xdr:to>
    <xdr:sp macro="" textlink="">
      <xdr:nvSpPr>
        <xdr:cNvPr id="89" name="楕円 88">
          <a:extLst>
            <a:ext uri="{FF2B5EF4-FFF2-40B4-BE49-F238E27FC236}">
              <a16:creationId xmlns:a16="http://schemas.microsoft.com/office/drawing/2014/main" id="{1078E424-A5F0-47FA-969C-2EBDC6742EA1}"/>
            </a:ext>
          </a:extLst>
        </xdr:cNvPr>
        <xdr:cNvSpPr/>
      </xdr:nvSpPr>
      <xdr:spPr>
        <a:xfrm>
          <a:off x="9973745" y="11524061"/>
          <a:ext cx="325408" cy="323848"/>
        </a:xfrm>
        <a:prstGeom prst="ellipse">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393317</xdr:colOff>
      <xdr:row>47</xdr:row>
      <xdr:rowOff>162333</xdr:rowOff>
    </xdr:from>
    <xdr:to>
      <xdr:col>14</xdr:col>
      <xdr:colOff>589751</xdr:colOff>
      <xdr:row>47</xdr:row>
      <xdr:rowOff>162333</xdr:rowOff>
    </xdr:to>
    <xdr:cxnSp macro="">
      <xdr:nvCxnSpPr>
        <xdr:cNvPr id="90" name="直線矢印コネクタ 89">
          <a:extLst>
            <a:ext uri="{FF2B5EF4-FFF2-40B4-BE49-F238E27FC236}">
              <a16:creationId xmlns:a16="http://schemas.microsoft.com/office/drawing/2014/main" id="{34C6CF06-6CAE-49F1-95B8-D330B626A39D}"/>
            </a:ext>
          </a:extLst>
        </xdr:cNvPr>
        <xdr:cNvCxnSpPr>
          <a:endCxn id="81" idx="3"/>
        </xdr:cNvCxnSpPr>
      </xdr:nvCxnSpPr>
      <xdr:spPr>
        <a:xfrm flipH="1">
          <a:off x="9237960" y="11673976"/>
          <a:ext cx="876791"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255185</xdr:colOff>
      <xdr:row>55</xdr:row>
      <xdr:rowOff>111258</xdr:rowOff>
    </xdr:from>
    <xdr:to>
      <xdr:col>17</xdr:col>
      <xdr:colOff>255185</xdr:colOff>
      <xdr:row>60</xdr:row>
      <xdr:rowOff>9239</xdr:rowOff>
    </xdr:to>
    <xdr:cxnSp macro="">
      <xdr:nvCxnSpPr>
        <xdr:cNvPr id="91" name="直線矢印コネクタ 90">
          <a:extLst>
            <a:ext uri="{FF2B5EF4-FFF2-40B4-BE49-F238E27FC236}">
              <a16:creationId xmlns:a16="http://schemas.microsoft.com/office/drawing/2014/main" id="{9A42B52F-ED70-4214-825D-049A50BCC864}"/>
            </a:ext>
          </a:extLst>
        </xdr:cNvPr>
        <xdr:cNvCxnSpPr>
          <a:stCxn id="86" idx="0"/>
          <a:endCxn id="88" idx="2"/>
        </xdr:cNvCxnSpPr>
      </xdr:nvCxnSpPr>
      <xdr:spPr>
        <a:xfrm flipH="1" flipV="1">
          <a:off x="11821256" y="13582329"/>
          <a:ext cx="0" cy="112262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312605</xdr:colOff>
      <xdr:row>53</xdr:row>
      <xdr:rowOff>220573</xdr:rowOff>
    </xdr:from>
    <xdr:to>
      <xdr:col>16</xdr:col>
      <xdr:colOff>158181</xdr:colOff>
      <xdr:row>53</xdr:row>
      <xdr:rowOff>225254</xdr:rowOff>
    </xdr:to>
    <xdr:cxnSp macro="">
      <xdr:nvCxnSpPr>
        <xdr:cNvPr id="92" name="直線矢印コネクタ 91">
          <a:extLst>
            <a:ext uri="{FF2B5EF4-FFF2-40B4-BE49-F238E27FC236}">
              <a16:creationId xmlns:a16="http://schemas.microsoft.com/office/drawing/2014/main" id="{5C957C2B-18B5-44ED-AC89-3C5FC83A601D}"/>
            </a:ext>
          </a:extLst>
        </xdr:cNvPr>
        <xdr:cNvCxnSpPr>
          <a:stCxn id="88" idx="1"/>
          <a:endCxn id="82" idx="3"/>
        </xdr:cNvCxnSpPr>
      </xdr:nvCxnSpPr>
      <xdr:spPr>
        <a:xfrm flipH="1" flipV="1">
          <a:off x="9157248" y="13201787"/>
          <a:ext cx="1886647" cy="468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555131</xdr:colOff>
      <xdr:row>49</xdr:row>
      <xdr:rowOff>40821</xdr:rowOff>
    </xdr:from>
    <xdr:to>
      <xdr:col>12</xdr:col>
      <xdr:colOff>555131</xdr:colOff>
      <xdr:row>52</xdr:row>
      <xdr:rowOff>100054</xdr:rowOff>
    </xdr:to>
    <xdr:cxnSp macro="">
      <xdr:nvCxnSpPr>
        <xdr:cNvPr id="93" name="直線矢印コネクタ 92">
          <a:extLst>
            <a:ext uri="{FF2B5EF4-FFF2-40B4-BE49-F238E27FC236}">
              <a16:creationId xmlns:a16="http://schemas.microsoft.com/office/drawing/2014/main" id="{5EF35968-F977-4DFB-B058-D3FF9F4179C4}"/>
            </a:ext>
          </a:extLst>
        </xdr:cNvPr>
        <xdr:cNvCxnSpPr/>
      </xdr:nvCxnSpPr>
      <xdr:spPr>
        <a:xfrm flipV="1">
          <a:off x="8719417" y="12042321"/>
          <a:ext cx="0" cy="79401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322209</xdr:colOff>
      <xdr:row>50</xdr:row>
      <xdr:rowOff>28820</xdr:rowOff>
    </xdr:from>
    <xdr:to>
      <xdr:col>12</xdr:col>
      <xdr:colOff>104093</xdr:colOff>
      <xdr:row>51</xdr:row>
      <xdr:rowOff>201391</xdr:rowOff>
    </xdr:to>
    <xdr:sp macro="" textlink="">
      <xdr:nvSpPr>
        <xdr:cNvPr id="94" name="正方形/長方形 93">
          <a:extLst>
            <a:ext uri="{FF2B5EF4-FFF2-40B4-BE49-F238E27FC236}">
              <a16:creationId xmlns:a16="http://schemas.microsoft.com/office/drawing/2014/main" id="{833F5D2F-3CEE-4A6C-98A0-FEDF41D55C86}"/>
            </a:ext>
          </a:extLst>
        </xdr:cNvPr>
        <xdr:cNvSpPr/>
      </xdr:nvSpPr>
      <xdr:spPr>
        <a:xfrm>
          <a:off x="7125780" y="12275249"/>
          <a:ext cx="1142599" cy="4174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リセット完了</a:t>
          </a:r>
        </a:p>
      </xdr:txBody>
    </xdr:sp>
    <xdr:clientData/>
  </xdr:twoCellAnchor>
  <xdr:twoCellAnchor>
    <xdr:from>
      <xdr:col>12</xdr:col>
      <xdr:colOff>362550</xdr:colOff>
      <xdr:row>50</xdr:row>
      <xdr:rowOff>69161</xdr:rowOff>
    </xdr:from>
    <xdr:to>
      <xdr:col>14</xdr:col>
      <xdr:colOff>415219</xdr:colOff>
      <xdr:row>51</xdr:row>
      <xdr:rowOff>235009</xdr:rowOff>
    </xdr:to>
    <xdr:sp macro="" textlink="">
      <xdr:nvSpPr>
        <xdr:cNvPr id="95" name="正方形/長方形 94">
          <a:extLst>
            <a:ext uri="{FF2B5EF4-FFF2-40B4-BE49-F238E27FC236}">
              <a16:creationId xmlns:a16="http://schemas.microsoft.com/office/drawing/2014/main" id="{AA912226-5567-4783-AFB8-FBD2B0D5A89D}"/>
            </a:ext>
          </a:extLst>
        </xdr:cNvPr>
        <xdr:cNvSpPr/>
      </xdr:nvSpPr>
      <xdr:spPr>
        <a:xfrm>
          <a:off x="8526836" y="12315590"/>
          <a:ext cx="1413383" cy="4107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リセット開始</a:t>
          </a:r>
        </a:p>
      </xdr:txBody>
    </xdr:sp>
    <xdr:clientData/>
  </xdr:twoCellAnchor>
  <xdr:twoCellAnchor>
    <xdr:from>
      <xdr:col>10</xdr:col>
      <xdr:colOff>384002</xdr:colOff>
      <xdr:row>57</xdr:row>
      <xdr:rowOff>33140</xdr:rowOff>
    </xdr:from>
    <xdr:to>
      <xdr:col>12</xdr:col>
      <xdr:colOff>322929</xdr:colOff>
      <xdr:row>59</xdr:row>
      <xdr:rowOff>158160</xdr:rowOff>
    </xdr:to>
    <xdr:sp macro="" textlink="">
      <xdr:nvSpPr>
        <xdr:cNvPr id="96" name="正方形/長方形 95">
          <a:extLst>
            <a:ext uri="{FF2B5EF4-FFF2-40B4-BE49-F238E27FC236}">
              <a16:creationId xmlns:a16="http://schemas.microsoft.com/office/drawing/2014/main" id="{26E64CB5-F7C2-47C8-9B57-0846DCE38C43}"/>
            </a:ext>
          </a:extLst>
        </xdr:cNvPr>
        <xdr:cNvSpPr/>
      </xdr:nvSpPr>
      <xdr:spPr>
        <a:xfrm>
          <a:off x="7187573" y="13994069"/>
          <a:ext cx="1299642" cy="61487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ユーザ定義波形</a:t>
          </a:r>
          <a:endParaRPr kumimoji="1" lang="en-US" altLang="ja-JP" sz="1100">
            <a:solidFill>
              <a:schemeClr val="tx1"/>
            </a:solidFill>
          </a:endParaRPr>
        </a:p>
        <a:p>
          <a:pPr algn="ctr"/>
          <a:r>
            <a:rPr kumimoji="1" lang="ja-JP" altLang="en-US" sz="1100">
              <a:solidFill>
                <a:schemeClr val="tx1"/>
              </a:solidFill>
            </a:rPr>
            <a:t>出力準備開始</a:t>
          </a:r>
        </a:p>
      </xdr:txBody>
    </xdr:sp>
    <xdr:clientData/>
  </xdr:twoCellAnchor>
  <xdr:twoCellAnchor>
    <xdr:from>
      <xdr:col>13</xdr:col>
      <xdr:colOff>603478</xdr:colOff>
      <xdr:row>61</xdr:row>
      <xdr:rowOff>101494</xdr:rowOff>
    </xdr:from>
    <xdr:to>
      <xdr:col>15</xdr:col>
      <xdr:colOff>533162</xdr:colOff>
      <xdr:row>64</xdr:row>
      <xdr:rowOff>18085</xdr:rowOff>
    </xdr:to>
    <xdr:sp macro="" textlink="">
      <xdr:nvSpPr>
        <xdr:cNvPr id="97" name="正方形/長方形 96">
          <a:extLst>
            <a:ext uri="{FF2B5EF4-FFF2-40B4-BE49-F238E27FC236}">
              <a16:creationId xmlns:a16="http://schemas.microsoft.com/office/drawing/2014/main" id="{7A2D8C47-4A6E-4E7E-8346-C23EFBECB478}"/>
            </a:ext>
          </a:extLst>
        </xdr:cNvPr>
        <xdr:cNvSpPr/>
      </xdr:nvSpPr>
      <xdr:spPr>
        <a:xfrm>
          <a:off x="9448121" y="15042137"/>
          <a:ext cx="1290398" cy="65137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ユーザ定義波形</a:t>
          </a:r>
          <a:endParaRPr kumimoji="1" lang="en-US" altLang="ja-JP" sz="1100">
            <a:solidFill>
              <a:schemeClr val="tx1"/>
            </a:solidFill>
          </a:endParaRPr>
        </a:p>
        <a:p>
          <a:pPr algn="ctr"/>
          <a:r>
            <a:rPr kumimoji="1" lang="ja-JP" altLang="en-US" sz="1100">
              <a:solidFill>
                <a:schemeClr val="tx1"/>
              </a:solidFill>
            </a:rPr>
            <a:t>出力準備完了</a:t>
          </a:r>
        </a:p>
      </xdr:txBody>
    </xdr:sp>
    <xdr:clientData/>
  </xdr:twoCellAnchor>
  <xdr:twoCellAnchor>
    <xdr:from>
      <xdr:col>17</xdr:col>
      <xdr:colOff>187582</xdr:colOff>
      <xdr:row>57</xdr:row>
      <xdr:rowOff>132550</xdr:rowOff>
    </xdr:from>
    <xdr:to>
      <xdr:col>19</xdr:col>
      <xdr:colOff>124269</xdr:colOff>
      <xdr:row>60</xdr:row>
      <xdr:rowOff>3678</xdr:rowOff>
    </xdr:to>
    <xdr:sp macro="" textlink="">
      <xdr:nvSpPr>
        <xdr:cNvPr id="98" name="正方形/長方形 97">
          <a:extLst>
            <a:ext uri="{FF2B5EF4-FFF2-40B4-BE49-F238E27FC236}">
              <a16:creationId xmlns:a16="http://schemas.microsoft.com/office/drawing/2014/main" id="{094FDA90-84CF-4E91-A7BE-9704F075278B}"/>
            </a:ext>
          </a:extLst>
        </xdr:cNvPr>
        <xdr:cNvSpPr/>
      </xdr:nvSpPr>
      <xdr:spPr>
        <a:xfrm>
          <a:off x="11753653" y="14093479"/>
          <a:ext cx="1297402" cy="60591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ユーザ定義波形</a:t>
          </a:r>
          <a:endParaRPr kumimoji="1" lang="en-US" altLang="ja-JP" sz="1100">
            <a:solidFill>
              <a:schemeClr val="tx1"/>
            </a:solidFill>
          </a:endParaRPr>
        </a:p>
        <a:p>
          <a:pPr algn="ctr"/>
          <a:r>
            <a:rPr kumimoji="1" lang="ja-JP" altLang="en-US" sz="1100">
              <a:solidFill>
                <a:schemeClr val="tx1"/>
              </a:solidFill>
            </a:rPr>
            <a:t>出力開始</a:t>
          </a:r>
        </a:p>
      </xdr:txBody>
    </xdr:sp>
    <xdr:clientData/>
  </xdr:twoCellAnchor>
  <xdr:twoCellAnchor>
    <xdr:from>
      <xdr:col>13</xdr:col>
      <xdr:colOff>583308</xdr:colOff>
      <xdr:row>54</xdr:row>
      <xdr:rowOff>22097</xdr:rowOff>
    </xdr:from>
    <xdr:to>
      <xdr:col>15</xdr:col>
      <xdr:colOff>512992</xdr:colOff>
      <xdr:row>56</xdr:row>
      <xdr:rowOff>144876</xdr:rowOff>
    </xdr:to>
    <xdr:sp macro="" textlink="">
      <xdr:nvSpPr>
        <xdr:cNvPr id="99" name="正方形/長方形 98">
          <a:extLst>
            <a:ext uri="{FF2B5EF4-FFF2-40B4-BE49-F238E27FC236}">
              <a16:creationId xmlns:a16="http://schemas.microsoft.com/office/drawing/2014/main" id="{DD0F0F01-ED32-4B45-863D-03B89E913E48}"/>
            </a:ext>
          </a:extLst>
        </xdr:cNvPr>
        <xdr:cNvSpPr/>
      </xdr:nvSpPr>
      <xdr:spPr>
        <a:xfrm>
          <a:off x="9427951" y="13248240"/>
          <a:ext cx="1290398" cy="61263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ユーザ定義波形</a:t>
          </a:r>
          <a:endParaRPr kumimoji="1" lang="en-US" altLang="ja-JP" sz="1100">
            <a:solidFill>
              <a:schemeClr val="tx1"/>
            </a:solidFill>
          </a:endParaRPr>
        </a:p>
        <a:p>
          <a:pPr algn="ctr"/>
          <a:r>
            <a:rPr kumimoji="1" lang="ja-JP" altLang="en-US" sz="1100">
              <a:solidFill>
                <a:schemeClr val="tx1"/>
              </a:solidFill>
            </a:rPr>
            <a:t>出力完了</a:t>
          </a:r>
        </a:p>
      </xdr:txBody>
    </xdr:sp>
    <xdr:clientData/>
  </xdr:twoCellAnchor>
  <xdr:twoCellAnchor>
    <xdr:from>
      <xdr:col>17</xdr:col>
      <xdr:colOff>13247</xdr:colOff>
      <xdr:row>49</xdr:row>
      <xdr:rowOff>27214</xdr:rowOff>
    </xdr:from>
    <xdr:to>
      <xdr:col>17</xdr:col>
      <xdr:colOff>13247</xdr:colOff>
      <xdr:row>52</xdr:row>
      <xdr:rowOff>111065</xdr:rowOff>
    </xdr:to>
    <xdr:cxnSp macro="">
      <xdr:nvCxnSpPr>
        <xdr:cNvPr id="101" name="直線矢印コネクタ 100">
          <a:extLst>
            <a:ext uri="{FF2B5EF4-FFF2-40B4-BE49-F238E27FC236}">
              <a16:creationId xmlns:a16="http://schemas.microsoft.com/office/drawing/2014/main" id="{9385CCE2-5FE1-4A04-890E-6CECB555A639}"/>
            </a:ext>
          </a:extLst>
        </xdr:cNvPr>
        <xdr:cNvCxnSpPr/>
      </xdr:nvCxnSpPr>
      <xdr:spPr>
        <a:xfrm>
          <a:off x="11579318" y="12028714"/>
          <a:ext cx="0" cy="81863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562135</xdr:colOff>
      <xdr:row>49</xdr:row>
      <xdr:rowOff>40821</xdr:rowOff>
    </xdr:from>
    <xdr:to>
      <xdr:col>17</xdr:col>
      <xdr:colOff>562135</xdr:colOff>
      <xdr:row>52</xdr:row>
      <xdr:rowOff>105657</xdr:rowOff>
    </xdr:to>
    <xdr:cxnSp macro="">
      <xdr:nvCxnSpPr>
        <xdr:cNvPr id="102" name="直線矢印コネクタ 101">
          <a:extLst>
            <a:ext uri="{FF2B5EF4-FFF2-40B4-BE49-F238E27FC236}">
              <a16:creationId xmlns:a16="http://schemas.microsoft.com/office/drawing/2014/main" id="{E43F9B43-8A7D-4FBE-9E30-671EFE84C38D}"/>
            </a:ext>
          </a:extLst>
        </xdr:cNvPr>
        <xdr:cNvCxnSpPr/>
      </xdr:nvCxnSpPr>
      <xdr:spPr>
        <a:xfrm flipV="1">
          <a:off x="12128206" y="12042321"/>
          <a:ext cx="0" cy="79962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612162</xdr:colOff>
      <xdr:row>50</xdr:row>
      <xdr:rowOff>206512</xdr:rowOff>
    </xdr:from>
    <xdr:to>
      <xdr:col>17</xdr:col>
      <xdr:colOff>111098</xdr:colOff>
      <xdr:row>52</xdr:row>
      <xdr:rowOff>124629</xdr:rowOff>
    </xdr:to>
    <xdr:sp macro="" textlink="">
      <xdr:nvSpPr>
        <xdr:cNvPr id="103" name="正方形/長方形 102">
          <a:extLst>
            <a:ext uri="{FF2B5EF4-FFF2-40B4-BE49-F238E27FC236}">
              <a16:creationId xmlns:a16="http://schemas.microsoft.com/office/drawing/2014/main" id="{D09F9882-638F-499E-8EBE-59CF1C5933CB}"/>
            </a:ext>
          </a:extLst>
        </xdr:cNvPr>
        <xdr:cNvSpPr/>
      </xdr:nvSpPr>
      <xdr:spPr>
        <a:xfrm>
          <a:off x="10817519" y="12452941"/>
          <a:ext cx="859650" cy="40797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再開</a:t>
          </a:r>
        </a:p>
      </xdr:txBody>
    </xdr:sp>
    <xdr:clientData/>
  </xdr:twoCellAnchor>
  <xdr:twoCellAnchor>
    <xdr:from>
      <xdr:col>17</xdr:col>
      <xdr:colOff>369553</xdr:colOff>
      <xdr:row>50</xdr:row>
      <xdr:rowOff>195306</xdr:rowOff>
    </xdr:from>
    <xdr:to>
      <xdr:col>19</xdr:col>
      <xdr:colOff>141514</xdr:colOff>
      <xdr:row>52</xdr:row>
      <xdr:rowOff>122948</xdr:rowOff>
    </xdr:to>
    <xdr:sp macro="" textlink="">
      <xdr:nvSpPr>
        <xdr:cNvPr id="104" name="正方形/長方形 103">
          <a:extLst>
            <a:ext uri="{FF2B5EF4-FFF2-40B4-BE49-F238E27FC236}">
              <a16:creationId xmlns:a16="http://schemas.microsoft.com/office/drawing/2014/main" id="{377B5D72-9B70-4394-A209-1E3F8DE8CB8D}"/>
            </a:ext>
          </a:extLst>
        </xdr:cNvPr>
        <xdr:cNvSpPr/>
      </xdr:nvSpPr>
      <xdr:spPr>
        <a:xfrm>
          <a:off x="11935624" y="12441735"/>
          <a:ext cx="1132676" cy="4174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一時停止</a:t>
          </a:r>
        </a:p>
      </xdr:txBody>
    </xdr:sp>
    <xdr:clientData/>
  </xdr:twoCellAnchor>
  <xdr:twoCellAnchor>
    <xdr:from>
      <xdr:col>17</xdr:col>
      <xdr:colOff>492580</xdr:colOff>
      <xdr:row>55</xdr:row>
      <xdr:rowOff>238127</xdr:rowOff>
    </xdr:from>
    <xdr:to>
      <xdr:col>18</xdr:col>
      <xdr:colOff>397329</xdr:colOff>
      <xdr:row>57</xdr:row>
      <xdr:rowOff>190501</xdr:rowOff>
    </xdr:to>
    <xdr:sp macro="" textlink="">
      <xdr:nvSpPr>
        <xdr:cNvPr id="106" name="正方形/長方形 105">
          <a:extLst>
            <a:ext uri="{FF2B5EF4-FFF2-40B4-BE49-F238E27FC236}">
              <a16:creationId xmlns:a16="http://schemas.microsoft.com/office/drawing/2014/main" id="{39C14DDC-BEEF-40B0-9BD4-F6179AB35AB5}"/>
            </a:ext>
          </a:extLst>
        </xdr:cNvPr>
        <xdr:cNvSpPr/>
      </xdr:nvSpPr>
      <xdr:spPr>
        <a:xfrm>
          <a:off x="12058651" y="13709198"/>
          <a:ext cx="585107" cy="44223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rgbClr val="FF0000"/>
              </a:solidFill>
            </a:rPr>
            <a:t>①</a:t>
          </a:r>
        </a:p>
      </xdr:txBody>
    </xdr:sp>
    <xdr:clientData/>
  </xdr:twoCellAnchor>
  <xdr:twoCellAnchor>
    <xdr:from>
      <xdr:col>17</xdr:col>
      <xdr:colOff>553812</xdr:colOff>
      <xdr:row>49</xdr:row>
      <xdr:rowOff>114299</xdr:rowOff>
    </xdr:from>
    <xdr:to>
      <xdr:col>18</xdr:col>
      <xdr:colOff>458561</xdr:colOff>
      <xdr:row>51</xdr:row>
      <xdr:rowOff>66675</xdr:rowOff>
    </xdr:to>
    <xdr:sp macro="" textlink="">
      <xdr:nvSpPr>
        <xdr:cNvPr id="107" name="正方形/長方形 106">
          <a:extLst>
            <a:ext uri="{FF2B5EF4-FFF2-40B4-BE49-F238E27FC236}">
              <a16:creationId xmlns:a16="http://schemas.microsoft.com/office/drawing/2014/main" id="{1D780014-D9D8-4A13-A48C-CE3F06AE6AEC}"/>
            </a:ext>
          </a:extLst>
        </xdr:cNvPr>
        <xdr:cNvSpPr/>
      </xdr:nvSpPr>
      <xdr:spPr>
        <a:xfrm>
          <a:off x="12119883" y="12115799"/>
          <a:ext cx="585107" cy="4422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rgbClr val="FF0000"/>
              </a:solidFill>
            </a:rPr>
            <a:t>②</a:t>
          </a:r>
        </a:p>
      </xdr:txBody>
    </xdr:sp>
    <xdr:clientData/>
  </xdr:twoCellAnchor>
  <xdr:twoCellAnchor>
    <xdr:from>
      <xdr:col>16</xdr:col>
      <xdr:colOff>163286</xdr:colOff>
      <xdr:row>49</xdr:row>
      <xdr:rowOff>118382</xdr:rowOff>
    </xdr:from>
    <xdr:to>
      <xdr:col>17</xdr:col>
      <xdr:colOff>68036</xdr:colOff>
      <xdr:row>51</xdr:row>
      <xdr:rowOff>70758</xdr:rowOff>
    </xdr:to>
    <xdr:sp macro="" textlink="">
      <xdr:nvSpPr>
        <xdr:cNvPr id="112" name="正方形/長方形 111">
          <a:extLst>
            <a:ext uri="{FF2B5EF4-FFF2-40B4-BE49-F238E27FC236}">
              <a16:creationId xmlns:a16="http://schemas.microsoft.com/office/drawing/2014/main" id="{222E232F-1C2C-4736-BAE2-014A341ACAFD}"/>
            </a:ext>
          </a:extLst>
        </xdr:cNvPr>
        <xdr:cNvSpPr/>
      </xdr:nvSpPr>
      <xdr:spPr>
        <a:xfrm>
          <a:off x="11049000" y="12119882"/>
          <a:ext cx="585107" cy="4422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rgbClr val="FF0000"/>
              </a:solidFill>
            </a:rPr>
            <a:t>③</a:t>
          </a:r>
        </a:p>
      </xdr:txBody>
    </xdr:sp>
    <xdr:clientData/>
  </xdr:twoCellAnchor>
  <xdr:twoCellAnchor>
    <xdr:from>
      <xdr:col>16</xdr:col>
      <xdr:colOff>263236</xdr:colOff>
      <xdr:row>46</xdr:row>
      <xdr:rowOff>45415</xdr:rowOff>
    </xdr:from>
    <xdr:to>
      <xdr:col>18</xdr:col>
      <xdr:colOff>298397</xdr:colOff>
      <xdr:row>49</xdr:row>
      <xdr:rowOff>39302</xdr:rowOff>
    </xdr:to>
    <xdr:sp macro="" textlink="">
      <xdr:nvSpPr>
        <xdr:cNvPr id="100" name="正方形/長方形 99">
          <a:extLst>
            <a:ext uri="{FF2B5EF4-FFF2-40B4-BE49-F238E27FC236}">
              <a16:creationId xmlns:a16="http://schemas.microsoft.com/office/drawing/2014/main" id="{89304E50-CC88-498F-8F8A-A897CE6ED3FC}"/>
            </a:ext>
          </a:extLst>
        </xdr:cNvPr>
        <xdr:cNvSpPr/>
      </xdr:nvSpPr>
      <xdr:spPr>
        <a:xfrm>
          <a:off x="11148950" y="11312129"/>
          <a:ext cx="1395876" cy="728673"/>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chemeClr val="tx1"/>
              </a:solidFill>
            </a:rPr>
            <a:t>PAUSE</a:t>
          </a:r>
        </a:p>
      </xdr:txBody>
    </xdr:sp>
    <xdr:clientData/>
  </xdr:twoCellAnchor>
  <xdr:twoCellAnchor>
    <xdr:from>
      <xdr:col>11</xdr:col>
      <xdr:colOff>239074</xdr:colOff>
      <xdr:row>46</xdr:row>
      <xdr:rowOff>47707</xdr:rowOff>
    </xdr:from>
    <xdr:to>
      <xdr:col>13</xdr:col>
      <xdr:colOff>393317</xdr:colOff>
      <xdr:row>49</xdr:row>
      <xdr:rowOff>41634</xdr:rowOff>
    </xdr:to>
    <xdr:sp macro="" textlink="">
      <xdr:nvSpPr>
        <xdr:cNvPr id="81" name="正方形/長方形 80">
          <a:extLst>
            <a:ext uri="{FF2B5EF4-FFF2-40B4-BE49-F238E27FC236}">
              <a16:creationId xmlns:a16="http://schemas.microsoft.com/office/drawing/2014/main" id="{8F76209E-375E-4D59-BE68-F14E55D44FC8}"/>
            </a:ext>
          </a:extLst>
        </xdr:cNvPr>
        <xdr:cNvSpPr/>
      </xdr:nvSpPr>
      <xdr:spPr>
        <a:xfrm>
          <a:off x="7723003" y="11314421"/>
          <a:ext cx="1514957" cy="728713"/>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chemeClr val="tx1"/>
              </a:solidFill>
            </a:rPr>
            <a:t>RESET</a:t>
          </a:r>
          <a:endParaRPr kumimoji="1" lang="ja-JP" altLang="en-US" sz="1400" b="1">
            <a:solidFill>
              <a:schemeClr val="tx1"/>
            </a:solidFill>
          </a:endParaRPr>
        </a:p>
      </xdr:txBody>
    </xdr:sp>
    <xdr:clientData/>
  </xdr:twoCellAnchor>
  <xdr:twoCellAnchor>
    <xdr:from>
      <xdr:col>13</xdr:col>
      <xdr:colOff>165692</xdr:colOff>
      <xdr:row>43</xdr:row>
      <xdr:rowOff>56202</xdr:rowOff>
    </xdr:from>
    <xdr:to>
      <xdr:col>16</xdr:col>
      <xdr:colOff>326571</xdr:colOff>
      <xdr:row>45</xdr:row>
      <xdr:rowOff>204106</xdr:rowOff>
    </xdr:to>
    <xdr:sp macro="" textlink="">
      <xdr:nvSpPr>
        <xdr:cNvPr id="136" name="正方形/長方形 135">
          <a:extLst>
            <a:ext uri="{FF2B5EF4-FFF2-40B4-BE49-F238E27FC236}">
              <a16:creationId xmlns:a16="http://schemas.microsoft.com/office/drawing/2014/main" id="{27905CF2-33F3-4505-87CC-A24B9082BF91}"/>
            </a:ext>
          </a:extLst>
        </xdr:cNvPr>
        <xdr:cNvSpPr/>
      </xdr:nvSpPr>
      <xdr:spPr>
        <a:xfrm>
          <a:off x="9010335" y="10588131"/>
          <a:ext cx="2201950" cy="63776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600" b="1">
              <a:solidFill>
                <a:schemeClr val="tx1"/>
              </a:solidFill>
            </a:rPr>
            <a:t>AWG</a:t>
          </a:r>
          <a:r>
            <a:rPr kumimoji="1" lang="en-US" altLang="ja-JP" sz="1600" b="1" baseline="0">
              <a:solidFill>
                <a:schemeClr val="tx1"/>
              </a:solidFill>
            </a:rPr>
            <a:t> </a:t>
          </a:r>
          <a:r>
            <a:rPr kumimoji="1" lang="ja-JP" altLang="en-US" sz="1600" b="1" baseline="0">
              <a:solidFill>
                <a:schemeClr val="tx1"/>
              </a:solidFill>
            </a:rPr>
            <a:t>状態遷移</a:t>
          </a:r>
          <a:endParaRPr kumimoji="1" lang="ja-JP" altLang="en-US" sz="1600" b="1">
            <a:solidFill>
              <a:schemeClr val="tx1"/>
            </a:solidFill>
          </a:endParaRPr>
        </a:p>
      </xdr:txBody>
    </xdr:sp>
    <xdr:clientData/>
  </xdr:twoCellAnchor>
  <xdr:twoCellAnchor>
    <xdr:from>
      <xdr:col>3</xdr:col>
      <xdr:colOff>168415</xdr:colOff>
      <xdr:row>43</xdr:row>
      <xdr:rowOff>45316</xdr:rowOff>
    </xdr:from>
    <xdr:to>
      <xdr:col>7</xdr:col>
      <xdr:colOff>326572</xdr:colOff>
      <xdr:row>45</xdr:row>
      <xdr:rowOff>193220</xdr:rowOff>
    </xdr:to>
    <xdr:sp macro="" textlink="">
      <xdr:nvSpPr>
        <xdr:cNvPr id="138" name="正方形/長方形 137">
          <a:extLst>
            <a:ext uri="{FF2B5EF4-FFF2-40B4-BE49-F238E27FC236}">
              <a16:creationId xmlns:a16="http://schemas.microsoft.com/office/drawing/2014/main" id="{5A1A18B0-F109-4B91-86C3-1F877EC6E6D6}"/>
            </a:ext>
          </a:extLst>
        </xdr:cNvPr>
        <xdr:cNvSpPr/>
      </xdr:nvSpPr>
      <xdr:spPr>
        <a:xfrm>
          <a:off x="2209486" y="10577245"/>
          <a:ext cx="2879586" cy="63776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600" b="1" baseline="0">
              <a:solidFill>
                <a:schemeClr val="tx1"/>
              </a:solidFill>
            </a:rPr>
            <a:t>ディジタル出力状態遷移</a:t>
          </a:r>
          <a:endParaRPr kumimoji="1" lang="ja-JP" altLang="en-US" sz="1600" b="1">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40822</xdr:colOff>
      <xdr:row>2</xdr:row>
      <xdr:rowOff>54428</xdr:rowOff>
    </xdr:from>
    <xdr:to>
      <xdr:col>44</xdr:col>
      <xdr:colOff>244931</xdr:colOff>
      <xdr:row>3</xdr:row>
      <xdr:rowOff>81643</xdr:rowOff>
    </xdr:to>
    <xdr:sp macro="" textlink="">
      <xdr:nvSpPr>
        <xdr:cNvPr id="22" name="右中かっこ 21">
          <a:extLst>
            <a:ext uri="{FF2B5EF4-FFF2-40B4-BE49-F238E27FC236}">
              <a16:creationId xmlns:a16="http://schemas.microsoft.com/office/drawing/2014/main" id="{1F1C6893-C662-445E-9754-83F08BD7E581}"/>
            </a:ext>
          </a:extLst>
        </xdr:cNvPr>
        <xdr:cNvSpPr/>
      </xdr:nvSpPr>
      <xdr:spPr>
        <a:xfrm rot="16200000">
          <a:off x="6777719" y="-4586969"/>
          <a:ext cx="265340" cy="10976884"/>
        </a:xfrm>
        <a:prstGeom prst="rightBrace">
          <a:avLst>
            <a:gd name="adj1" fmla="val 43627"/>
            <a:gd name="adj2" fmla="val 50000"/>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22</xdr:col>
      <xdr:colOff>212272</xdr:colOff>
      <xdr:row>1</xdr:row>
      <xdr:rowOff>12246</xdr:rowOff>
    </xdr:from>
    <xdr:to>
      <xdr:col>27</xdr:col>
      <xdr:colOff>142875</xdr:colOff>
      <xdr:row>2</xdr:row>
      <xdr:rowOff>73479</xdr:rowOff>
    </xdr:to>
    <xdr:sp macro="" textlink="">
      <xdr:nvSpPr>
        <xdr:cNvPr id="23" name="正方形/長方形 22">
          <a:extLst>
            <a:ext uri="{FF2B5EF4-FFF2-40B4-BE49-F238E27FC236}">
              <a16:creationId xmlns:a16="http://schemas.microsoft.com/office/drawing/2014/main" id="{ADADE759-1459-487C-BCBD-CB12826924BF}"/>
            </a:ext>
          </a:extLst>
        </xdr:cNvPr>
        <xdr:cNvSpPr/>
      </xdr:nvSpPr>
      <xdr:spPr>
        <a:xfrm>
          <a:off x="6289222" y="8108496"/>
          <a:ext cx="1311728" cy="29935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1</a:t>
          </a:r>
          <a:r>
            <a:rPr kumimoji="1" lang="ja-JP" altLang="en-US" sz="1100">
              <a:solidFill>
                <a:schemeClr val="tx1"/>
              </a:solidFill>
            </a:rPr>
            <a:t>ワード </a:t>
          </a:r>
          <a:r>
            <a:rPr kumimoji="1" lang="en-US" altLang="ja-JP" sz="1100">
              <a:solidFill>
                <a:schemeClr val="tx1"/>
              </a:solidFill>
            </a:rPr>
            <a:t>= 256</a:t>
          </a:r>
          <a:r>
            <a:rPr kumimoji="1" lang="ja-JP" altLang="en-US" sz="1100" baseline="0">
              <a:solidFill>
                <a:schemeClr val="tx1"/>
              </a:solidFill>
            </a:rPr>
            <a:t> </a:t>
          </a:r>
          <a:r>
            <a:rPr kumimoji="1" lang="en-US" altLang="ja-JP" sz="1100">
              <a:solidFill>
                <a:schemeClr val="tx1"/>
              </a:solidFill>
            </a:rPr>
            <a:t>bits</a:t>
          </a:r>
          <a:endParaRPr kumimoji="1" lang="ja-JP" altLang="en-US" sz="1100">
            <a:solidFill>
              <a:schemeClr val="tx1"/>
            </a:solidFill>
          </a:endParaRPr>
        </a:p>
      </xdr:txBody>
    </xdr:sp>
    <xdr:clientData/>
  </xdr:twoCellAnchor>
  <xdr:twoCellAnchor>
    <xdr:from>
      <xdr:col>20</xdr:col>
      <xdr:colOff>44824</xdr:colOff>
      <xdr:row>9</xdr:row>
      <xdr:rowOff>11206</xdr:rowOff>
    </xdr:from>
    <xdr:to>
      <xdr:col>25</xdr:col>
      <xdr:colOff>0</xdr:colOff>
      <xdr:row>10</xdr:row>
      <xdr:rowOff>123265</xdr:rowOff>
    </xdr:to>
    <xdr:cxnSp macro="">
      <xdr:nvCxnSpPr>
        <xdr:cNvPr id="24" name="直線コネクタ 23">
          <a:extLst>
            <a:ext uri="{FF2B5EF4-FFF2-40B4-BE49-F238E27FC236}">
              <a16:creationId xmlns:a16="http://schemas.microsoft.com/office/drawing/2014/main" id="{AC37765D-34CD-4722-AD58-780929FC767E}"/>
            </a:ext>
          </a:extLst>
        </xdr:cNvPr>
        <xdr:cNvCxnSpPr/>
      </xdr:nvCxnSpPr>
      <xdr:spPr>
        <a:xfrm flipH="1">
          <a:off x="5569324" y="2392456"/>
          <a:ext cx="1336301" cy="350184"/>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16565</xdr:colOff>
      <xdr:row>9</xdr:row>
      <xdr:rowOff>11206</xdr:rowOff>
    </xdr:from>
    <xdr:to>
      <xdr:col>34</xdr:col>
      <xdr:colOff>224118</xdr:colOff>
      <xdr:row>10</xdr:row>
      <xdr:rowOff>156882</xdr:rowOff>
    </xdr:to>
    <xdr:cxnSp macro="">
      <xdr:nvCxnSpPr>
        <xdr:cNvPr id="25" name="直線コネクタ 24">
          <a:extLst>
            <a:ext uri="{FF2B5EF4-FFF2-40B4-BE49-F238E27FC236}">
              <a16:creationId xmlns:a16="http://schemas.microsoft.com/office/drawing/2014/main" id="{9309DCC0-4AFD-46FD-964B-CBDD57A18098}"/>
            </a:ext>
          </a:extLst>
        </xdr:cNvPr>
        <xdr:cNvCxnSpPr/>
      </xdr:nvCxnSpPr>
      <xdr:spPr>
        <a:xfrm>
          <a:off x="8303315" y="2392456"/>
          <a:ext cx="1312453" cy="383801"/>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40822</xdr:colOff>
      <xdr:row>18</xdr:row>
      <xdr:rowOff>54428</xdr:rowOff>
    </xdr:from>
    <xdr:to>
      <xdr:col>39</xdr:col>
      <xdr:colOff>244931</xdr:colOff>
      <xdr:row>19</xdr:row>
      <xdr:rowOff>81643</xdr:rowOff>
    </xdr:to>
    <xdr:sp macro="" textlink="">
      <xdr:nvSpPr>
        <xdr:cNvPr id="6" name="右中かっこ 5">
          <a:extLst>
            <a:ext uri="{FF2B5EF4-FFF2-40B4-BE49-F238E27FC236}">
              <a16:creationId xmlns:a16="http://schemas.microsoft.com/office/drawing/2014/main" id="{96CDE993-16E6-4C53-9C4C-14B43553CA63}"/>
            </a:ext>
          </a:extLst>
        </xdr:cNvPr>
        <xdr:cNvSpPr/>
      </xdr:nvSpPr>
      <xdr:spPr>
        <a:xfrm rot="16200000">
          <a:off x="6087157" y="-4134532"/>
          <a:ext cx="265340" cy="9595759"/>
        </a:xfrm>
        <a:prstGeom prst="rightBrace">
          <a:avLst>
            <a:gd name="adj1" fmla="val 43627"/>
            <a:gd name="adj2" fmla="val 50000"/>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20</xdr:col>
      <xdr:colOff>50347</xdr:colOff>
      <xdr:row>16</xdr:row>
      <xdr:rowOff>212271</xdr:rowOff>
    </xdr:from>
    <xdr:to>
      <xdr:col>24</xdr:col>
      <xdr:colOff>257175</xdr:colOff>
      <xdr:row>18</xdr:row>
      <xdr:rowOff>35379</xdr:rowOff>
    </xdr:to>
    <xdr:sp macro="" textlink="">
      <xdr:nvSpPr>
        <xdr:cNvPr id="7" name="正方形/長方形 6">
          <a:extLst>
            <a:ext uri="{FF2B5EF4-FFF2-40B4-BE49-F238E27FC236}">
              <a16:creationId xmlns:a16="http://schemas.microsoft.com/office/drawing/2014/main" id="{5C502787-6F16-48B8-8508-776564C13FDC}"/>
            </a:ext>
          </a:extLst>
        </xdr:cNvPr>
        <xdr:cNvSpPr/>
      </xdr:nvSpPr>
      <xdr:spPr>
        <a:xfrm>
          <a:off x="5574847" y="212271"/>
          <a:ext cx="1311728" cy="29935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1</a:t>
          </a:r>
          <a:r>
            <a:rPr kumimoji="1" lang="ja-JP" altLang="en-US" sz="1100">
              <a:solidFill>
                <a:schemeClr val="tx1"/>
              </a:solidFill>
            </a:rPr>
            <a:t>ワード </a:t>
          </a:r>
          <a:r>
            <a:rPr kumimoji="1" lang="en-US" altLang="ja-JP" sz="1100">
              <a:solidFill>
                <a:schemeClr val="tx1"/>
              </a:solidFill>
            </a:rPr>
            <a:t>= 512</a:t>
          </a:r>
          <a:r>
            <a:rPr kumimoji="1" lang="ja-JP" altLang="en-US" sz="1100" baseline="0">
              <a:solidFill>
                <a:schemeClr val="tx1"/>
              </a:solidFill>
            </a:rPr>
            <a:t> </a:t>
          </a:r>
          <a:r>
            <a:rPr kumimoji="1" lang="en-US" altLang="ja-JP" sz="1100">
              <a:solidFill>
                <a:schemeClr val="tx1"/>
              </a:solidFill>
            </a:rPr>
            <a:t>bits</a:t>
          </a:r>
          <a:endParaRPr kumimoji="1" lang="ja-JP" altLang="en-US" sz="1100">
            <a:solidFill>
              <a:schemeClr val="tx1"/>
            </a:solidFill>
          </a:endParaRPr>
        </a:p>
      </xdr:txBody>
    </xdr:sp>
    <xdr:clientData/>
  </xdr:twoCellAnchor>
  <xdr:twoCellAnchor>
    <xdr:from>
      <xdr:col>19</xdr:col>
      <xdr:colOff>16565</xdr:colOff>
      <xdr:row>25</xdr:row>
      <xdr:rowOff>6569</xdr:rowOff>
    </xdr:from>
    <xdr:to>
      <xdr:col>20</xdr:col>
      <xdr:colOff>0</xdr:colOff>
      <xdr:row>25</xdr:row>
      <xdr:rowOff>173935</xdr:rowOff>
    </xdr:to>
    <xdr:cxnSp macro="">
      <xdr:nvCxnSpPr>
        <xdr:cNvPr id="8" name="直線コネクタ 7">
          <a:extLst>
            <a:ext uri="{FF2B5EF4-FFF2-40B4-BE49-F238E27FC236}">
              <a16:creationId xmlns:a16="http://schemas.microsoft.com/office/drawing/2014/main" id="{3818ADA5-B45B-4602-9226-B93D68E05268}"/>
            </a:ext>
          </a:extLst>
        </xdr:cNvPr>
        <xdr:cNvCxnSpPr/>
      </xdr:nvCxnSpPr>
      <xdr:spPr>
        <a:xfrm flipH="1">
          <a:off x="5264840" y="2149694"/>
          <a:ext cx="259660" cy="167366"/>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0</xdr:colOff>
      <xdr:row>25</xdr:row>
      <xdr:rowOff>8282</xdr:rowOff>
    </xdr:from>
    <xdr:to>
      <xdr:col>26</xdr:col>
      <xdr:colOff>0</xdr:colOff>
      <xdr:row>25</xdr:row>
      <xdr:rowOff>157369</xdr:rowOff>
    </xdr:to>
    <xdr:cxnSp macro="">
      <xdr:nvCxnSpPr>
        <xdr:cNvPr id="9" name="直線コネクタ 8">
          <a:extLst>
            <a:ext uri="{FF2B5EF4-FFF2-40B4-BE49-F238E27FC236}">
              <a16:creationId xmlns:a16="http://schemas.microsoft.com/office/drawing/2014/main" id="{2AA67737-2B5E-41AF-B37B-A21AED622B78}"/>
            </a:ext>
          </a:extLst>
        </xdr:cNvPr>
        <xdr:cNvCxnSpPr/>
      </xdr:nvCxnSpPr>
      <xdr:spPr>
        <a:xfrm>
          <a:off x="6905625" y="2151407"/>
          <a:ext cx="276225" cy="149087"/>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11206</xdr:colOff>
      <xdr:row>45</xdr:row>
      <xdr:rowOff>0</xdr:rowOff>
    </xdr:from>
    <xdr:to>
      <xdr:col>6</xdr:col>
      <xdr:colOff>240447</xdr:colOff>
      <xdr:row>45</xdr:row>
      <xdr:rowOff>0</xdr:rowOff>
    </xdr:to>
    <xdr:sp macro="" textlink="">
      <xdr:nvSpPr>
        <xdr:cNvPr id="13" name="正方形/長方形 12">
          <a:extLst>
            <a:ext uri="{FF2B5EF4-FFF2-40B4-BE49-F238E27FC236}">
              <a16:creationId xmlns:a16="http://schemas.microsoft.com/office/drawing/2014/main" id="{1EDF330F-EB96-491D-9FDA-87AA9A0259CF}"/>
            </a:ext>
          </a:extLst>
        </xdr:cNvPr>
        <xdr:cNvSpPr/>
      </xdr:nvSpPr>
      <xdr:spPr>
        <a:xfrm>
          <a:off x="1131794" y="8527038"/>
          <a:ext cx="789535" cy="58334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aseline="0">
              <a:solidFill>
                <a:schemeClr val="tx1"/>
              </a:solidFill>
            </a:rPr>
            <a:t>4 GBytes</a:t>
          </a:r>
        </a:p>
      </xdr:txBody>
    </xdr:sp>
    <xdr:clientData/>
  </xdr:twoCellAnchor>
  <xdr:twoCellAnchor>
    <xdr:from>
      <xdr:col>5</xdr:col>
      <xdr:colOff>40823</xdr:colOff>
      <xdr:row>33</xdr:row>
      <xdr:rowOff>54428</xdr:rowOff>
    </xdr:from>
    <xdr:to>
      <xdr:col>27</xdr:col>
      <xdr:colOff>257178</xdr:colOff>
      <xdr:row>34</xdr:row>
      <xdr:rowOff>81643</xdr:rowOff>
    </xdr:to>
    <xdr:sp macro="" textlink="">
      <xdr:nvSpPr>
        <xdr:cNvPr id="14" name="右中かっこ 13">
          <a:extLst>
            <a:ext uri="{FF2B5EF4-FFF2-40B4-BE49-F238E27FC236}">
              <a16:creationId xmlns:a16="http://schemas.microsoft.com/office/drawing/2014/main" id="{D89A235D-A3FC-4982-88DB-577EDFA61A8D}"/>
            </a:ext>
          </a:extLst>
        </xdr:cNvPr>
        <xdr:cNvSpPr/>
      </xdr:nvSpPr>
      <xdr:spPr>
        <a:xfrm rot="16200000">
          <a:off x="4435931" y="4898570"/>
          <a:ext cx="265340" cy="6293305"/>
        </a:xfrm>
        <a:prstGeom prst="rightBrace">
          <a:avLst>
            <a:gd name="adj1" fmla="val 43627"/>
            <a:gd name="adj2" fmla="val 50000"/>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14</xdr:col>
      <xdr:colOff>31297</xdr:colOff>
      <xdr:row>31</xdr:row>
      <xdr:rowOff>212271</xdr:rowOff>
    </xdr:from>
    <xdr:to>
      <xdr:col>18</xdr:col>
      <xdr:colOff>238125</xdr:colOff>
      <xdr:row>33</xdr:row>
      <xdr:rowOff>35379</xdr:rowOff>
    </xdr:to>
    <xdr:sp macro="" textlink="">
      <xdr:nvSpPr>
        <xdr:cNvPr id="15" name="正方形/長方形 14">
          <a:extLst>
            <a:ext uri="{FF2B5EF4-FFF2-40B4-BE49-F238E27FC236}">
              <a16:creationId xmlns:a16="http://schemas.microsoft.com/office/drawing/2014/main" id="{B323F816-3728-4DFC-9B8E-B392963B17B6}"/>
            </a:ext>
          </a:extLst>
        </xdr:cNvPr>
        <xdr:cNvSpPr/>
      </xdr:nvSpPr>
      <xdr:spPr>
        <a:xfrm>
          <a:off x="3898447" y="7594146"/>
          <a:ext cx="1311728" cy="29935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1</a:t>
          </a:r>
          <a:r>
            <a:rPr kumimoji="1" lang="ja-JP" altLang="en-US" sz="1100">
              <a:solidFill>
                <a:schemeClr val="tx1"/>
              </a:solidFill>
            </a:rPr>
            <a:t>ワード </a:t>
          </a:r>
          <a:r>
            <a:rPr kumimoji="1" lang="en-US" altLang="ja-JP" sz="1100">
              <a:solidFill>
                <a:schemeClr val="tx1"/>
              </a:solidFill>
            </a:rPr>
            <a:t>= 256</a:t>
          </a:r>
          <a:r>
            <a:rPr kumimoji="1" lang="ja-JP" altLang="en-US" sz="1100" baseline="0">
              <a:solidFill>
                <a:schemeClr val="tx1"/>
              </a:solidFill>
            </a:rPr>
            <a:t> </a:t>
          </a:r>
          <a:r>
            <a:rPr kumimoji="1" lang="en-US" altLang="ja-JP" sz="1100">
              <a:solidFill>
                <a:schemeClr val="tx1"/>
              </a:solidFill>
            </a:rPr>
            <a:t>bits</a:t>
          </a:r>
          <a:endParaRPr kumimoji="1" lang="ja-JP" altLang="en-US" sz="1100">
            <a:solidFill>
              <a:schemeClr val="tx1"/>
            </a:solidFill>
          </a:endParaRPr>
        </a:p>
      </xdr:txBody>
    </xdr:sp>
    <xdr:clientData/>
  </xdr:twoCellAnchor>
  <xdr:twoCellAnchor>
    <xdr:from>
      <xdr:col>14</xdr:col>
      <xdr:colOff>264215</xdr:colOff>
      <xdr:row>40</xdr:row>
      <xdr:rowOff>6569</xdr:rowOff>
    </xdr:from>
    <xdr:to>
      <xdr:col>15</xdr:col>
      <xdr:colOff>247650</xdr:colOff>
      <xdr:row>40</xdr:row>
      <xdr:rowOff>173935</xdr:rowOff>
    </xdr:to>
    <xdr:cxnSp macro="">
      <xdr:nvCxnSpPr>
        <xdr:cNvPr id="16" name="直線コネクタ 15">
          <a:extLst>
            <a:ext uri="{FF2B5EF4-FFF2-40B4-BE49-F238E27FC236}">
              <a16:creationId xmlns:a16="http://schemas.microsoft.com/office/drawing/2014/main" id="{9BE6EEE8-4BCF-4ADD-8B97-9EEEAFCFDF9B}"/>
            </a:ext>
          </a:extLst>
        </xdr:cNvPr>
        <xdr:cNvCxnSpPr/>
      </xdr:nvCxnSpPr>
      <xdr:spPr>
        <a:xfrm flipH="1">
          <a:off x="4131365" y="9531569"/>
          <a:ext cx="259660" cy="167366"/>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40</xdr:row>
      <xdr:rowOff>17807</xdr:rowOff>
    </xdr:from>
    <xdr:to>
      <xdr:col>23</xdr:col>
      <xdr:colOff>0</xdr:colOff>
      <xdr:row>40</xdr:row>
      <xdr:rowOff>166894</xdr:rowOff>
    </xdr:to>
    <xdr:cxnSp macro="">
      <xdr:nvCxnSpPr>
        <xdr:cNvPr id="17" name="直線コネクタ 16">
          <a:extLst>
            <a:ext uri="{FF2B5EF4-FFF2-40B4-BE49-F238E27FC236}">
              <a16:creationId xmlns:a16="http://schemas.microsoft.com/office/drawing/2014/main" id="{BB26A89C-8FB1-498C-A0F1-576340184ADB}"/>
            </a:ext>
          </a:extLst>
        </xdr:cNvPr>
        <xdr:cNvCxnSpPr/>
      </xdr:nvCxnSpPr>
      <xdr:spPr>
        <a:xfrm>
          <a:off x="6076950" y="9542807"/>
          <a:ext cx="276225" cy="149087"/>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190092</xdr:colOff>
      <xdr:row>71</xdr:row>
      <xdr:rowOff>22412</xdr:rowOff>
    </xdr:from>
    <xdr:to>
      <xdr:col>7</xdr:col>
      <xdr:colOff>78872</xdr:colOff>
      <xdr:row>75</xdr:row>
      <xdr:rowOff>212912</xdr:rowOff>
    </xdr:to>
    <xdr:sp macro="" textlink="">
      <xdr:nvSpPr>
        <xdr:cNvPr id="28" name="右中かっこ 27">
          <a:extLst>
            <a:ext uri="{FF2B5EF4-FFF2-40B4-BE49-F238E27FC236}">
              <a16:creationId xmlns:a16="http://schemas.microsoft.com/office/drawing/2014/main" id="{156A7DB0-EDBD-4638-AF2C-0D413718D01C}"/>
            </a:ext>
          </a:extLst>
        </xdr:cNvPr>
        <xdr:cNvSpPr/>
      </xdr:nvSpPr>
      <xdr:spPr>
        <a:xfrm rot="10800000">
          <a:off x="1852637" y="21843321"/>
          <a:ext cx="165871" cy="1160318"/>
        </a:xfrm>
        <a:prstGeom prst="rightBrace">
          <a:avLst>
            <a:gd name="adj1" fmla="val 43627"/>
            <a:gd name="adj2" fmla="val 50000"/>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3</xdr:col>
      <xdr:colOff>33209</xdr:colOff>
      <xdr:row>72</xdr:row>
      <xdr:rowOff>75099</xdr:rowOff>
    </xdr:from>
    <xdr:to>
      <xdr:col>6</xdr:col>
      <xdr:colOff>97661</xdr:colOff>
      <xdr:row>74</xdr:row>
      <xdr:rowOff>187795</xdr:rowOff>
    </xdr:to>
    <xdr:sp macro="" textlink="">
      <xdr:nvSpPr>
        <xdr:cNvPr id="29" name="正方形/長方形 28">
          <a:extLst>
            <a:ext uri="{FF2B5EF4-FFF2-40B4-BE49-F238E27FC236}">
              <a16:creationId xmlns:a16="http://schemas.microsoft.com/office/drawing/2014/main" id="{028D1A5E-23CA-440C-8E2D-0CB4EA66C11C}"/>
            </a:ext>
          </a:extLst>
        </xdr:cNvPr>
        <xdr:cNvSpPr/>
      </xdr:nvSpPr>
      <xdr:spPr>
        <a:xfrm>
          <a:off x="864482" y="22138463"/>
          <a:ext cx="895724" cy="59760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baseline="0">
              <a:solidFill>
                <a:schemeClr val="tx1"/>
              </a:solidFill>
            </a:rPr>
            <a:t>256 KBytes</a:t>
          </a:r>
        </a:p>
      </xdr:txBody>
    </xdr:sp>
    <xdr:clientData/>
  </xdr:twoCellAnchor>
  <xdr:twoCellAnchor>
    <xdr:from>
      <xdr:col>6</xdr:col>
      <xdr:colOff>185609</xdr:colOff>
      <xdr:row>77</xdr:row>
      <xdr:rowOff>29135</xdr:rowOff>
    </xdr:from>
    <xdr:to>
      <xdr:col>7</xdr:col>
      <xdr:colOff>74389</xdr:colOff>
      <xdr:row>81</xdr:row>
      <xdr:rowOff>219635</xdr:rowOff>
    </xdr:to>
    <xdr:sp macro="" textlink="">
      <xdr:nvSpPr>
        <xdr:cNvPr id="32" name="右中かっこ 31">
          <a:extLst>
            <a:ext uri="{FF2B5EF4-FFF2-40B4-BE49-F238E27FC236}">
              <a16:creationId xmlns:a16="http://schemas.microsoft.com/office/drawing/2014/main" id="{51038502-8AB2-4032-9A15-AD7ABCD1303C}"/>
            </a:ext>
          </a:extLst>
        </xdr:cNvPr>
        <xdr:cNvSpPr/>
      </xdr:nvSpPr>
      <xdr:spPr>
        <a:xfrm rot="10800000">
          <a:off x="1848154" y="23304771"/>
          <a:ext cx="165871" cy="1160319"/>
        </a:xfrm>
        <a:prstGeom prst="rightBrace">
          <a:avLst>
            <a:gd name="adj1" fmla="val 43627"/>
            <a:gd name="adj2" fmla="val 50000"/>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3</xdr:col>
      <xdr:colOff>28726</xdr:colOff>
      <xdr:row>78</xdr:row>
      <xdr:rowOff>81822</xdr:rowOff>
    </xdr:from>
    <xdr:to>
      <xdr:col>6</xdr:col>
      <xdr:colOff>93178</xdr:colOff>
      <xdr:row>80</xdr:row>
      <xdr:rowOff>194518</xdr:rowOff>
    </xdr:to>
    <xdr:sp macro="" textlink="">
      <xdr:nvSpPr>
        <xdr:cNvPr id="33" name="正方形/長方形 32">
          <a:extLst>
            <a:ext uri="{FF2B5EF4-FFF2-40B4-BE49-F238E27FC236}">
              <a16:creationId xmlns:a16="http://schemas.microsoft.com/office/drawing/2014/main" id="{056F34CD-A037-48A7-82F2-3B88E9642A3B}"/>
            </a:ext>
          </a:extLst>
        </xdr:cNvPr>
        <xdr:cNvSpPr/>
      </xdr:nvSpPr>
      <xdr:spPr>
        <a:xfrm>
          <a:off x="859999" y="23599913"/>
          <a:ext cx="895724" cy="59760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baseline="0">
              <a:solidFill>
                <a:schemeClr val="tx1"/>
              </a:solidFill>
            </a:rPr>
            <a:t>256 KBytes</a:t>
          </a:r>
        </a:p>
      </xdr:txBody>
    </xdr:sp>
    <xdr:clientData/>
  </xdr:twoCellAnchor>
  <xdr:twoCellAnchor>
    <xdr:from>
      <xdr:col>6</xdr:col>
      <xdr:colOff>169921</xdr:colOff>
      <xdr:row>83</xdr:row>
      <xdr:rowOff>24653</xdr:rowOff>
    </xdr:from>
    <xdr:to>
      <xdr:col>7</xdr:col>
      <xdr:colOff>58701</xdr:colOff>
      <xdr:row>87</xdr:row>
      <xdr:rowOff>215153</xdr:rowOff>
    </xdr:to>
    <xdr:sp macro="" textlink="">
      <xdr:nvSpPr>
        <xdr:cNvPr id="34" name="右中かっこ 33">
          <a:extLst>
            <a:ext uri="{FF2B5EF4-FFF2-40B4-BE49-F238E27FC236}">
              <a16:creationId xmlns:a16="http://schemas.microsoft.com/office/drawing/2014/main" id="{3D69DCAE-8551-4140-90A1-BB51547D8B77}"/>
            </a:ext>
          </a:extLst>
        </xdr:cNvPr>
        <xdr:cNvSpPr/>
      </xdr:nvSpPr>
      <xdr:spPr>
        <a:xfrm rot="10800000">
          <a:off x="1832466" y="24755017"/>
          <a:ext cx="165871" cy="1160318"/>
        </a:xfrm>
        <a:prstGeom prst="rightBrace">
          <a:avLst>
            <a:gd name="adj1" fmla="val 43627"/>
            <a:gd name="adj2" fmla="val 50000"/>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3</xdr:col>
      <xdr:colOff>13038</xdr:colOff>
      <xdr:row>84</xdr:row>
      <xdr:rowOff>77339</xdr:rowOff>
    </xdr:from>
    <xdr:to>
      <xdr:col>6</xdr:col>
      <xdr:colOff>77490</xdr:colOff>
      <xdr:row>86</xdr:row>
      <xdr:rowOff>190035</xdr:rowOff>
    </xdr:to>
    <xdr:sp macro="" textlink="">
      <xdr:nvSpPr>
        <xdr:cNvPr id="35" name="正方形/長方形 34">
          <a:extLst>
            <a:ext uri="{FF2B5EF4-FFF2-40B4-BE49-F238E27FC236}">
              <a16:creationId xmlns:a16="http://schemas.microsoft.com/office/drawing/2014/main" id="{BF3CC936-4DF4-4B2C-B73A-43C1128496A5}"/>
            </a:ext>
          </a:extLst>
        </xdr:cNvPr>
        <xdr:cNvSpPr/>
      </xdr:nvSpPr>
      <xdr:spPr>
        <a:xfrm>
          <a:off x="844311" y="25050157"/>
          <a:ext cx="895724" cy="59760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baseline="0">
              <a:solidFill>
                <a:schemeClr val="tx1"/>
              </a:solidFill>
            </a:rPr>
            <a:t>256 KBytes</a:t>
          </a:r>
        </a:p>
      </xdr:txBody>
    </xdr:sp>
    <xdr:clientData/>
  </xdr:twoCellAnchor>
  <xdr:twoCellAnchor>
    <xdr:from>
      <xdr:col>6</xdr:col>
      <xdr:colOff>176644</xdr:colOff>
      <xdr:row>89</xdr:row>
      <xdr:rowOff>31377</xdr:rowOff>
    </xdr:from>
    <xdr:to>
      <xdr:col>7</xdr:col>
      <xdr:colOff>65424</xdr:colOff>
      <xdr:row>93</xdr:row>
      <xdr:rowOff>221877</xdr:rowOff>
    </xdr:to>
    <xdr:sp macro="" textlink="">
      <xdr:nvSpPr>
        <xdr:cNvPr id="36" name="右中かっこ 35">
          <a:extLst>
            <a:ext uri="{FF2B5EF4-FFF2-40B4-BE49-F238E27FC236}">
              <a16:creationId xmlns:a16="http://schemas.microsoft.com/office/drawing/2014/main" id="{2C3BA43D-DCC0-4EBF-815E-0A88AE417138}"/>
            </a:ext>
          </a:extLst>
        </xdr:cNvPr>
        <xdr:cNvSpPr/>
      </xdr:nvSpPr>
      <xdr:spPr>
        <a:xfrm rot="10800000">
          <a:off x="1839189" y="26216468"/>
          <a:ext cx="165871" cy="1160318"/>
        </a:xfrm>
        <a:prstGeom prst="rightBrace">
          <a:avLst>
            <a:gd name="adj1" fmla="val 43627"/>
            <a:gd name="adj2" fmla="val 50000"/>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3</xdr:col>
      <xdr:colOff>19761</xdr:colOff>
      <xdr:row>90</xdr:row>
      <xdr:rowOff>84063</xdr:rowOff>
    </xdr:from>
    <xdr:to>
      <xdr:col>6</xdr:col>
      <xdr:colOff>84213</xdr:colOff>
      <xdr:row>92</xdr:row>
      <xdr:rowOff>196759</xdr:rowOff>
    </xdr:to>
    <xdr:sp macro="" textlink="">
      <xdr:nvSpPr>
        <xdr:cNvPr id="37" name="正方形/長方形 36">
          <a:extLst>
            <a:ext uri="{FF2B5EF4-FFF2-40B4-BE49-F238E27FC236}">
              <a16:creationId xmlns:a16="http://schemas.microsoft.com/office/drawing/2014/main" id="{80375806-173F-4DBC-823E-270AA71F7D66}"/>
            </a:ext>
          </a:extLst>
        </xdr:cNvPr>
        <xdr:cNvSpPr/>
      </xdr:nvSpPr>
      <xdr:spPr>
        <a:xfrm>
          <a:off x="851034" y="26511608"/>
          <a:ext cx="895724" cy="59760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baseline="0">
              <a:solidFill>
                <a:schemeClr val="tx1"/>
              </a:solidFill>
            </a:rPr>
            <a:t>256 KBytes</a:t>
          </a:r>
        </a:p>
      </xdr:txBody>
    </xdr:sp>
    <xdr:clientData/>
  </xdr:twoCellAnchor>
  <xdr:twoCellAnchor>
    <xdr:from>
      <xdr:col>6</xdr:col>
      <xdr:colOff>160956</xdr:colOff>
      <xdr:row>95</xdr:row>
      <xdr:rowOff>38100</xdr:rowOff>
    </xdr:from>
    <xdr:to>
      <xdr:col>7</xdr:col>
      <xdr:colOff>49736</xdr:colOff>
      <xdr:row>100</xdr:row>
      <xdr:rowOff>0</xdr:rowOff>
    </xdr:to>
    <xdr:sp macro="" textlink="">
      <xdr:nvSpPr>
        <xdr:cNvPr id="38" name="右中かっこ 37">
          <a:extLst>
            <a:ext uri="{FF2B5EF4-FFF2-40B4-BE49-F238E27FC236}">
              <a16:creationId xmlns:a16="http://schemas.microsoft.com/office/drawing/2014/main" id="{B0E76CBC-8B08-48FB-B92E-8AF42F65A381}"/>
            </a:ext>
          </a:extLst>
        </xdr:cNvPr>
        <xdr:cNvSpPr/>
      </xdr:nvSpPr>
      <xdr:spPr>
        <a:xfrm rot="10800000">
          <a:off x="1823501" y="27677918"/>
          <a:ext cx="165871" cy="1174173"/>
        </a:xfrm>
        <a:prstGeom prst="rightBrace">
          <a:avLst>
            <a:gd name="adj1" fmla="val 43627"/>
            <a:gd name="adj2" fmla="val 50000"/>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3</xdr:col>
      <xdr:colOff>4073</xdr:colOff>
      <xdr:row>96</xdr:row>
      <xdr:rowOff>90786</xdr:rowOff>
    </xdr:from>
    <xdr:to>
      <xdr:col>6</xdr:col>
      <xdr:colOff>68525</xdr:colOff>
      <xdr:row>98</xdr:row>
      <xdr:rowOff>203482</xdr:rowOff>
    </xdr:to>
    <xdr:sp macro="" textlink="">
      <xdr:nvSpPr>
        <xdr:cNvPr id="39" name="正方形/長方形 38">
          <a:extLst>
            <a:ext uri="{FF2B5EF4-FFF2-40B4-BE49-F238E27FC236}">
              <a16:creationId xmlns:a16="http://schemas.microsoft.com/office/drawing/2014/main" id="{9DBE78C2-5B4F-4D14-9F86-C58B8D28526A}"/>
            </a:ext>
          </a:extLst>
        </xdr:cNvPr>
        <xdr:cNvSpPr/>
      </xdr:nvSpPr>
      <xdr:spPr>
        <a:xfrm>
          <a:off x="835346" y="27973059"/>
          <a:ext cx="895724" cy="59760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baseline="0">
              <a:solidFill>
                <a:schemeClr val="tx1"/>
              </a:solidFill>
            </a:rPr>
            <a:t>256 KBytes</a:t>
          </a:r>
        </a:p>
      </xdr:txBody>
    </xdr:sp>
    <xdr:clientData/>
  </xdr:twoCellAnchor>
  <xdr:twoCellAnchor>
    <xdr:from>
      <xdr:col>6</xdr:col>
      <xdr:colOff>167680</xdr:colOff>
      <xdr:row>101</xdr:row>
      <xdr:rowOff>11205</xdr:rowOff>
    </xdr:from>
    <xdr:to>
      <xdr:col>7</xdr:col>
      <xdr:colOff>56460</xdr:colOff>
      <xdr:row>105</xdr:row>
      <xdr:rowOff>201705</xdr:rowOff>
    </xdr:to>
    <xdr:sp macro="" textlink="">
      <xdr:nvSpPr>
        <xdr:cNvPr id="40" name="右中かっこ 39">
          <a:extLst>
            <a:ext uri="{FF2B5EF4-FFF2-40B4-BE49-F238E27FC236}">
              <a16:creationId xmlns:a16="http://schemas.microsoft.com/office/drawing/2014/main" id="{FF2B4A1F-AC94-48D0-8CDE-CD61C392076A}"/>
            </a:ext>
          </a:extLst>
        </xdr:cNvPr>
        <xdr:cNvSpPr/>
      </xdr:nvSpPr>
      <xdr:spPr>
        <a:xfrm rot="10800000">
          <a:off x="1830225" y="29105750"/>
          <a:ext cx="165871" cy="1160319"/>
        </a:xfrm>
        <a:prstGeom prst="rightBrace">
          <a:avLst>
            <a:gd name="adj1" fmla="val 43627"/>
            <a:gd name="adj2" fmla="val 50000"/>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3</xdr:col>
      <xdr:colOff>10797</xdr:colOff>
      <xdr:row>102</xdr:row>
      <xdr:rowOff>63892</xdr:rowOff>
    </xdr:from>
    <xdr:to>
      <xdr:col>6</xdr:col>
      <xdr:colOff>75249</xdr:colOff>
      <xdr:row>104</xdr:row>
      <xdr:rowOff>176588</xdr:rowOff>
    </xdr:to>
    <xdr:sp macro="" textlink="">
      <xdr:nvSpPr>
        <xdr:cNvPr id="41" name="正方形/長方形 40">
          <a:extLst>
            <a:ext uri="{FF2B5EF4-FFF2-40B4-BE49-F238E27FC236}">
              <a16:creationId xmlns:a16="http://schemas.microsoft.com/office/drawing/2014/main" id="{12568E23-F3DA-4D53-A326-C0B3A78D5B95}"/>
            </a:ext>
          </a:extLst>
        </xdr:cNvPr>
        <xdr:cNvSpPr/>
      </xdr:nvSpPr>
      <xdr:spPr>
        <a:xfrm>
          <a:off x="842070" y="29400892"/>
          <a:ext cx="895724" cy="59760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baseline="0">
              <a:solidFill>
                <a:schemeClr val="tx1"/>
              </a:solidFill>
            </a:rPr>
            <a:t>256 KBytes</a:t>
          </a:r>
        </a:p>
      </xdr:txBody>
    </xdr:sp>
    <xdr:clientData/>
  </xdr:twoCellAnchor>
  <xdr:twoCellAnchor>
    <xdr:from>
      <xdr:col>6</xdr:col>
      <xdr:colOff>163197</xdr:colOff>
      <xdr:row>107</xdr:row>
      <xdr:rowOff>17928</xdr:rowOff>
    </xdr:from>
    <xdr:to>
      <xdr:col>7</xdr:col>
      <xdr:colOff>51977</xdr:colOff>
      <xdr:row>111</xdr:row>
      <xdr:rowOff>208428</xdr:rowOff>
    </xdr:to>
    <xdr:sp macro="" textlink="">
      <xdr:nvSpPr>
        <xdr:cNvPr id="42" name="右中かっこ 41">
          <a:extLst>
            <a:ext uri="{FF2B5EF4-FFF2-40B4-BE49-F238E27FC236}">
              <a16:creationId xmlns:a16="http://schemas.microsoft.com/office/drawing/2014/main" id="{D28006F1-FF78-427A-857B-F4387C716768}"/>
            </a:ext>
          </a:extLst>
        </xdr:cNvPr>
        <xdr:cNvSpPr/>
      </xdr:nvSpPr>
      <xdr:spPr>
        <a:xfrm rot="10800000">
          <a:off x="1825742" y="30567201"/>
          <a:ext cx="165871" cy="1160318"/>
        </a:xfrm>
        <a:prstGeom prst="rightBrace">
          <a:avLst>
            <a:gd name="adj1" fmla="val 43627"/>
            <a:gd name="adj2" fmla="val 50000"/>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3</xdr:col>
      <xdr:colOff>6314</xdr:colOff>
      <xdr:row>108</xdr:row>
      <xdr:rowOff>70615</xdr:rowOff>
    </xdr:from>
    <xdr:to>
      <xdr:col>6</xdr:col>
      <xdr:colOff>70766</xdr:colOff>
      <xdr:row>110</xdr:row>
      <xdr:rowOff>183311</xdr:rowOff>
    </xdr:to>
    <xdr:sp macro="" textlink="">
      <xdr:nvSpPr>
        <xdr:cNvPr id="43" name="正方形/長方形 42">
          <a:extLst>
            <a:ext uri="{FF2B5EF4-FFF2-40B4-BE49-F238E27FC236}">
              <a16:creationId xmlns:a16="http://schemas.microsoft.com/office/drawing/2014/main" id="{F00758BE-A149-45A9-B494-7FBB836151BE}"/>
            </a:ext>
          </a:extLst>
        </xdr:cNvPr>
        <xdr:cNvSpPr/>
      </xdr:nvSpPr>
      <xdr:spPr>
        <a:xfrm>
          <a:off x="837587" y="30862342"/>
          <a:ext cx="895724" cy="59760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baseline="0">
              <a:solidFill>
                <a:schemeClr val="tx1"/>
              </a:solidFill>
            </a:rPr>
            <a:t>256 KBytes</a:t>
          </a:r>
        </a:p>
      </xdr:txBody>
    </xdr:sp>
    <xdr:clientData/>
  </xdr:twoCellAnchor>
  <xdr:twoCellAnchor>
    <xdr:from>
      <xdr:col>6</xdr:col>
      <xdr:colOff>181126</xdr:colOff>
      <xdr:row>113</xdr:row>
      <xdr:rowOff>47063</xdr:rowOff>
    </xdr:from>
    <xdr:to>
      <xdr:col>7</xdr:col>
      <xdr:colOff>69906</xdr:colOff>
      <xdr:row>118</xdr:row>
      <xdr:rowOff>2239</xdr:rowOff>
    </xdr:to>
    <xdr:sp macro="" textlink="">
      <xdr:nvSpPr>
        <xdr:cNvPr id="44" name="右中かっこ 43">
          <a:extLst>
            <a:ext uri="{FF2B5EF4-FFF2-40B4-BE49-F238E27FC236}">
              <a16:creationId xmlns:a16="http://schemas.microsoft.com/office/drawing/2014/main" id="{6AEE260B-E38E-44B6-B048-528215DBF9EE}"/>
            </a:ext>
          </a:extLst>
        </xdr:cNvPr>
        <xdr:cNvSpPr/>
      </xdr:nvSpPr>
      <xdr:spPr>
        <a:xfrm rot="10800000">
          <a:off x="1843671" y="32051063"/>
          <a:ext cx="165871" cy="1167449"/>
        </a:xfrm>
        <a:prstGeom prst="rightBrace">
          <a:avLst>
            <a:gd name="adj1" fmla="val 43627"/>
            <a:gd name="adj2" fmla="val 50000"/>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3</xdr:col>
      <xdr:colOff>24243</xdr:colOff>
      <xdr:row>114</xdr:row>
      <xdr:rowOff>99750</xdr:rowOff>
    </xdr:from>
    <xdr:to>
      <xdr:col>6</xdr:col>
      <xdr:colOff>88695</xdr:colOff>
      <xdr:row>116</xdr:row>
      <xdr:rowOff>212446</xdr:rowOff>
    </xdr:to>
    <xdr:sp macro="" textlink="">
      <xdr:nvSpPr>
        <xdr:cNvPr id="45" name="正方形/長方形 44">
          <a:extLst>
            <a:ext uri="{FF2B5EF4-FFF2-40B4-BE49-F238E27FC236}">
              <a16:creationId xmlns:a16="http://schemas.microsoft.com/office/drawing/2014/main" id="{A6B80FFA-73C0-4948-9ADA-5EACA042F5A4}"/>
            </a:ext>
          </a:extLst>
        </xdr:cNvPr>
        <xdr:cNvSpPr/>
      </xdr:nvSpPr>
      <xdr:spPr>
        <a:xfrm>
          <a:off x="855516" y="32346205"/>
          <a:ext cx="895724" cy="59760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baseline="0">
              <a:solidFill>
                <a:schemeClr val="tx1"/>
              </a:solidFill>
            </a:rPr>
            <a:t>256 KBytes</a:t>
          </a:r>
        </a:p>
      </xdr:txBody>
    </xdr:sp>
    <xdr:clientData/>
  </xdr:twoCellAnchor>
  <xdr:twoCellAnchor>
    <xdr:from>
      <xdr:col>6</xdr:col>
      <xdr:colOff>176643</xdr:colOff>
      <xdr:row>118</xdr:row>
      <xdr:rowOff>221874</xdr:rowOff>
    </xdr:from>
    <xdr:to>
      <xdr:col>7</xdr:col>
      <xdr:colOff>65423</xdr:colOff>
      <xdr:row>123</xdr:row>
      <xdr:rowOff>177051</xdr:rowOff>
    </xdr:to>
    <xdr:sp macro="" textlink="">
      <xdr:nvSpPr>
        <xdr:cNvPr id="46" name="右中かっこ 45">
          <a:extLst>
            <a:ext uri="{FF2B5EF4-FFF2-40B4-BE49-F238E27FC236}">
              <a16:creationId xmlns:a16="http://schemas.microsoft.com/office/drawing/2014/main" id="{5EF46027-4B03-40DC-A2A0-06FD45B0D03E}"/>
            </a:ext>
          </a:extLst>
        </xdr:cNvPr>
        <xdr:cNvSpPr/>
      </xdr:nvSpPr>
      <xdr:spPr>
        <a:xfrm rot="10800000">
          <a:off x="1839188" y="33438147"/>
          <a:ext cx="165871" cy="1167449"/>
        </a:xfrm>
        <a:prstGeom prst="rightBrace">
          <a:avLst>
            <a:gd name="adj1" fmla="val 43627"/>
            <a:gd name="adj2" fmla="val 50000"/>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3</xdr:col>
      <xdr:colOff>19760</xdr:colOff>
      <xdr:row>120</xdr:row>
      <xdr:rowOff>39237</xdr:rowOff>
    </xdr:from>
    <xdr:to>
      <xdr:col>6</xdr:col>
      <xdr:colOff>84212</xdr:colOff>
      <xdr:row>122</xdr:row>
      <xdr:rowOff>151933</xdr:rowOff>
    </xdr:to>
    <xdr:sp macro="" textlink="">
      <xdr:nvSpPr>
        <xdr:cNvPr id="47" name="正方形/長方形 46">
          <a:extLst>
            <a:ext uri="{FF2B5EF4-FFF2-40B4-BE49-F238E27FC236}">
              <a16:creationId xmlns:a16="http://schemas.microsoft.com/office/drawing/2014/main" id="{409FD561-762B-4205-9C13-90181F898936}"/>
            </a:ext>
          </a:extLst>
        </xdr:cNvPr>
        <xdr:cNvSpPr/>
      </xdr:nvSpPr>
      <xdr:spPr>
        <a:xfrm>
          <a:off x="851033" y="33740419"/>
          <a:ext cx="895724" cy="59760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baseline="0">
              <a:solidFill>
                <a:schemeClr val="tx1"/>
              </a:solidFill>
            </a:rPr>
            <a:t>256 KBytes</a:t>
          </a:r>
        </a:p>
      </xdr:txBody>
    </xdr:sp>
    <xdr:clientData/>
  </xdr:twoCellAnchor>
  <xdr:twoCellAnchor>
    <xdr:from>
      <xdr:col>6</xdr:col>
      <xdr:colOff>183367</xdr:colOff>
      <xdr:row>125</xdr:row>
      <xdr:rowOff>15686</xdr:rowOff>
    </xdr:from>
    <xdr:to>
      <xdr:col>7</xdr:col>
      <xdr:colOff>72147</xdr:colOff>
      <xdr:row>129</xdr:row>
      <xdr:rowOff>206186</xdr:rowOff>
    </xdr:to>
    <xdr:sp macro="" textlink="">
      <xdr:nvSpPr>
        <xdr:cNvPr id="48" name="右中かっこ 47">
          <a:extLst>
            <a:ext uri="{FF2B5EF4-FFF2-40B4-BE49-F238E27FC236}">
              <a16:creationId xmlns:a16="http://schemas.microsoft.com/office/drawing/2014/main" id="{1A87498C-BBE5-40C1-92AC-1262BDF15B35}"/>
            </a:ext>
          </a:extLst>
        </xdr:cNvPr>
        <xdr:cNvSpPr/>
      </xdr:nvSpPr>
      <xdr:spPr>
        <a:xfrm rot="10800000">
          <a:off x="1845912" y="34929141"/>
          <a:ext cx="165871" cy="1160318"/>
        </a:xfrm>
        <a:prstGeom prst="rightBrace">
          <a:avLst>
            <a:gd name="adj1" fmla="val 43627"/>
            <a:gd name="adj2" fmla="val 50000"/>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3</xdr:col>
      <xdr:colOff>26484</xdr:colOff>
      <xdr:row>126</xdr:row>
      <xdr:rowOff>68372</xdr:rowOff>
    </xdr:from>
    <xdr:to>
      <xdr:col>6</xdr:col>
      <xdr:colOff>90936</xdr:colOff>
      <xdr:row>128</xdr:row>
      <xdr:rowOff>181068</xdr:rowOff>
    </xdr:to>
    <xdr:sp macro="" textlink="">
      <xdr:nvSpPr>
        <xdr:cNvPr id="49" name="正方形/長方形 48">
          <a:extLst>
            <a:ext uri="{FF2B5EF4-FFF2-40B4-BE49-F238E27FC236}">
              <a16:creationId xmlns:a16="http://schemas.microsoft.com/office/drawing/2014/main" id="{08FD3BCF-FF0E-4DA7-A1EB-411470447D91}"/>
            </a:ext>
          </a:extLst>
        </xdr:cNvPr>
        <xdr:cNvSpPr/>
      </xdr:nvSpPr>
      <xdr:spPr>
        <a:xfrm>
          <a:off x="857757" y="35224281"/>
          <a:ext cx="895724" cy="59760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baseline="0">
              <a:solidFill>
                <a:schemeClr val="tx1"/>
              </a:solidFill>
            </a:rPr>
            <a:t>256 KBytes</a:t>
          </a:r>
        </a:p>
      </xdr:txBody>
    </xdr:sp>
    <xdr:clientData/>
  </xdr:twoCellAnchor>
  <xdr:twoCellAnchor>
    <xdr:from>
      <xdr:col>6</xdr:col>
      <xdr:colOff>178884</xdr:colOff>
      <xdr:row>131</xdr:row>
      <xdr:rowOff>33616</xdr:rowOff>
    </xdr:from>
    <xdr:to>
      <xdr:col>7</xdr:col>
      <xdr:colOff>67664</xdr:colOff>
      <xdr:row>135</xdr:row>
      <xdr:rowOff>224115</xdr:rowOff>
    </xdr:to>
    <xdr:sp macro="" textlink="">
      <xdr:nvSpPr>
        <xdr:cNvPr id="50" name="右中かっこ 49">
          <a:extLst>
            <a:ext uri="{FF2B5EF4-FFF2-40B4-BE49-F238E27FC236}">
              <a16:creationId xmlns:a16="http://schemas.microsoft.com/office/drawing/2014/main" id="{5B386729-376A-4DA2-9157-D7E930A0B48E}"/>
            </a:ext>
          </a:extLst>
        </xdr:cNvPr>
        <xdr:cNvSpPr/>
      </xdr:nvSpPr>
      <xdr:spPr>
        <a:xfrm rot="10800000">
          <a:off x="1841429" y="36401798"/>
          <a:ext cx="165871" cy="1160317"/>
        </a:xfrm>
        <a:prstGeom prst="rightBrace">
          <a:avLst>
            <a:gd name="adj1" fmla="val 43627"/>
            <a:gd name="adj2" fmla="val 50000"/>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3</xdr:col>
      <xdr:colOff>22001</xdr:colOff>
      <xdr:row>132</xdr:row>
      <xdr:rowOff>86302</xdr:rowOff>
    </xdr:from>
    <xdr:to>
      <xdr:col>6</xdr:col>
      <xdr:colOff>86453</xdr:colOff>
      <xdr:row>134</xdr:row>
      <xdr:rowOff>198998</xdr:rowOff>
    </xdr:to>
    <xdr:sp macro="" textlink="">
      <xdr:nvSpPr>
        <xdr:cNvPr id="51" name="正方形/長方形 50">
          <a:extLst>
            <a:ext uri="{FF2B5EF4-FFF2-40B4-BE49-F238E27FC236}">
              <a16:creationId xmlns:a16="http://schemas.microsoft.com/office/drawing/2014/main" id="{30A009D8-9650-4D36-96D2-CC5E64B47CCE}"/>
            </a:ext>
          </a:extLst>
        </xdr:cNvPr>
        <xdr:cNvSpPr/>
      </xdr:nvSpPr>
      <xdr:spPr>
        <a:xfrm>
          <a:off x="853274" y="36696938"/>
          <a:ext cx="895724" cy="59760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baseline="0">
              <a:solidFill>
                <a:schemeClr val="tx1"/>
              </a:solidFill>
            </a:rPr>
            <a:t>256 KBytes</a:t>
          </a:r>
        </a:p>
      </xdr:txBody>
    </xdr:sp>
    <xdr:clientData/>
  </xdr:twoCellAnchor>
  <xdr:twoCellAnchor>
    <xdr:from>
      <xdr:col>6</xdr:col>
      <xdr:colOff>174402</xdr:colOff>
      <xdr:row>137</xdr:row>
      <xdr:rowOff>40338</xdr:rowOff>
    </xdr:from>
    <xdr:to>
      <xdr:col>7</xdr:col>
      <xdr:colOff>63182</xdr:colOff>
      <xdr:row>142</xdr:row>
      <xdr:rowOff>2238</xdr:rowOff>
    </xdr:to>
    <xdr:sp macro="" textlink="">
      <xdr:nvSpPr>
        <xdr:cNvPr id="52" name="右中かっこ 51">
          <a:extLst>
            <a:ext uri="{FF2B5EF4-FFF2-40B4-BE49-F238E27FC236}">
              <a16:creationId xmlns:a16="http://schemas.microsoft.com/office/drawing/2014/main" id="{031A7916-20E2-4879-9522-FF8EC116ED53}"/>
            </a:ext>
          </a:extLst>
        </xdr:cNvPr>
        <xdr:cNvSpPr/>
      </xdr:nvSpPr>
      <xdr:spPr>
        <a:xfrm rot="10800000">
          <a:off x="1836947" y="37863247"/>
          <a:ext cx="165871" cy="1174173"/>
        </a:xfrm>
        <a:prstGeom prst="rightBrace">
          <a:avLst>
            <a:gd name="adj1" fmla="val 43627"/>
            <a:gd name="adj2" fmla="val 50000"/>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3</xdr:col>
      <xdr:colOff>17519</xdr:colOff>
      <xdr:row>138</xdr:row>
      <xdr:rowOff>93025</xdr:rowOff>
    </xdr:from>
    <xdr:to>
      <xdr:col>6</xdr:col>
      <xdr:colOff>81971</xdr:colOff>
      <xdr:row>140</xdr:row>
      <xdr:rowOff>205721</xdr:rowOff>
    </xdr:to>
    <xdr:sp macro="" textlink="">
      <xdr:nvSpPr>
        <xdr:cNvPr id="53" name="正方形/長方形 52">
          <a:extLst>
            <a:ext uri="{FF2B5EF4-FFF2-40B4-BE49-F238E27FC236}">
              <a16:creationId xmlns:a16="http://schemas.microsoft.com/office/drawing/2014/main" id="{E9043391-0088-41B1-8DD3-ABED97BE105A}"/>
            </a:ext>
          </a:extLst>
        </xdr:cNvPr>
        <xdr:cNvSpPr/>
      </xdr:nvSpPr>
      <xdr:spPr>
        <a:xfrm>
          <a:off x="848792" y="38158389"/>
          <a:ext cx="895724" cy="59760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baseline="0">
              <a:solidFill>
                <a:schemeClr val="tx1"/>
              </a:solidFill>
            </a:rPr>
            <a:t>256 KBytes</a:t>
          </a:r>
        </a:p>
      </xdr:txBody>
    </xdr:sp>
    <xdr:clientData/>
  </xdr:twoCellAnchor>
  <xdr:twoCellAnchor>
    <xdr:from>
      <xdr:col>6</xdr:col>
      <xdr:colOff>181125</xdr:colOff>
      <xdr:row>143</xdr:row>
      <xdr:rowOff>13444</xdr:rowOff>
    </xdr:from>
    <xdr:to>
      <xdr:col>7</xdr:col>
      <xdr:colOff>69905</xdr:colOff>
      <xdr:row>147</xdr:row>
      <xdr:rowOff>203944</xdr:rowOff>
    </xdr:to>
    <xdr:sp macro="" textlink="">
      <xdr:nvSpPr>
        <xdr:cNvPr id="54" name="右中かっこ 53">
          <a:extLst>
            <a:ext uri="{FF2B5EF4-FFF2-40B4-BE49-F238E27FC236}">
              <a16:creationId xmlns:a16="http://schemas.microsoft.com/office/drawing/2014/main" id="{669D6082-B783-4CD3-93E5-157984F6342D}"/>
            </a:ext>
          </a:extLst>
        </xdr:cNvPr>
        <xdr:cNvSpPr/>
      </xdr:nvSpPr>
      <xdr:spPr>
        <a:xfrm rot="10800000">
          <a:off x="1843670" y="39291080"/>
          <a:ext cx="165871" cy="1160319"/>
        </a:xfrm>
        <a:prstGeom prst="rightBrace">
          <a:avLst>
            <a:gd name="adj1" fmla="val 43627"/>
            <a:gd name="adj2" fmla="val 50000"/>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3</xdr:col>
      <xdr:colOff>24242</xdr:colOff>
      <xdr:row>144</xdr:row>
      <xdr:rowOff>66131</xdr:rowOff>
    </xdr:from>
    <xdr:to>
      <xdr:col>6</xdr:col>
      <xdr:colOff>88694</xdr:colOff>
      <xdr:row>146</xdr:row>
      <xdr:rowOff>178827</xdr:rowOff>
    </xdr:to>
    <xdr:sp macro="" textlink="">
      <xdr:nvSpPr>
        <xdr:cNvPr id="55" name="正方形/長方形 54">
          <a:extLst>
            <a:ext uri="{FF2B5EF4-FFF2-40B4-BE49-F238E27FC236}">
              <a16:creationId xmlns:a16="http://schemas.microsoft.com/office/drawing/2014/main" id="{084A6F0A-4762-4766-B049-1E7DD88A41FB}"/>
            </a:ext>
          </a:extLst>
        </xdr:cNvPr>
        <xdr:cNvSpPr/>
      </xdr:nvSpPr>
      <xdr:spPr>
        <a:xfrm>
          <a:off x="855515" y="39586222"/>
          <a:ext cx="895724" cy="59760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baseline="0">
              <a:solidFill>
                <a:schemeClr val="tx1"/>
              </a:solidFill>
            </a:rPr>
            <a:t>256 KBytes</a:t>
          </a:r>
        </a:p>
      </xdr:txBody>
    </xdr:sp>
    <xdr:clientData/>
  </xdr:twoCellAnchor>
  <xdr:twoCellAnchor>
    <xdr:from>
      <xdr:col>6</xdr:col>
      <xdr:colOff>176642</xdr:colOff>
      <xdr:row>149</xdr:row>
      <xdr:rowOff>20168</xdr:rowOff>
    </xdr:from>
    <xdr:to>
      <xdr:col>7</xdr:col>
      <xdr:colOff>65422</xdr:colOff>
      <xdr:row>153</xdr:row>
      <xdr:rowOff>210668</xdr:rowOff>
    </xdr:to>
    <xdr:sp macro="" textlink="">
      <xdr:nvSpPr>
        <xdr:cNvPr id="56" name="右中かっこ 55">
          <a:extLst>
            <a:ext uri="{FF2B5EF4-FFF2-40B4-BE49-F238E27FC236}">
              <a16:creationId xmlns:a16="http://schemas.microsoft.com/office/drawing/2014/main" id="{831A7BCE-4D73-4077-A9DA-7527E4796FD2}"/>
            </a:ext>
          </a:extLst>
        </xdr:cNvPr>
        <xdr:cNvSpPr/>
      </xdr:nvSpPr>
      <xdr:spPr>
        <a:xfrm rot="10800000">
          <a:off x="1839187" y="40752532"/>
          <a:ext cx="165871" cy="1160318"/>
        </a:xfrm>
        <a:prstGeom prst="rightBrace">
          <a:avLst>
            <a:gd name="adj1" fmla="val 43627"/>
            <a:gd name="adj2" fmla="val 50000"/>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3</xdr:col>
      <xdr:colOff>19759</xdr:colOff>
      <xdr:row>150</xdr:row>
      <xdr:rowOff>72855</xdr:rowOff>
    </xdr:from>
    <xdr:to>
      <xdr:col>6</xdr:col>
      <xdr:colOff>84211</xdr:colOff>
      <xdr:row>152</xdr:row>
      <xdr:rowOff>185550</xdr:rowOff>
    </xdr:to>
    <xdr:sp macro="" textlink="">
      <xdr:nvSpPr>
        <xdr:cNvPr id="57" name="正方形/長方形 56">
          <a:extLst>
            <a:ext uri="{FF2B5EF4-FFF2-40B4-BE49-F238E27FC236}">
              <a16:creationId xmlns:a16="http://schemas.microsoft.com/office/drawing/2014/main" id="{A6F7E3B7-2F02-44CC-812B-E3236DB7202B}"/>
            </a:ext>
          </a:extLst>
        </xdr:cNvPr>
        <xdr:cNvSpPr/>
      </xdr:nvSpPr>
      <xdr:spPr>
        <a:xfrm>
          <a:off x="851032" y="41047673"/>
          <a:ext cx="895724" cy="59760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baseline="0">
              <a:solidFill>
                <a:schemeClr val="tx1"/>
              </a:solidFill>
            </a:rPr>
            <a:t>256 KBytes</a:t>
          </a:r>
        </a:p>
      </xdr:txBody>
    </xdr:sp>
    <xdr:clientData/>
  </xdr:twoCellAnchor>
  <xdr:twoCellAnchor>
    <xdr:from>
      <xdr:col>6</xdr:col>
      <xdr:colOff>183365</xdr:colOff>
      <xdr:row>155</xdr:row>
      <xdr:rowOff>15685</xdr:rowOff>
    </xdr:from>
    <xdr:to>
      <xdr:col>7</xdr:col>
      <xdr:colOff>72145</xdr:colOff>
      <xdr:row>159</xdr:row>
      <xdr:rowOff>206185</xdr:rowOff>
    </xdr:to>
    <xdr:sp macro="" textlink="">
      <xdr:nvSpPr>
        <xdr:cNvPr id="58" name="右中かっこ 57">
          <a:extLst>
            <a:ext uri="{FF2B5EF4-FFF2-40B4-BE49-F238E27FC236}">
              <a16:creationId xmlns:a16="http://schemas.microsoft.com/office/drawing/2014/main" id="{C81BA618-6721-4C16-864B-4568854492A4}"/>
            </a:ext>
          </a:extLst>
        </xdr:cNvPr>
        <xdr:cNvSpPr/>
      </xdr:nvSpPr>
      <xdr:spPr>
        <a:xfrm rot="10800000">
          <a:off x="1845910" y="42202776"/>
          <a:ext cx="165871" cy="1160318"/>
        </a:xfrm>
        <a:prstGeom prst="rightBrace">
          <a:avLst>
            <a:gd name="adj1" fmla="val 43627"/>
            <a:gd name="adj2" fmla="val 50000"/>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3</xdr:col>
      <xdr:colOff>26482</xdr:colOff>
      <xdr:row>156</xdr:row>
      <xdr:rowOff>68371</xdr:rowOff>
    </xdr:from>
    <xdr:to>
      <xdr:col>6</xdr:col>
      <xdr:colOff>90934</xdr:colOff>
      <xdr:row>158</xdr:row>
      <xdr:rowOff>181067</xdr:rowOff>
    </xdr:to>
    <xdr:sp macro="" textlink="">
      <xdr:nvSpPr>
        <xdr:cNvPr id="59" name="正方形/長方形 58">
          <a:extLst>
            <a:ext uri="{FF2B5EF4-FFF2-40B4-BE49-F238E27FC236}">
              <a16:creationId xmlns:a16="http://schemas.microsoft.com/office/drawing/2014/main" id="{739835A6-32F5-438A-AB37-A48858104476}"/>
            </a:ext>
          </a:extLst>
        </xdr:cNvPr>
        <xdr:cNvSpPr/>
      </xdr:nvSpPr>
      <xdr:spPr>
        <a:xfrm>
          <a:off x="857755" y="42497916"/>
          <a:ext cx="895724" cy="59760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baseline="0">
              <a:solidFill>
                <a:schemeClr val="tx1"/>
              </a:solidFill>
            </a:rPr>
            <a:t>256 KBytes</a:t>
          </a:r>
        </a:p>
      </xdr:txBody>
    </xdr:sp>
    <xdr:clientData/>
  </xdr:twoCellAnchor>
  <xdr:twoCellAnchor>
    <xdr:from>
      <xdr:col>6</xdr:col>
      <xdr:colOff>178882</xdr:colOff>
      <xdr:row>161</xdr:row>
      <xdr:rowOff>44820</xdr:rowOff>
    </xdr:from>
    <xdr:to>
      <xdr:col>7</xdr:col>
      <xdr:colOff>67662</xdr:colOff>
      <xdr:row>166</xdr:row>
      <xdr:rowOff>6720</xdr:rowOff>
    </xdr:to>
    <xdr:sp macro="" textlink="">
      <xdr:nvSpPr>
        <xdr:cNvPr id="60" name="右中かっこ 59">
          <a:extLst>
            <a:ext uri="{FF2B5EF4-FFF2-40B4-BE49-F238E27FC236}">
              <a16:creationId xmlns:a16="http://schemas.microsoft.com/office/drawing/2014/main" id="{1EFC00F1-CEB7-4CF5-92FD-B25C17A805F2}"/>
            </a:ext>
          </a:extLst>
        </xdr:cNvPr>
        <xdr:cNvSpPr/>
      </xdr:nvSpPr>
      <xdr:spPr>
        <a:xfrm rot="10800000">
          <a:off x="1841427" y="43686638"/>
          <a:ext cx="165871" cy="1174173"/>
        </a:xfrm>
        <a:prstGeom prst="rightBrace">
          <a:avLst>
            <a:gd name="adj1" fmla="val 43627"/>
            <a:gd name="adj2" fmla="val 50000"/>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3</xdr:col>
      <xdr:colOff>21999</xdr:colOff>
      <xdr:row>162</xdr:row>
      <xdr:rowOff>97506</xdr:rowOff>
    </xdr:from>
    <xdr:to>
      <xdr:col>6</xdr:col>
      <xdr:colOff>86451</xdr:colOff>
      <xdr:row>164</xdr:row>
      <xdr:rowOff>210202</xdr:rowOff>
    </xdr:to>
    <xdr:sp macro="" textlink="">
      <xdr:nvSpPr>
        <xdr:cNvPr id="61" name="正方形/長方形 60">
          <a:extLst>
            <a:ext uri="{FF2B5EF4-FFF2-40B4-BE49-F238E27FC236}">
              <a16:creationId xmlns:a16="http://schemas.microsoft.com/office/drawing/2014/main" id="{FA47F5A1-0FDB-4394-9FFB-3DC7B9F7B356}"/>
            </a:ext>
          </a:extLst>
        </xdr:cNvPr>
        <xdr:cNvSpPr/>
      </xdr:nvSpPr>
      <xdr:spPr>
        <a:xfrm>
          <a:off x="853272" y="43981779"/>
          <a:ext cx="895724" cy="59760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baseline="0">
              <a:solidFill>
                <a:schemeClr val="tx1"/>
              </a:solidFill>
            </a:rPr>
            <a:t>256 KBytes</a:t>
          </a:r>
        </a:p>
      </xdr:txBody>
    </xdr:sp>
    <xdr:clientData/>
  </xdr:twoCellAnchor>
  <xdr:twoCellAnchor>
    <xdr:from>
      <xdr:col>13</xdr:col>
      <xdr:colOff>20018</xdr:colOff>
      <xdr:row>69</xdr:row>
      <xdr:rowOff>186339</xdr:rowOff>
    </xdr:from>
    <xdr:to>
      <xdr:col>17</xdr:col>
      <xdr:colOff>0</xdr:colOff>
      <xdr:row>70</xdr:row>
      <xdr:rowOff>190500</xdr:rowOff>
    </xdr:to>
    <xdr:sp macro="" textlink="">
      <xdr:nvSpPr>
        <xdr:cNvPr id="62" name="右中かっこ 61">
          <a:extLst>
            <a:ext uri="{FF2B5EF4-FFF2-40B4-BE49-F238E27FC236}">
              <a16:creationId xmlns:a16="http://schemas.microsoft.com/office/drawing/2014/main" id="{9CD682C1-72CD-4E7B-80E4-338F46F8AE2B}"/>
            </a:ext>
          </a:extLst>
        </xdr:cNvPr>
        <xdr:cNvSpPr/>
      </xdr:nvSpPr>
      <xdr:spPr>
        <a:xfrm rot="16200000">
          <a:off x="3967607" y="21330321"/>
          <a:ext cx="249090" cy="1068554"/>
        </a:xfrm>
        <a:prstGeom prst="rightBrace">
          <a:avLst>
            <a:gd name="adj1" fmla="val 43627"/>
            <a:gd name="adj2" fmla="val 50000"/>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12</xdr:col>
      <xdr:colOff>122465</xdr:colOff>
      <xdr:row>68</xdr:row>
      <xdr:rowOff>54430</xdr:rowOff>
    </xdr:from>
    <xdr:to>
      <xdr:col>17</xdr:col>
      <xdr:colOff>143676</xdr:colOff>
      <xdr:row>69</xdr:row>
      <xdr:rowOff>112863</xdr:rowOff>
    </xdr:to>
    <xdr:sp macro="" textlink="">
      <xdr:nvSpPr>
        <xdr:cNvPr id="63" name="正方形/長方形 62">
          <a:extLst>
            <a:ext uri="{FF2B5EF4-FFF2-40B4-BE49-F238E27FC236}">
              <a16:creationId xmlns:a16="http://schemas.microsoft.com/office/drawing/2014/main" id="{CCE15612-1D7F-4AAE-8215-A49421263772}"/>
            </a:ext>
          </a:extLst>
        </xdr:cNvPr>
        <xdr:cNvSpPr/>
      </xdr:nvSpPr>
      <xdr:spPr>
        <a:xfrm>
          <a:off x="3388179" y="21363216"/>
          <a:ext cx="1381926" cy="30336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1</a:t>
          </a:r>
          <a:r>
            <a:rPr kumimoji="1" lang="ja-JP" altLang="en-US" sz="1100">
              <a:solidFill>
                <a:schemeClr val="tx1"/>
              </a:solidFill>
            </a:rPr>
            <a:t>ワード </a:t>
          </a:r>
          <a:r>
            <a:rPr kumimoji="1" lang="en-US" altLang="ja-JP" sz="1100">
              <a:solidFill>
                <a:schemeClr val="tx1"/>
              </a:solidFill>
            </a:rPr>
            <a:t>= 512</a:t>
          </a:r>
          <a:r>
            <a:rPr kumimoji="1" lang="ja-JP" altLang="en-US" sz="1100" baseline="0">
              <a:solidFill>
                <a:schemeClr val="tx1"/>
              </a:solidFill>
            </a:rPr>
            <a:t> </a:t>
          </a:r>
          <a:r>
            <a:rPr kumimoji="1" lang="en-US" altLang="ja-JP" sz="1100">
              <a:solidFill>
                <a:schemeClr val="tx1"/>
              </a:solidFill>
            </a:rPr>
            <a:t>bits</a:t>
          </a:r>
          <a:endParaRPr kumimoji="1" lang="ja-JP" altLang="en-US" sz="1100">
            <a:solidFill>
              <a:schemeClr val="tx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266700</xdr:colOff>
      <xdr:row>7</xdr:row>
      <xdr:rowOff>0</xdr:rowOff>
    </xdr:from>
    <xdr:to>
      <xdr:col>27</xdr:col>
      <xdr:colOff>9525</xdr:colOff>
      <xdr:row>7</xdr:row>
      <xdr:rowOff>0</xdr:rowOff>
    </xdr:to>
    <xdr:cxnSp macro="">
      <xdr:nvCxnSpPr>
        <xdr:cNvPr id="2" name="直線矢印コネクタ 1">
          <a:extLst>
            <a:ext uri="{FF2B5EF4-FFF2-40B4-BE49-F238E27FC236}">
              <a16:creationId xmlns:a16="http://schemas.microsoft.com/office/drawing/2014/main" id="{CDB94A66-1F09-42A2-8B3A-0EE320A1400E}"/>
            </a:ext>
          </a:extLst>
        </xdr:cNvPr>
        <xdr:cNvCxnSpPr/>
      </xdr:nvCxnSpPr>
      <xdr:spPr>
        <a:xfrm>
          <a:off x="1371600" y="1666875"/>
          <a:ext cx="60960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219075</xdr:colOff>
      <xdr:row>7</xdr:row>
      <xdr:rowOff>95250</xdr:rowOff>
    </xdr:from>
    <xdr:to>
      <xdr:col>27</xdr:col>
      <xdr:colOff>0</xdr:colOff>
      <xdr:row>8</xdr:row>
      <xdr:rowOff>228600</xdr:rowOff>
    </xdr:to>
    <xdr:sp macro="" textlink="">
      <xdr:nvSpPr>
        <xdr:cNvPr id="3" name="正方形/長方形 2">
          <a:extLst>
            <a:ext uri="{FF2B5EF4-FFF2-40B4-BE49-F238E27FC236}">
              <a16:creationId xmlns:a16="http://schemas.microsoft.com/office/drawing/2014/main" id="{B426675A-74B1-45D4-8A28-166B787A061E}"/>
            </a:ext>
          </a:extLst>
        </xdr:cNvPr>
        <xdr:cNvSpPr/>
      </xdr:nvSpPr>
      <xdr:spPr>
        <a:xfrm>
          <a:off x="6848475" y="1762125"/>
          <a:ext cx="609600" cy="371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ja-JP" altLang="en-US" sz="1100">
              <a:solidFill>
                <a:schemeClr val="tx1"/>
              </a:solidFill>
            </a:rPr>
            <a:t>時間</a:t>
          </a:r>
        </a:p>
      </xdr:txBody>
    </xdr:sp>
    <xdr:clientData/>
  </xdr:twoCellAnchor>
  <xdr:twoCellAnchor>
    <xdr:from>
      <xdr:col>6</xdr:col>
      <xdr:colOff>4763</xdr:colOff>
      <xdr:row>2</xdr:row>
      <xdr:rowOff>147636</xdr:rowOff>
    </xdr:from>
    <xdr:to>
      <xdr:col>25</xdr:col>
      <xdr:colOff>257177</xdr:colOff>
      <xdr:row>3</xdr:row>
      <xdr:rowOff>147636</xdr:rowOff>
    </xdr:to>
    <xdr:sp macro="" textlink="">
      <xdr:nvSpPr>
        <xdr:cNvPr id="4" name="右中かっこ 3">
          <a:extLst>
            <a:ext uri="{FF2B5EF4-FFF2-40B4-BE49-F238E27FC236}">
              <a16:creationId xmlns:a16="http://schemas.microsoft.com/office/drawing/2014/main" id="{E0250408-9A95-4158-B87C-4ED25A6E3E41}"/>
            </a:ext>
          </a:extLst>
        </xdr:cNvPr>
        <xdr:cNvSpPr/>
      </xdr:nvSpPr>
      <xdr:spPr>
        <a:xfrm rot="16200000">
          <a:off x="4293395" y="-2007396"/>
          <a:ext cx="238125" cy="5500689"/>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13</xdr:col>
      <xdr:colOff>133350</xdr:colOff>
      <xdr:row>1</xdr:row>
      <xdr:rowOff>28575</xdr:rowOff>
    </xdr:from>
    <xdr:to>
      <xdr:col>18</xdr:col>
      <xdr:colOff>142875</xdr:colOff>
      <xdr:row>2</xdr:row>
      <xdr:rowOff>161925</xdr:rowOff>
    </xdr:to>
    <xdr:sp macro="" textlink="">
      <xdr:nvSpPr>
        <xdr:cNvPr id="5" name="正方形/長方形 4">
          <a:extLst>
            <a:ext uri="{FF2B5EF4-FFF2-40B4-BE49-F238E27FC236}">
              <a16:creationId xmlns:a16="http://schemas.microsoft.com/office/drawing/2014/main" id="{3E6D2764-B530-44C4-A814-0C36B895AD66}"/>
            </a:ext>
          </a:extLst>
        </xdr:cNvPr>
        <xdr:cNvSpPr/>
      </xdr:nvSpPr>
      <xdr:spPr>
        <a:xfrm>
          <a:off x="3724275" y="266700"/>
          <a:ext cx="1390650" cy="371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chemeClr val="tx1"/>
              </a:solidFill>
            </a:rPr>
            <a:t>ユーザ定義波形</a:t>
          </a:r>
        </a:p>
      </xdr:txBody>
    </xdr:sp>
    <xdr:clientData/>
  </xdr:twoCellAnchor>
  <xdr:twoCellAnchor>
    <xdr:from>
      <xdr:col>4</xdr:col>
      <xdr:colOff>266700</xdr:colOff>
      <xdr:row>17</xdr:row>
      <xdr:rowOff>133350</xdr:rowOff>
    </xdr:from>
    <xdr:to>
      <xdr:col>35</xdr:col>
      <xdr:colOff>0</xdr:colOff>
      <xdr:row>17</xdr:row>
      <xdr:rowOff>133350</xdr:rowOff>
    </xdr:to>
    <xdr:cxnSp macro="">
      <xdr:nvCxnSpPr>
        <xdr:cNvPr id="6" name="直線矢印コネクタ 5">
          <a:extLst>
            <a:ext uri="{FF2B5EF4-FFF2-40B4-BE49-F238E27FC236}">
              <a16:creationId xmlns:a16="http://schemas.microsoft.com/office/drawing/2014/main" id="{F0585841-06DE-4369-9480-C40B7AC965E4}"/>
            </a:ext>
          </a:extLst>
        </xdr:cNvPr>
        <xdr:cNvCxnSpPr/>
      </xdr:nvCxnSpPr>
      <xdr:spPr>
        <a:xfrm>
          <a:off x="1371600" y="4181475"/>
          <a:ext cx="829627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219075</xdr:colOff>
      <xdr:row>17</xdr:row>
      <xdr:rowOff>228600</xdr:rowOff>
    </xdr:from>
    <xdr:to>
      <xdr:col>35</xdr:col>
      <xdr:colOff>0</xdr:colOff>
      <xdr:row>19</xdr:row>
      <xdr:rowOff>123825</xdr:rowOff>
    </xdr:to>
    <xdr:sp macro="" textlink="">
      <xdr:nvSpPr>
        <xdr:cNvPr id="7" name="正方形/長方形 6">
          <a:extLst>
            <a:ext uri="{FF2B5EF4-FFF2-40B4-BE49-F238E27FC236}">
              <a16:creationId xmlns:a16="http://schemas.microsoft.com/office/drawing/2014/main" id="{4F97B16F-AB16-4C51-AAC6-F7042D3D4367}"/>
            </a:ext>
          </a:extLst>
        </xdr:cNvPr>
        <xdr:cNvSpPr/>
      </xdr:nvSpPr>
      <xdr:spPr>
        <a:xfrm>
          <a:off x="9058275" y="4276725"/>
          <a:ext cx="609600" cy="371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ja-JP" altLang="en-US" sz="1100">
              <a:solidFill>
                <a:schemeClr val="tx1"/>
              </a:solidFill>
            </a:rPr>
            <a:t>時間</a:t>
          </a:r>
        </a:p>
      </xdr:txBody>
    </xdr:sp>
    <xdr:clientData/>
  </xdr:twoCellAnchor>
  <xdr:twoCellAnchor>
    <xdr:from>
      <xdr:col>6</xdr:col>
      <xdr:colOff>14288</xdr:colOff>
      <xdr:row>14</xdr:row>
      <xdr:rowOff>114299</xdr:rowOff>
    </xdr:from>
    <xdr:to>
      <xdr:col>17</xdr:col>
      <xdr:colOff>247650</xdr:colOff>
      <xdr:row>15</xdr:row>
      <xdr:rowOff>119060</xdr:rowOff>
    </xdr:to>
    <xdr:sp macro="" textlink="">
      <xdr:nvSpPr>
        <xdr:cNvPr id="8" name="右中かっこ 7">
          <a:extLst>
            <a:ext uri="{FF2B5EF4-FFF2-40B4-BE49-F238E27FC236}">
              <a16:creationId xmlns:a16="http://schemas.microsoft.com/office/drawing/2014/main" id="{D7618705-934B-4639-BBFE-A8E2275149BC}"/>
            </a:ext>
          </a:extLst>
        </xdr:cNvPr>
        <xdr:cNvSpPr/>
      </xdr:nvSpPr>
      <xdr:spPr>
        <a:xfrm rot="16200000" flipH="1">
          <a:off x="3186114" y="1933573"/>
          <a:ext cx="242886" cy="3271837"/>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7</xdr:col>
      <xdr:colOff>0</xdr:colOff>
      <xdr:row>15</xdr:row>
      <xdr:rowOff>133350</xdr:rowOff>
    </xdr:from>
    <xdr:to>
      <xdr:col>16</xdr:col>
      <xdr:colOff>257175</xdr:colOff>
      <xdr:row>17</xdr:row>
      <xdr:rowOff>28575</xdr:rowOff>
    </xdr:to>
    <xdr:sp macro="" textlink="">
      <xdr:nvSpPr>
        <xdr:cNvPr id="9" name="正方形/長方形 8">
          <a:extLst>
            <a:ext uri="{FF2B5EF4-FFF2-40B4-BE49-F238E27FC236}">
              <a16:creationId xmlns:a16="http://schemas.microsoft.com/office/drawing/2014/main" id="{6981B0D6-48F1-4D0E-8302-AFAA19E98B18}"/>
            </a:ext>
          </a:extLst>
        </xdr:cNvPr>
        <xdr:cNvSpPr/>
      </xdr:nvSpPr>
      <xdr:spPr>
        <a:xfrm>
          <a:off x="1933575" y="3705225"/>
          <a:ext cx="2743200" cy="371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chemeClr val="tx1"/>
              </a:solidFill>
            </a:rPr>
            <a:t>最小単位 </a:t>
          </a:r>
          <a:r>
            <a:rPr kumimoji="1" lang="en-US" altLang="ja-JP" sz="1100">
              <a:solidFill>
                <a:schemeClr val="tx1"/>
              </a:solidFill>
            </a:rPr>
            <a:t>8 </a:t>
          </a:r>
          <a:r>
            <a:rPr kumimoji="1" lang="ja-JP" altLang="en-US" sz="1100">
              <a:solidFill>
                <a:schemeClr val="tx1"/>
              </a:solidFill>
            </a:rPr>
            <a:t>サンプル </a:t>
          </a:r>
          <a:r>
            <a:rPr kumimoji="1" lang="en-US" altLang="ja-JP" sz="1100">
              <a:solidFill>
                <a:schemeClr val="tx1"/>
              </a:solidFill>
            </a:rPr>
            <a:t>(= 1 AWG </a:t>
          </a:r>
          <a:r>
            <a:rPr kumimoji="1" lang="ja-JP" altLang="en-US" sz="1100">
              <a:solidFill>
                <a:schemeClr val="tx1"/>
              </a:solidFill>
            </a:rPr>
            <a:t>ワード</a:t>
          </a:r>
          <a:r>
            <a:rPr kumimoji="1" lang="en-US" altLang="ja-JP" sz="1100">
              <a:solidFill>
                <a:schemeClr val="tx1"/>
              </a:solidFill>
            </a:rPr>
            <a:t>)</a:t>
          </a:r>
          <a:endParaRPr kumimoji="1" lang="ja-JP" altLang="en-US" sz="1100">
            <a:solidFill>
              <a:schemeClr val="tx1"/>
            </a:solidFill>
          </a:endParaRPr>
        </a:p>
      </xdr:txBody>
    </xdr:sp>
    <xdr:clientData/>
  </xdr:twoCellAnchor>
  <xdr:twoCellAnchor>
    <xdr:from>
      <xdr:col>20</xdr:col>
      <xdr:colOff>188256</xdr:colOff>
      <xdr:row>15</xdr:row>
      <xdr:rowOff>104775</xdr:rowOff>
    </xdr:from>
    <xdr:to>
      <xdr:col>25</xdr:col>
      <xdr:colOff>235322</xdr:colOff>
      <xdr:row>17</xdr:row>
      <xdr:rowOff>0</xdr:rowOff>
    </xdr:to>
    <xdr:sp macro="" textlink="">
      <xdr:nvSpPr>
        <xdr:cNvPr id="10" name="正方形/長方形 9">
          <a:extLst>
            <a:ext uri="{FF2B5EF4-FFF2-40B4-BE49-F238E27FC236}">
              <a16:creationId xmlns:a16="http://schemas.microsoft.com/office/drawing/2014/main" id="{92EE739D-11DF-43F2-A652-926C146C33B3}"/>
            </a:ext>
          </a:extLst>
        </xdr:cNvPr>
        <xdr:cNvSpPr/>
      </xdr:nvSpPr>
      <xdr:spPr>
        <a:xfrm>
          <a:off x="5712756" y="3676650"/>
          <a:ext cx="1428191" cy="371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(I </a:t>
          </a:r>
          <a:r>
            <a:rPr kumimoji="1" lang="ja-JP" altLang="en-US" sz="1100">
              <a:solidFill>
                <a:schemeClr val="tx1"/>
              </a:solidFill>
            </a:rPr>
            <a:t>値</a:t>
          </a:r>
          <a:r>
            <a:rPr kumimoji="1" lang="en-US" altLang="ja-JP" sz="1100">
              <a:solidFill>
                <a:schemeClr val="tx1"/>
              </a:solidFill>
            </a:rPr>
            <a:t>, Q </a:t>
          </a:r>
          <a:r>
            <a:rPr kumimoji="1" lang="ja-JP" altLang="en-US" sz="1100">
              <a:solidFill>
                <a:schemeClr val="tx1"/>
              </a:solidFill>
            </a:rPr>
            <a:t>値</a:t>
          </a:r>
          <a:r>
            <a:rPr kumimoji="1" lang="en-US" altLang="ja-JP" sz="1100">
              <a:solidFill>
                <a:schemeClr val="tx1"/>
              </a:solidFill>
            </a:rPr>
            <a:t>)</a:t>
          </a:r>
          <a:r>
            <a:rPr kumimoji="1" lang="ja-JP" altLang="en-US" sz="1100">
              <a:solidFill>
                <a:schemeClr val="tx1"/>
              </a:solidFill>
            </a:rPr>
            <a:t> </a:t>
          </a:r>
          <a:r>
            <a:rPr kumimoji="1" lang="en-US" altLang="ja-JP" sz="1100">
              <a:solidFill>
                <a:schemeClr val="tx1"/>
              </a:solidFill>
            </a:rPr>
            <a:t>= (0, 0)</a:t>
          </a:r>
          <a:endParaRPr kumimoji="1" lang="ja-JP" altLang="en-US" sz="1100">
            <a:solidFill>
              <a:schemeClr val="tx1"/>
            </a:solidFill>
          </a:endParaRPr>
        </a:p>
      </xdr:txBody>
    </xdr:sp>
    <xdr:clientData/>
  </xdr:twoCellAnchor>
  <xdr:twoCellAnchor>
    <xdr:from>
      <xdr:col>23</xdr:col>
      <xdr:colOff>66675</xdr:colOff>
      <xdr:row>13</xdr:row>
      <xdr:rowOff>180975</xdr:rowOff>
    </xdr:from>
    <xdr:to>
      <xdr:col>24</xdr:col>
      <xdr:colOff>152400</xdr:colOff>
      <xdr:row>15</xdr:row>
      <xdr:rowOff>104775</xdr:rowOff>
    </xdr:to>
    <xdr:cxnSp macro="">
      <xdr:nvCxnSpPr>
        <xdr:cNvPr id="11" name="直線コネクタ 10">
          <a:extLst>
            <a:ext uri="{FF2B5EF4-FFF2-40B4-BE49-F238E27FC236}">
              <a16:creationId xmlns:a16="http://schemas.microsoft.com/office/drawing/2014/main" id="{1D80EFF6-36F8-4033-91B0-F1CE4325E5CE}"/>
            </a:ext>
          </a:extLst>
        </xdr:cNvPr>
        <xdr:cNvCxnSpPr/>
      </xdr:nvCxnSpPr>
      <xdr:spPr>
        <a:xfrm flipH="1">
          <a:off x="6419850" y="3276600"/>
          <a:ext cx="361950" cy="4000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271463</xdr:colOff>
      <xdr:row>10</xdr:row>
      <xdr:rowOff>147635</xdr:rowOff>
    </xdr:from>
    <xdr:to>
      <xdr:col>33</xdr:col>
      <xdr:colOff>266700</xdr:colOff>
      <xdr:row>11</xdr:row>
      <xdr:rowOff>147635</xdr:rowOff>
    </xdr:to>
    <xdr:sp macro="" textlink="">
      <xdr:nvSpPr>
        <xdr:cNvPr id="12" name="右中かっこ 11">
          <a:extLst>
            <a:ext uri="{FF2B5EF4-FFF2-40B4-BE49-F238E27FC236}">
              <a16:creationId xmlns:a16="http://schemas.microsoft.com/office/drawing/2014/main" id="{CC709465-7CB9-4639-AD65-BFA692344D74}"/>
            </a:ext>
          </a:extLst>
        </xdr:cNvPr>
        <xdr:cNvSpPr/>
      </xdr:nvSpPr>
      <xdr:spPr>
        <a:xfrm rot="16200000">
          <a:off x="5398294" y="-1216821"/>
          <a:ext cx="238125" cy="7729537"/>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17</xdr:col>
      <xdr:colOff>152400</xdr:colOff>
      <xdr:row>9</xdr:row>
      <xdr:rowOff>66675</xdr:rowOff>
    </xdr:from>
    <xdr:to>
      <xdr:col>22</xdr:col>
      <xdr:colOff>161925</xdr:colOff>
      <xdr:row>10</xdr:row>
      <xdr:rowOff>200025</xdr:rowOff>
    </xdr:to>
    <xdr:sp macro="" textlink="">
      <xdr:nvSpPr>
        <xdr:cNvPr id="13" name="正方形/長方形 12">
          <a:extLst>
            <a:ext uri="{FF2B5EF4-FFF2-40B4-BE49-F238E27FC236}">
              <a16:creationId xmlns:a16="http://schemas.microsoft.com/office/drawing/2014/main" id="{D223053E-3724-4AAE-AF25-8F523867CE61}"/>
            </a:ext>
          </a:extLst>
        </xdr:cNvPr>
        <xdr:cNvSpPr/>
      </xdr:nvSpPr>
      <xdr:spPr>
        <a:xfrm>
          <a:off x="4848225" y="2209800"/>
          <a:ext cx="1390650" cy="371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wait</a:t>
          </a:r>
          <a:r>
            <a:rPr kumimoji="1" lang="en-US" altLang="ja-JP" sz="1100" baseline="0">
              <a:solidFill>
                <a:schemeClr val="tx1"/>
              </a:solidFill>
            </a:rPr>
            <a:t> word</a:t>
          </a:r>
          <a:endParaRPr kumimoji="1" lang="ja-JP" altLang="en-US" sz="1100">
            <a:solidFill>
              <a:schemeClr val="tx1"/>
            </a:solidFill>
          </a:endParaRPr>
        </a:p>
      </xdr:txBody>
    </xdr:sp>
    <xdr:clientData/>
  </xdr:twoCellAnchor>
  <xdr:twoCellAnchor>
    <xdr:from>
      <xdr:col>6</xdr:col>
      <xdr:colOff>4763</xdr:colOff>
      <xdr:row>20</xdr:row>
      <xdr:rowOff>166684</xdr:rowOff>
    </xdr:from>
    <xdr:to>
      <xdr:col>13</xdr:col>
      <xdr:colOff>266700</xdr:colOff>
      <xdr:row>21</xdr:row>
      <xdr:rowOff>166684</xdr:rowOff>
    </xdr:to>
    <xdr:sp macro="" textlink="">
      <xdr:nvSpPr>
        <xdr:cNvPr id="14" name="右中かっこ 13">
          <a:extLst>
            <a:ext uri="{FF2B5EF4-FFF2-40B4-BE49-F238E27FC236}">
              <a16:creationId xmlns:a16="http://schemas.microsoft.com/office/drawing/2014/main" id="{F8CFBADB-7B93-4B08-9403-232ED53EA090}"/>
            </a:ext>
          </a:extLst>
        </xdr:cNvPr>
        <xdr:cNvSpPr/>
      </xdr:nvSpPr>
      <xdr:spPr>
        <a:xfrm rot="16200000">
          <a:off x="2640806" y="3950491"/>
          <a:ext cx="238125" cy="2195512"/>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7</xdr:col>
      <xdr:colOff>123825</xdr:colOff>
      <xdr:row>19</xdr:row>
      <xdr:rowOff>38100</xdr:rowOff>
    </xdr:from>
    <xdr:to>
      <xdr:col>12</xdr:col>
      <xdr:colOff>133350</xdr:colOff>
      <xdr:row>20</xdr:row>
      <xdr:rowOff>171450</xdr:rowOff>
    </xdr:to>
    <xdr:sp macro="" textlink="">
      <xdr:nvSpPr>
        <xdr:cNvPr id="15" name="正方形/長方形 14">
          <a:extLst>
            <a:ext uri="{FF2B5EF4-FFF2-40B4-BE49-F238E27FC236}">
              <a16:creationId xmlns:a16="http://schemas.microsoft.com/office/drawing/2014/main" id="{B34AD76F-3C62-45E0-9A09-24FE615D4114}"/>
            </a:ext>
          </a:extLst>
        </xdr:cNvPr>
        <xdr:cNvSpPr/>
      </xdr:nvSpPr>
      <xdr:spPr>
        <a:xfrm>
          <a:off x="2057400" y="4562475"/>
          <a:ext cx="1390650" cy="371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chemeClr val="tx1"/>
              </a:solidFill>
            </a:rPr>
            <a:t>波形サイクル</a:t>
          </a:r>
        </a:p>
      </xdr:txBody>
    </xdr:sp>
    <xdr:clientData/>
  </xdr:twoCellAnchor>
  <xdr:twoCellAnchor>
    <xdr:from>
      <xdr:col>5</xdr:col>
      <xdr:colOff>9525</xdr:colOff>
      <xdr:row>25</xdr:row>
      <xdr:rowOff>0</xdr:rowOff>
    </xdr:from>
    <xdr:to>
      <xdr:col>14</xdr:col>
      <xdr:colOff>266700</xdr:colOff>
      <xdr:row>25</xdr:row>
      <xdr:rowOff>0</xdr:rowOff>
    </xdr:to>
    <xdr:cxnSp macro="">
      <xdr:nvCxnSpPr>
        <xdr:cNvPr id="16" name="直線矢印コネクタ 15">
          <a:extLst>
            <a:ext uri="{FF2B5EF4-FFF2-40B4-BE49-F238E27FC236}">
              <a16:creationId xmlns:a16="http://schemas.microsoft.com/office/drawing/2014/main" id="{BA8EDD34-451E-4257-BCEF-25DBB514FEB8}"/>
            </a:ext>
          </a:extLst>
        </xdr:cNvPr>
        <xdr:cNvCxnSpPr/>
      </xdr:nvCxnSpPr>
      <xdr:spPr>
        <a:xfrm>
          <a:off x="1390650" y="5953125"/>
          <a:ext cx="27432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209550</xdr:colOff>
      <xdr:row>25</xdr:row>
      <xdr:rowOff>95250</xdr:rowOff>
    </xdr:from>
    <xdr:to>
      <xdr:col>14</xdr:col>
      <xdr:colOff>266700</xdr:colOff>
      <xdr:row>26</xdr:row>
      <xdr:rowOff>228600</xdr:rowOff>
    </xdr:to>
    <xdr:sp macro="" textlink="">
      <xdr:nvSpPr>
        <xdr:cNvPr id="17" name="正方形/長方形 16">
          <a:extLst>
            <a:ext uri="{FF2B5EF4-FFF2-40B4-BE49-F238E27FC236}">
              <a16:creationId xmlns:a16="http://schemas.microsoft.com/office/drawing/2014/main" id="{F4A7698F-7FD2-4B73-A251-132C6D1777DB}"/>
            </a:ext>
          </a:extLst>
        </xdr:cNvPr>
        <xdr:cNvSpPr/>
      </xdr:nvSpPr>
      <xdr:spPr>
        <a:xfrm>
          <a:off x="3524250" y="6048375"/>
          <a:ext cx="609600" cy="371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ja-JP" altLang="en-US" sz="1100">
              <a:solidFill>
                <a:schemeClr val="tx1"/>
              </a:solidFill>
            </a:rPr>
            <a:t>時間</a:t>
          </a:r>
        </a:p>
      </xdr:txBody>
    </xdr:sp>
    <xdr:clientData/>
  </xdr:twoCellAnchor>
  <xdr:twoCellAnchor>
    <xdr:from>
      <xdr:col>4</xdr:col>
      <xdr:colOff>266700</xdr:colOff>
      <xdr:row>39</xdr:row>
      <xdr:rowOff>133350</xdr:rowOff>
    </xdr:from>
    <xdr:to>
      <xdr:col>35</xdr:col>
      <xdr:colOff>0</xdr:colOff>
      <xdr:row>39</xdr:row>
      <xdr:rowOff>133350</xdr:rowOff>
    </xdr:to>
    <xdr:cxnSp macro="">
      <xdr:nvCxnSpPr>
        <xdr:cNvPr id="18" name="直線矢印コネクタ 17">
          <a:extLst>
            <a:ext uri="{FF2B5EF4-FFF2-40B4-BE49-F238E27FC236}">
              <a16:creationId xmlns:a16="http://schemas.microsoft.com/office/drawing/2014/main" id="{23498B84-04FC-48AC-81E2-0E35E524827A}"/>
            </a:ext>
          </a:extLst>
        </xdr:cNvPr>
        <xdr:cNvCxnSpPr/>
      </xdr:nvCxnSpPr>
      <xdr:spPr>
        <a:xfrm>
          <a:off x="1371600" y="9439275"/>
          <a:ext cx="829627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219075</xdr:colOff>
      <xdr:row>39</xdr:row>
      <xdr:rowOff>228600</xdr:rowOff>
    </xdr:from>
    <xdr:to>
      <xdr:col>35</xdr:col>
      <xdr:colOff>0</xdr:colOff>
      <xdr:row>41</xdr:row>
      <xdr:rowOff>123825</xdr:rowOff>
    </xdr:to>
    <xdr:sp macro="" textlink="">
      <xdr:nvSpPr>
        <xdr:cNvPr id="19" name="正方形/長方形 18">
          <a:extLst>
            <a:ext uri="{FF2B5EF4-FFF2-40B4-BE49-F238E27FC236}">
              <a16:creationId xmlns:a16="http://schemas.microsoft.com/office/drawing/2014/main" id="{068C723F-B64D-42FB-9655-EFAD9124AD5C}"/>
            </a:ext>
          </a:extLst>
        </xdr:cNvPr>
        <xdr:cNvSpPr/>
      </xdr:nvSpPr>
      <xdr:spPr>
        <a:xfrm>
          <a:off x="9058275" y="9534525"/>
          <a:ext cx="609600" cy="371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ja-JP" altLang="en-US" sz="1100">
              <a:solidFill>
                <a:schemeClr val="tx1"/>
              </a:solidFill>
            </a:rPr>
            <a:t>時間</a:t>
          </a:r>
        </a:p>
      </xdr:txBody>
    </xdr:sp>
    <xdr:clientData/>
  </xdr:twoCellAnchor>
  <xdr:twoCellAnchor>
    <xdr:from>
      <xdr:col>6</xdr:col>
      <xdr:colOff>14288</xdr:colOff>
      <xdr:row>34</xdr:row>
      <xdr:rowOff>114299</xdr:rowOff>
    </xdr:from>
    <xdr:to>
      <xdr:col>17</xdr:col>
      <xdr:colOff>247650</xdr:colOff>
      <xdr:row>35</xdr:row>
      <xdr:rowOff>119060</xdr:rowOff>
    </xdr:to>
    <xdr:sp macro="" textlink="">
      <xdr:nvSpPr>
        <xdr:cNvPr id="20" name="右中かっこ 19">
          <a:extLst>
            <a:ext uri="{FF2B5EF4-FFF2-40B4-BE49-F238E27FC236}">
              <a16:creationId xmlns:a16="http://schemas.microsoft.com/office/drawing/2014/main" id="{0B90D79B-5D4D-4F03-AA24-A907828AC278}"/>
            </a:ext>
          </a:extLst>
        </xdr:cNvPr>
        <xdr:cNvSpPr/>
      </xdr:nvSpPr>
      <xdr:spPr>
        <a:xfrm rot="16200000" flipH="1">
          <a:off x="3186114" y="6715123"/>
          <a:ext cx="242886" cy="3271837"/>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7</xdr:col>
      <xdr:colOff>0</xdr:colOff>
      <xdr:row>35</xdr:row>
      <xdr:rowOff>133350</xdr:rowOff>
    </xdr:from>
    <xdr:to>
      <xdr:col>16</xdr:col>
      <xdr:colOff>257175</xdr:colOff>
      <xdr:row>39</xdr:row>
      <xdr:rowOff>28575</xdr:rowOff>
    </xdr:to>
    <xdr:sp macro="" textlink="">
      <xdr:nvSpPr>
        <xdr:cNvPr id="21" name="正方形/長方形 20">
          <a:extLst>
            <a:ext uri="{FF2B5EF4-FFF2-40B4-BE49-F238E27FC236}">
              <a16:creationId xmlns:a16="http://schemas.microsoft.com/office/drawing/2014/main" id="{58CB7DA5-4477-410A-AF59-8828B9B244D8}"/>
            </a:ext>
          </a:extLst>
        </xdr:cNvPr>
        <xdr:cNvSpPr/>
      </xdr:nvSpPr>
      <xdr:spPr>
        <a:xfrm>
          <a:off x="1933575" y="8486775"/>
          <a:ext cx="2743200" cy="8477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chemeClr val="tx1"/>
              </a:solidFill>
            </a:rPr>
            <a:t>最小単位 </a:t>
          </a:r>
          <a:r>
            <a:rPr kumimoji="1" lang="en-US" altLang="ja-JP" sz="1100">
              <a:solidFill>
                <a:schemeClr val="tx1"/>
              </a:solidFill>
            </a:rPr>
            <a:t>512 </a:t>
          </a:r>
          <a:r>
            <a:rPr kumimoji="1" lang="ja-JP" altLang="en-US" sz="1100">
              <a:solidFill>
                <a:schemeClr val="tx1"/>
              </a:solidFill>
            </a:rPr>
            <a:t>サンプル </a:t>
          </a:r>
          <a:r>
            <a:rPr kumimoji="1" lang="en-US" altLang="ja-JP" sz="1100">
              <a:solidFill>
                <a:schemeClr val="tx1"/>
              </a:solidFill>
            </a:rPr>
            <a:t>(= 64 AWG </a:t>
          </a:r>
          <a:r>
            <a:rPr kumimoji="1" lang="ja-JP" altLang="en-US" sz="1100">
              <a:solidFill>
                <a:schemeClr val="tx1"/>
              </a:solidFill>
            </a:rPr>
            <a:t>ワード</a:t>
          </a:r>
          <a:r>
            <a:rPr kumimoji="1" lang="en-US" altLang="ja-JP" sz="1100">
              <a:solidFill>
                <a:schemeClr val="tx1"/>
              </a:solidFill>
            </a:rPr>
            <a:t>)</a:t>
          </a:r>
          <a:endParaRPr kumimoji="1" lang="ja-JP" altLang="en-US" sz="1100">
            <a:solidFill>
              <a:schemeClr val="tx1"/>
            </a:solidFill>
          </a:endParaRPr>
        </a:p>
      </xdr:txBody>
    </xdr:sp>
    <xdr:clientData/>
  </xdr:twoCellAnchor>
  <xdr:twoCellAnchor>
    <xdr:from>
      <xdr:col>5</xdr:col>
      <xdr:colOff>271463</xdr:colOff>
      <xdr:row>30</xdr:row>
      <xdr:rowOff>147635</xdr:rowOff>
    </xdr:from>
    <xdr:to>
      <xdr:col>33</xdr:col>
      <xdr:colOff>266700</xdr:colOff>
      <xdr:row>31</xdr:row>
      <xdr:rowOff>147635</xdr:rowOff>
    </xdr:to>
    <xdr:sp macro="" textlink="">
      <xdr:nvSpPr>
        <xdr:cNvPr id="22" name="右中かっこ 21">
          <a:extLst>
            <a:ext uri="{FF2B5EF4-FFF2-40B4-BE49-F238E27FC236}">
              <a16:creationId xmlns:a16="http://schemas.microsoft.com/office/drawing/2014/main" id="{89ECCE40-1BAE-4C15-904E-1453ED692533}"/>
            </a:ext>
          </a:extLst>
        </xdr:cNvPr>
        <xdr:cNvSpPr/>
      </xdr:nvSpPr>
      <xdr:spPr>
        <a:xfrm rot="16200000">
          <a:off x="5398294" y="3545679"/>
          <a:ext cx="238125" cy="7729537"/>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17</xdr:col>
      <xdr:colOff>152400</xdr:colOff>
      <xdr:row>29</xdr:row>
      <xdr:rowOff>66675</xdr:rowOff>
    </xdr:from>
    <xdr:to>
      <xdr:col>22</xdr:col>
      <xdr:colOff>161925</xdr:colOff>
      <xdr:row>30</xdr:row>
      <xdr:rowOff>200025</xdr:rowOff>
    </xdr:to>
    <xdr:sp macro="" textlink="">
      <xdr:nvSpPr>
        <xdr:cNvPr id="23" name="正方形/長方形 22">
          <a:extLst>
            <a:ext uri="{FF2B5EF4-FFF2-40B4-BE49-F238E27FC236}">
              <a16:creationId xmlns:a16="http://schemas.microsoft.com/office/drawing/2014/main" id="{B6B61376-117E-434F-A05A-D7ADA2B62A90}"/>
            </a:ext>
          </a:extLst>
        </xdr:cNvPr>
        <xdr:cNvSpPr/>
      </xdr:nvSpPr>
      <xdr:spPr>
        <a:xfrm>
          <a:off x="4848225" y="6972300"/>
          <a:ext cx="1390650" cy="371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波形パート</a:t>
          </a:r>
        </a:p>
      </xdr:txBody>
    </xdr:sp>
    <xdr:clientData/>
  </xdr:twoCellAnchor>
  <xdr:twoCellAnchor>
    <xdr:from>
      <xdr:col>26</xdr:col>
      <xdr:colOff>6</xdr:colOff>
      <xdr:row>37</xdr:row>
      <xdr:rowOff>76201</xdr:rowOff>
    </xdr:from>
    <xdr:to>
      <xdr:col>29</xdr:col>
      <xdr:colOff>6</xdr:colOff>
      <xdr:row>38</xdr:row>
      <xdr:rowOff>14288</xdr:rowOff>
    </xdr:to>
    <xdr:sp macro="" textlink="">
      <xdr:nvSpPr>
        <xdr:cNvPr id="24" name="右中かっこ 23">
          <a:extLst>
            <a:ext uri="{FF2B5EF4-FFF2-40B4-BE49-F238E27FC236}">
              <a16:creationId xmlns:a16="http://schemas.microsoft.com/office/drawing/2014/main" id="{1EB2C01E-9AE1-4FE7-A84A-DF967E36410D}"/>
            </a:ext>
          </a:extLst>
        </xdr:cNvPr>
        <xdr:cNvSpPr/>
      </xdr:nvSpPr>
      <xdr:spPr>
        <a:xfrm rot="16200000" flipH="1">
          <a:off x="7508088" y="8579644"/>
          <a:ext cx="176212" cy="828675"/>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24</xdr:col>
      <xdr:colOff>228600</xdr:colOff>
      <xdr:row>37</xdr:row>
      <xdr:rowOff>219075</xdr:rowOff>
    </xdr:from>
    <xdr:to>
      <xdr:col>30</xdr:col>
      <xdr:colOff>133350</xdr:colOff>
      <xdr:row>40</xdr:row>
      <xdr:rowOff>114300</xdr:rowOff>
    </xdr:to>
    <xdr:sp macro="" textlink="">
      <xdr:nvSpPr>
        <xdr:cNvPr id="25" name="正方形/長方形 24">
          <a:extLst>
            <a:ext uri="{FF2B5EF4-FFF2-40B4-BE49-F238E27FC236}">
              <a16:creationId xmlns:a16="http://schemas.microsoft.com/office/drawing/2014/main" id="{7B275AA5-6414-4C29-BC1D-5C7D1FA577EF}"/>
            </a:ext>
          </a:extLst>
        </xdr:cNvPr>
        <xdr:cNvSpPr/>
      </xdr:nvSpPr>
      <xdr:spPr>
        <a:xfrm>
          <a:off x="6858000" y="9048750"/>
          <a:ext cx="1562100" cy="609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16-bit</a:t>
          </a:r>
          <a:r>
            <a:rPr kumimoji="1" lang="en-US" altLang="ja-JP" sz="1100" baseline="0">
              <a:solidFill>
                <a:schemeClr val="tx1"/>
              </a:solidFill>
            </a:rPr>
            <a:t> </a:t>
          </a:r>
          <a:r>
            <a:rPr kumimoji="1" lang="ja-JP" altLang="en-US" sz="1100" baseline="0">
              <a:solidFill>
                <a:schemeClr val="tx1"/>
              </a:solidFill>
            </a:rPr>
            <a:t>符号付整数</a:t>
          </a:r>
          <a:endParaRPr kumimoji="1" lang="ja-JP" altLang="en-US" sz="1100">
            <a:solidFill>
              <a:schemeClr val="tx1"/>
            </a:solidFill>
          </a:endParaRPr>
        </a:p>
      </xdr:txBody>
    </xdr:sp>
    <xdr:clientData/>
  </xdr:twoCellAnchor>
  <xdr:twoCellAnchor>
    <xdr:from>
      <xdr:col>17</xdr:col>
      <xdr:colOff>230379</xdr:colOff>
      <xdr:row>55</xdr:row>
      <xdr:rowOff>0</xdr:rowOff>
    </xdr:from>
    <xdr:to>
      <xdr:col>20</xdr:col>
      <xdr:colOff>17585</xdr:colOff>
      <xdr:row>55</xdr:row>
      <xdr:rowOff>66675</xdr:rowOff>
    </xdr:to>
    <xdr:sp macro="" textlink="">
      <xdr:nvSpPr>
        <xdr:cNvPr id="26" name="正方形/長方形 25">
          <a:extLst>
            <a:ext uri="{FF2B5EF4-FFF2-40B4-BE49-F238E27FC236}">
              <a16:creationId xmlns:a16="http://schemas.microsoft.com/office/drawing/2014/main" id="{99A89115-15F1-41AD-878C-FC315C95FCE4}"/>
            </a:ext>
          </a:extLst>
        </xdr:cNvPr>
        <xdr:cNvSpPr/>
      </xdr:nvSpPr>
      <xdr:spPr>
        <a:xfrm>
          <a:off x="4926204" y="13115925"/>
          <a:ext cx="615881" cy="666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ja-JP" altLang="en-US" sz="1100">
              <a:solidFill>
                <a:schemeClr val="tx1"/>
              </a:solidFill>
            </a:rPr>
            <a:t>時間</a:t>
          </a:r>
        </a:p>
      </xdr:txBody>
    </xdr:sp>
    <xdr:clientData/>
  </xdr:twoCellAnchor>
  <xdr:twoCellAnchor>
    <xdr:from>
      <xdr:col>8</xdr:col>
      <xdr:colOff>125721</xdr:colOff>
      <xdr:row>85</xdr:row>
      <xdr:rowOff>86933</xdr:rowOff>
    </xdr:from>
    <xdr:to>
      <xdr:col>13</xdr:col>
      <xdr:colOff>180975</xdr:colOff>
      <xdr:row>86</xdr:row>
      <xdr:rowOff>223083</xdr:rowOff>
    </xdr:to>
    <xdr:sp macro="" textlink="">
      <xdr:nvSpPr>
        <xdr:cNvPr id="27" name="正方形/長方形 26">
          <a:extLst>
            <a:ext uri="{FF2B5EF4-FFF2-40B4-BE49-F238E27FC236}">
              <a16:creationId xmlns:a16="http://schemas.microsoft.com/office/drawing/2014/main" id="{35381D74-EB4E-4626-855F-CA4343BA4948}"/>
            </a:ext>
          </a:extLst>
        </xdr:cNvPr>
        <xdr:cNvSpPr/>
      </xdr:nvSpPr>
      <xdr:spPr>
        <a:xfrm>
          <a:off x="2335521" y="20346608"/>
          <a:ext cx="1436379" cy="374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波形チャンク </a:t>
          </a:r>
          <a:r>
            <a:rPr kumimoji="1" lang="en-US" altLang="ja-JP" sz="1100">
              <a:solidFill>
                <a:schemeClr val="tx1"/>
              </a:solidFill>
            </a:rPr>
            <a:t>0</a:t>
          </a:r>
          <a:endParaRPr kumimoji="1" lang="ja-JP" altLang="en-US" sz="1100">
            <a:solidFill>
              <a:schemeClr val="tx1"/>
            </a:solidFill>
          </a:endParaRPr>
        </a:p>
      </xdr:txBody>
    </xdr:sp>
    <xdr:clientData/>
  </xdr:twoCellAnchor>
  <xdr:twoCellAnchor>
    <xdr:from>
      <xdr:col>14</xdr:col>
      <xdr:colOff>78096</xdr:colOff>
      <xdr:row>85</xdr:row>
      <xdr:rowOff>86933</xdr:rowOff>
    </xdr:from>
    <xdr:to>
      <xdr:col>19</xdr:col>
      <xdr:colOff>133350</xdr:colOff>
      <xdr:row>86</xdr:row>
      <xdr:rowOff>223083</xdr:rowOff>
    </xdr:to>
    <xdr:sp macro="" textlink="">
      <xdr:nvSpPr>
        <xdr:cNvPr id="28" name="正方形/長方形 27">
          <a:extLst>
            <a:ext uri="{FF2B5EF4-FFF2-40B4-BE49-F238E27FC236}">
              <a16:creationId xmlns:a16="http://schemas.microsoft.com/office/drawing/2014/main" id="{B7568E90-B25D-47F9-936E-925AF5EA3F28}"/>
            </a:ext>
          </a:extLst>
        </xdr:cNvPr>
        <xdr:cNvSpPr/>
      </xdr:nvSpPr>
      <xdr:spPr>
        <a:xfrm>
          <a:off x="3945246" y="20346608"/>
          <a:ext cx="1436379" cy="374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波形チャンク </a:t>
          </a:r>
          <a:r>
            <a:rPr kumimoji="1" lang="en-US" altLang="ja-JP" sz="1100">
              <a:solidFill>
                <a:schemeClr val="tx1"/>
              </a:solidFill>
            </a:rPr>
            <a:t>1</a:t>
          </a:r>
        </a:p>
      </xdr:txBody>
    </xdr:sp>
    <xdr:clientData/>
  </xdr:twoCellAnchor>
  <xdr:twoCellAnchor>
    <xdr:from>
      <xdr:col>5</xdr:col>
      <xdr:colOff>116197</xdr:colOff>
      <xdr:row>85</xdr:row>
      <xdr:rowOff>58358</xdr:rowOff>
    </xdr:from>
    <xdr:to>
      <xdr:col>8</xdr:col>
      <xdr:colOff>142876</xdr:colOff>
      <xdr:row>86</xdr:row>
      <xdr:rowOff>194508</xdr:rowOff>
    </xdr:to>
    <xdr:sp macro="" textlink="">
      <xdr:nvSpPr>
        <xdr:cNvPr id="29" name="正方形/長方形 28">
          <a:extLst>
            <a:ext uri="{FF2B5EF4-FFF2-40B4-BE49-F238E27FC236}">
              <a16:creationId xmlns:a16="http://schemas.microsoft.com/office/drawing/2014/main" id="{0222D458-0AEA-4DC3-B666-2E144D9A9707}"/>
            </a:ext>
          </a:extLst>
        </xdr:cNvPr>
        <xdr:cNvSpPr/>
      </xdr:nvSpPr>
      <xdr:spPr>
        <a:xfrm>
          <a:off x="1497322" y="20318033"/>
          <a:ext cx="855354" cy="374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wait</a:t>
          </a:r>
          <a:r>
            <a:rPr kumimoji="1" lang="en-US" altLang="ja-JP" sz="1100" baseline="0">
              <a:solidFill>
                <a:schemeClr val="tx1"/>
              </a:solidFill>
            </a:rPr>
            <a:t> word</a:t>
          </a:r>
          <a:endParaRPr kumimoji="1" lang="ja-JP" altLang="en-US" sz="1100">
            <a:solidFill>
              <a:schemeClr val="tx1"/>
            </a:solidFill>
          </a:endParaRPr>
        </a:p>
      </xdr:txBody>
    </xdr:sp>
    <xdr:clientData/>
  </xdr:twoCellAnchor>
  <xdr:twoCellAnchor>
    <xdr:from>
      <xdr:col>22</xdr:col>
      <xdr:colOff>106671</xdr:colOff>
      <xdr:row>85</xdr:row>
      <xdr:rowOff>77408</xdr:rowOff>
    </xdr:from>
    <xdr:to>
      <xdr:col>27</xdr:col>
      <xdr:colOff>161925</xdr:colOff>
      <xdr:row>86</xdr:row>
      <xdr:rowOff>213558</xdr:rowOff>
    </xdr:to>
    <xdr:sp macro="" textlink="">
      <xdr:nvSpPr>
        <xdr:cNvPr id="30" name="正方形/長方形 29">
          <a:extLst>
            <a:ext uri="{FF2B5EF4-FFF2-40B4-BE49-F238E27FC236}">
              <a16:creationId xmlns:a16="http://schemas.microsoft.com/office/drawing/2014/main" id="{A78E23DE-3FBF-4860-8281-271DE89AC9A3}"/>
            </a:ext>
          </a:extLst>
        </xdr:cNvPr>
        <xdr:cNvSpPr/>
      </xdr:nvSpPr>
      <xdr:spPr>
        <a:xfrm>
          <a:off x="6183621" y="20337083"/>
          <a:ext cx="1436379" cy="374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波形チャンク </a:t>
          </a:r>
          <a:r>
            <a:rPr kumimoji="1" lang="en-US" altLang="ja-JP" sz="1100">
              <a:solidFill>
                <a:schemeClr val="tx1"/>
              </a:solidFill>
            </a:rPr>
            <a:t>1</a:t>
          </a:r>
        </a:p>
      </xdr:txBody>
    </xdr:sp>
    <xdr:clientData/>
  </xdr:twoCellAnchor>
  <xdr:twoCellAnchor>
    <xdr:from>
      <xdr:col>28</xdr:col>
      <xdr:colOff>116196</xdr:colOff>
      <xdr:row>85</xdr:row>
      <xdr:rowOff>67883</xdr:rowOff>
    </xdr:from>
    <xdr:to>
      <xdr:col>33</xdr:col>
      <xdr:colOff>171450</xdr:colOff>
      <xdr:row>86</xdr:row>
      <xdr:rowOff>204033</xdr:rowOff>
    </xdr:to>
    <xdr:sp macro="" textlink="">
      <xdr:nvSpPr>
        <xdr:cNvPr id="31" name="正方形/長方形 30">
          <a:extLst>
            <a:ext uri="{FF2B5EF4-FFF2-40B4-BE49-F238E27FC236}">
              <a16:creationId xmlns:a16="http://schemas.microsoft.com/office/drawing/2014/main" id="{9DED9F92-CD28-49C9-AA88-80D0BDBB71A1}"/>
            </a:ext>
          </a:extLst>
        </xdr:cNvPr>
        <xdr:cNvSpPr/>
      </xdr:nvSpPr>
      <xdr:spPr>
        <a:xfrm>
          <a:off x="7850496" y="20327558"/>
          <a:ext cx="1436379" cy="374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波形チャンク </a:t>
          </a:r>
          <a:r>
            <a:rPr kumimoji="1" lang="en-US" altLang="ja-JP" sz="1100">
              <a:solidFill>
                <a:schemeClr val="tx1"/>
              </a:solidFill>
            </a:rPr>
            <a:t>0</a:t>
          </a:r>
          <a:endParaRPr kumimoji="1" lang="ja-JP" altLang="en-US" sz="1100">
            <a:solidFill>
              <a:schemeClr val="tx1"/>
            </a:solidFill>
          </a:endParaRPr>
        </a:p>
      </xdr:txBody>
    </xdr:sp>
    <xdr:clientData/>
  </xdr:twoCellAnchor>
  <xdr:twoCellAnchor>
    <xdr:from>
      <xdr:col>34</xdr:col>
      <xdr:colOff>97146</xdr:colOff>
      <xdr:row>85</xdr:row>
      <xdr:rowOff>58358</xdr:rowOff>
    </xdr:from>
    <xdr:to>
      <xdr:col>39</xdr:col>
      <xdr:colOff>152400</xdr:colOff>
      <xdr:row>86</xdr:row>
      <xdr:rowOff>194508</xdr:rowOff>
    </xdr:to>
    <xdr:sp macro="" textlink="">
      <xdr:nvSpPr>
        <xdr:cNvPr id="32" name="正方形/長方形 31">
          <a:extLst>
            <a:ext uri="{FF2B5EF4-FFF2-40B4-BE49-F238E27FC236}">
              <a16:creationId xmlns:a16="http://schemas.microsoft.com/office/drawing/2014/main" id="{FA1428D1-1C50-4D6F-B38B-5D7FA45AD6A8}"/>
            </a:ext>
          </a:extLst>
        </xdr:cNvPr>
        <xdr:cNvSpPr/>
      </xdr:nvSpPr>
      <xdr:spPr>
        <a:xfrm>
          <a:off x="9488796" y="20318033"/>
          <a:ext cx="1436379" cy="374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波形チャンク </a:t>
          </a:r>
          <a:r>
            <a:rPr kumimoji="1" lang="en-US" altLang="ja-JP" sz="1100">
              <a:solidFill>
                <a:schemeClr val="tx1"/>
              </a:solidFill>
            </a:rPr>
            <a:t>1</a:t>
          </a:r>
        </a:p>
      </xdr:txBody>
    </xdr:sp>
    <xdr:clientData/>
  </xdr:twoCellAnchor>
  <xdr:twoCellAnchor>
    <xdr:from>
      <xdr:col>42</xdr:col>
      <xdr:colOff>125721</xdr:colOff>
      <xdr:row>85</xdr:row>
      <xdr:rowOff>48833</xdr:rowOff>
    </xdr:from>
    <xdr:to>
      <xdr:col>47</xdr:col>
      <xdr:colOff>180975</xdr:colOff>
      <xdr:row>86</xdr:row>
      <xdr:rowOff>184983</xdr:rowOff>
    </xdr:to>
    <xdr:sp macro="" textlink="">
      <xdr:nvSpPr>
        <xdr:cNvPr id="33" name="正方形/長方形 32">
          <a:extLst>
            <a:ext uri="{FF2B5EF4-FFF2-40B4-BE49-F238E27FC236}">
              <a16:creationId xmlns:a16="http://schemas.microsoft.com/office/drawing/2014/main" id="{9647E551-CD6C-475F-88B4-A59BAF54C329}"/>
            </a:ext>
          </a:extLst>
        </xdr:cNvPr>
        <xdr:cNvSpPr/>
      </xdr:nvSpPr>
      <xdr:spPr>
        <a:xfrm>
          <a:off x="11727171" y="20308508"/>
          <a:ext cx="1436379" cy="374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波形チャンク </a:t>
          </a:r>
          <a:r>
            <a:rPr kumimoji="1" lang="en-US" altLang="ja-JP" sz="1100">
              <a:solidFill>
                <a:schemeClr val="tx1"/>
              </a:solidFill>
            </a:rPr>
            <a:t>1</a:t>
          </a:r>
        </a:p>
      </xdr:txBody>
    </xdr:sp>
    <xdr:clientData/>
  </xdr:twoCellAnchor>
  <xdr:twoCellAnchor>
    <xdr:from>
      <xdr:col>9</xdr:col>
      <xdr:colOff>41530</xdr:colOff>
      <xdr:row>86</xdr:row>
      <xdr:rowOff>191995</xdr:rowOff>
    </xdr:from>
    <xdr:to>
      <xdr:col>12</xdr:col>
      <xdr:colOff>238125</xdr:colOff>
      <xdr:row>87</xdr:row>
      <xdr:rowOff>191996</xdr:rowOff>
    </xdr:to>
    <xdr:sp macro="" textlink="">
      <xdr:nvSpPr>
        <xdr:cNvPr id="34" name="右中かっこ 33">
          <a:extLst>
            <a:ext uri="{FF2B5EF4-FFF2-40B4-BE49-F238E27FC236}">
              <a16:creationId xmlns:a16="http://schemas.microsoft.com/office/drawing/2014/main" id="{2A8D721A-7689-43FC-BC52-94F6A2F75A7C}"/>
            </a:ext>
          </a:extLst>
        </xdr:cNvPr>
        <xdr:cNvSpPr/>
      </xdr:nvSpPr>
      <xdr:spPr>
        <a:xfrm rot="16200000">
          <a:off x="2921127" y="20296223"/>
          <a:ext cx="238126" cy="1025270"/>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13</xdr:col>
      <xdr:colOff>60579</xdr:colOff>
      <xdr:row>86</xdr:row>
      <xdr:rowOff>182470</xdr:rowOff>
    </xdr:from>
    <xdr:to>
      <xdr:col>20</xdr:col>
      <xdr:colOff>228599</xdr:colOff>
      <xdr:row>87</xdr:row>
      <xdr:rowOff>182471</xdr:rowOff>
    </xdr:to>
    <xdr:sp macro="" textlink="">
      <xdr:nvSpPr>
        <xdr:cNvPr id="35" name="右中かっこ 34">
          <a:extLst>
            <a:ext uri="{FF2B5EF4-FFF2-40B4-BE49-F238E27FC236}">
              <a16:creationId xmlns:a16="http://schemas.microsoft.com/office/drawing/2014/main" id="{C4C0259B-2947-48D6-A0D6-A0DEB2C30F39}"/>
            </a:ext>
          </a:extLst>
        </xdr:cNvPr>
        <xdr:cNvSpPr/>
      </xdr:nvSpPr>
      <xdr:spPr>
        <a:xfrm rot="16200000">
          <a:off x="4583239" y="19748535"/>
          <a:ext cx="238126" cy="2101595"/>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21</xdr:col>
      <xdr:colOff>60580</xdr:colOff>
      <xdr:row>86</xdr:row>
      <xdr:rowOff>182472</xdr:rowOff>
    </xdr:from>
    <xdr:to>
      <xdr:col>28</xdr:col>
      <xdr:colOff>228600</xdr:colOff>
      <xdr:row>87</xdr:row>
      <xdr:rowOff>182473</xdr:rowOff>
    </xdr:to>
    <xdr:sp macro="" textlink="">
      <xdr:nvSpPr>
        <xdr:cNvPr id="36" name="右中かっこ 35">
          <a:extLst>
            <a:ext uri="{FF2B5EF4-FFF2-40B4-BE49-F238E27FC236}">
              <a16:creationId xmlns:a16="http://schemas.microsoft.com/office/drawing/2014/main" id="{2F797A2D-9E84-4C13-861D-02161D8A0C77}"/>
            </a:ext>
          </a:extLst>
        </xdr:cNvPr>
        <xdr:cNvSpPr/>
      </xdr:nvSpPr>
      <xdr:spPr>
        <a:xfrm rot="16200000">
          <a:off x="6793040" y="19748537"/>
          <a:ext cx="238126" cy="2101595"/>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29</xdr:col>
      <xdr:colOff>41531</xdr:colOff>
      <xdr:row>86</xdr:row>
      <xdr:rowOff>182469</xdr:rowOff>
    </xdr:from>
    <xdr:to>
      <xdr:col>32</xdr:col>
      <xdr:colOff>238126</xdr:colOff>
      <xdr:row>87</xdr:row>
      <xdr:rowOff>182470</xdr:rowOff>
    </xdr:to>
    <xdr:sp macro="" textlink="">
      <xdr:nvSpPr>
        <xdr:cNvPr id="37" name="右中かっこ 36">
          <a:extLst>
            <a:ext uri="{FF2B5EF4-FFF2-40B4-BE49-F238E27FC236}">
              <a16:creationId xmlns:a16="http://schemas.microsoft.com/office/drawing/2014/main" id="{848D74AD-C39C-4595-BCBF-900555A59029}"/>
            </a:ext>
          </a:extLst>
        </xdr:cNvPr>
        <xdr:cNvSpPr/>
      </xdr:nvSpPr>
      <xdr:spPr>
        <a:xfrm rot="16200000">
          <a:off x="8445628" y="20286697"/>
          <a:ext cx="238126" cy="1025270"/>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33</xdr:col>
      <xdr:colOff>60580</xdr:colOff>
      <xdr:row>86</xdr:row>
      <xdr:rowOff>172944</xdr:rowOff>
    </xdr:from>
    <xdr:to>
      <xdr:col>40</xdr:col>
      <xdr:colOff>228600</xdr:colOff>
      <xdr:row>87</xdr:row>
      <xdr:rowOff>172945</xdr:rowOff>
    </xdr:to>
    <xdr:sp macro="" textlink="">
      <xdr:nvSpPr>
        <xdr:cNvPr id="38" name="右中かっこ 37">
          <a:extLst>
            <a:ext uri="{FF2B5EF4-FFF2-40B4-BE49-F238E27FC236}">
              <a16:creationId xmlns:a16="http://schemas.microsoft.com/office/drawing/2014/main" id="{213F8C6E-788B-41DF-A7F7-66D83A4504D4}"/>
            </a:ext>
          </a:extLst>
        </xdr:cNvPr>
        <xdr:cNvSpPr/>
      </xdr:nvSpPr>
      <xdr:spPr>
        <a:xfrm rot="16200000">
          <a:off x="10107740" y="19739009"/>
          <a:ext cx="238126" cy="2101595"/>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41</xdr:col>
      <xdr:colOff>60581</xdr:colOff>
      <xdr:row>86</xdr:row>
      <xdr:rowOff>172946</xdr:rowOff>
    </xdr:from>
    <xdr:to>
      <xdr:col>48</xdr:col>
      <xdr:colOff>228601</xdr:colOff>
      <xdr:row>87</xdr:row>
      <xdr:rowOff>172947</xdr:rowOff>
    </xdr:to>
    <xdr:sp macro="" textlink="">
      <xdr:nvSpPr>
        <xdr:cNvPr id="39" name="右中かっこ 38">
          <a:extLst>
            <a:ext uri="{FF2B5EF4-FFF2-40B4-BE49-F238E27FC236}">
              <a16:creationId xmlns:a16="http://schemas.microsoft.com/office/drawing/2014/main" id="{2794856A-6E51-4B51-9F5D-72B2C439A713}"/>
            </a:ext>
          </a:extLst>
        </xdr:cNvPr>
        <xdr:cNvSpPr/>
      </xdr:nvSpPr>
      <xdr:spPr>
        <a:xfrm rot="16200000">
          <a:off x="12317541" y="19739011"/>
          <a:ext cx="238126" cy="2101595"/>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5</xdr:col>
      <xdr:colOff>51055</xdr:colOff>
      <xdr:row>86</xdr:row>
      <xdr:rowOff>191995</xdr:rowOff>
    </xdr:from>
    <xdr:to>
      <xdr:col>8</xdr:col>
      <xdr:colOff>247650</xdr:colOff>
      <xdr:row>87</xdr:row>
      <xdr:rowOff>191996</xdr:rowOff>
    </xdr:to>
    <xdr:sp macro="" textlink="">
      <xdr:nvSpPr>
        <xdr:cNvPr id="40" name="右中かっこ 39">
          <a:extLst>
            <a:ext uri="{FF2B5EF4-FFF2-40B4-BE49-F238E27FC236}">
              <a16:creationId xmlns:a16="http://schemas.microsoft.com/office/drawing/2014/main" id="{081040A2-00FA-4CE5-BDF0-588581D2B758}"/>
            </a:ext>
          </a:extLst>
        </xdr:cNvPr>
        <xdr:cNvSpPr/>
      </xdr:nvSpPr>
      <xdr:spPr>
        <a:xfrm rot="16200000">
          <a:off x="1825752" y="20296223"/>
          <a:ext cx="238126" cy="1025270"/>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9</xdr:col>
      <xdr:colOff>60581</xdr:colOff>
      <xdr:row>90</xdr:row>
      <xdr:rowOff>76202</xdr:rowOff>
    </xdr:from>
    <xdr:to>
      <xdr:col>28</xdr:col>
      <xdr:colOff>190500</xdr:colOff>
      <xdr:row>91</xdr:row>
      <xdr:rowOff>95253</xdr:rowOff>
    </xdr:to>
    <xdr:sp macro="" textlink="">
      <xdr:nvSpPr>
        <xdr:cNvPr id="41" name="右中かっこ 40">
          <a:extLst>
            <a:ext uri="{FF2B5EF4-FFF2-40B4-BE49-F238E27FC236}">
              <a16:creationId xmlns:a16="http://schemas.microsoft.com/office/drawing/2014/main" id="{4134FD0F-E179-4325-BEE4-ED09E6756924}"/>
            </a:ext>
          </a:extLst>
        </xdr:cNvPr>
        <xdr:cNvSpPr/>
      </xdr:nvSpPr>
      <xdr:spPr>
        <a:xfrm rot="16200000" flipH="1">
          <a:off x="5107115" y="18965993"/>
          <a:ext cx="257176" cy="5378194"/>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29</xdr:col>
      <xdr:colOff>51056</xdr:colOff>
      <xdr:row>90</xdr:row>
      <xdr:rowOff>76202</xdr:rowOff>
    </xdr:from>
    <xdr:to>
      <xdr:col>48</xdr:col>
      <xdr:colOff>180975</xdr:colOff>
      <xdr:row>91</xdr:row>
      <xdr:rowOff>95253</xdr:rowOff>
    </xdr:to>
    <xdr:sp macro="" textlink="">
      <xdr:nvSpPr>
        <xdr:cNvPr id="42" name="右中かっこ 41">
          <a:extLst>
            <a:ext uri="{FF2B5EF4-FFF2-40B4-BE49-F238E27FC236}">
              <a16:creationId xmlns:a16="http://schemas.microsoft.com/office/drawing/2014/main" id="{0F0EB1A9-793E-492C-B464-C57389636B93}"/>
            </a:ext>
          </a:extLst>
        </xdr:cNvPr>
        <xdr:cNvSpPr/>
      </xdr:nvSpPr>
      <xdr:spPr>
        <a:xfrm rot="16200000" flipH="1">
          <a:off x="10622090" y="18965993"/>
          <a:ext cx="257176" cy="5378194"/>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16</xdr:col>
      <xdr:colOff>106671</xdr:colOff>
      <xdr:row>91</xdr:row>
      <xdr:rowOff>163133</xdr:rowOff>
    </xdr:from>
    <xdr:to>
      <xdr:col>21</xdr:col>
      <xdr:colOff>161925</xdr:colOff>
      <xdr:row>93</xdr:row>
      <xdr:rowOff>61158</xdr:rowOff>
    </xdr:to>
    <xdr:sp macro="" textlink="">
      <xdr:nvSpPr>
        <xdr:cNvPr id="43" name="正方形/長方形 42">
          <a:extLst>
            <a:ext uri="{FF2B5EF4-FFF2-40B4-BE49-F238E27FC236}">
              <a16:creationId xmlns:a16="http://schemas.microsoft.com/office/drawing/2014/main" id="{A89119B0-467B-4972-969D-32FC4A87C134}"/>
            </a:ext>
          </a:extLst>
        </xdr:cNvPr>
        <xdr:cNvSpPr/>
      </xdr:nvSpPr>
      <xdr:spPr>
        <a:xfrm>
          <a:off x="4526271" y="21851558"/>
          <a:ext cx="1436379" cy="374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波形シーケンス</a:t>
          </a:r>
          <a:endParaRPr kumimoji="1" lang="en-US" altLang="ja-JP" sz="1100">
            <a:solidFill>
              <a:schemeClr val="tx1"/>
            </a:solidFill>
          </a:endParaRPr>
        </a:p>
      </xdr:txBody>
    </xdr:sp>
    <xdr:clientData/>
  </xdr:twoCellAnchor>
  <xdr:twoCellAnchor>
    <xdr:from>
      <xdr:col>36</xdr:col>
      <xdr:colOff>106671</xdr:colOff>
      <xdr:row>91</xdr:row>
      <xdr:rowOff>144083</xdr:rowOff>
    </xdr:from>
    <xdr:to>
      <xdr:col>41</xdr:col>
      <xdr:colOff>161925</xdr:colOff>
      <xdr:row>93</xdr:row>
      <xdr:rowOff>42108</xdr:rowOff>
    </xdr:to>
    <xdr:sp macro="" textlink="">
      <xdr:nvSpPr>
        <xdr:cNvPr id="44" name="正方形/長方形 43">
          <a:extLst>
            <a:ext uri="{FF2B5EF4-FFF2-40B4-BE49-F238E27FC236}">
              <a16:creationId xmlns:a16="http://schemas.microsoft.com/office/drawing/2014/main" id="{4D9A813C-E1C8-4658-8312-2075685DD80B}"/>
            </a:ext>
          </a:extLst>
        </xdr:cNvPr>
        <xdr:cNvSpPr/>
      </xdr:nvSpPr>
      <xdr:spPr>
        <a:xfrm>
          <a:off x="10050771" y="21832508"/>
          <a:ext cx="1436379" cy="374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波形シーケンス</a:t>
          </a:r>
          <a:endParaRPr kumimoji="1" lang="en-US" altLang="ja-JP" sz="1100">
            <a:solidFill>
              <a:schemeClr val="tx1"/>
            </a:solidFill>
          </a:endParaRPr>
        </a:p>
      </xdr:txBody>
    </xdr:sp>
    <xdr:clientData/>
  </xdr:twoCellAnchor>
  <xdr:twoCellAnchor>
    <xdr:from>
      <xdr:col>5</xdr:col>
      <xdr:colOff>32007</xdr:colOff>
      <xdr:row>83</xdr:row>
      <xdr:rowOff>152403</xdr:rowOff>
    </xdr:from>
    <xdr:to>
      <xdr:col>48</xdr:col>
      <xdr:colOff>247654</xdr:colOff>
      <xdr:row>84</xdr:row>
      <xdr:rowOff>190500</xdr:rowOff>
    </xdr:to>
    <xdr:sp macro="" textlink="">
      <xdr:nvSpPr>
        <xdr:cNvPr id="45" name="右中かっこ 44">
          <a:extLst>
            <a:ext uri="{FF2B5EF4-FFF2-40B4-BE49-F238E27FC236}">
              <a16:creationId xmlns:a16="http://schemas.microsoft.com/office/drawing/2014/main" id="{D5D6C65C-0934-4121-B36B-8633895A55BB}"/>
            </a:ext>
          </a:extLst>
        </xdr:cNvPr>
        <xdr:cNvSpPr/>
      </xdr:nvSpPr>
      <xdr:spPr>
        <a:xfrm rot="16200000">
          <a:off x="7321682" y="14027278"/>
          <a:ext cx="276222" cy="12093322"/>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24</xdr:col>
      <xdr:colOff>116196</xdr:colOff>
      <xdr:row>82</xdr:row>
      <xdr:rowOff>29783</xdr:rowOff>
    </xdr:from>
    <xdr:to>
      <xdr:col>29</xdr:col>
      <xdr:colOff>171450</xdr:colOff>
      <xdr:row>83</xdr:row>
      <xdr:rowOff>165933</xdr:rowOff>
    </xdr:to>
    <xdr:sp macro="" textlink="">
      <xdr:nvSpPr>
        <xdr:cNvPr id="46" name="正方形/長方形 45">
          <a:extLst>
            <a:ext uri="{FF2B5EF4-FFF2-40B4-BE49-F238E27FC236}">
              <a16:creationId xmlns:a16="http://schemas.microsoft.com/office/drawing/2014/main" id="{4AD25040-85E8-4161-B7EC-59167B103DE3}"/>
            </a:ext>
          </a:extLst>
        </xdr:cNvPr>
        <xdr:cNvSpPr/>
      </xdr:nvSpPr>
      <xdr:spPr>
        <a:xfrm>
          <a:off x="6745596" y="19575083"/>
          <a:ext cx="1436379" cy="374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ユーザ定義波形</a:t>
          </a:r>
          <a:endParaRPr kumimoji="1" lang="en-US" altLang="ja-JP" sz="1100">
            <a:solidFill>
              <a:schemeClr val="tx1"/>
            </a:solidFill>
          </a:endParaRPr>
        </a:p>
      </xdr:txBody>
    </xdr:sp>
    <xdr:clientData/>
  </xdr:twoCellAnchor>
  <xdr:twoCellAnchor>
    <xdr:from>
      <xdr:col>5</xdr:col>
      <xdr:colOff>0</xdr:colOff>
      <xdr:row>63</xdr:row>
      <xdr:rowOff>9525</xdr:rowOff>
    </xdr:from>
    <xdr:to>
      <xdr:col>31</xdr:col>
      <xdr:colOff>0</xdr:colOff>
      <xdr:row>63</xdr:row>
      <xdr:rowOff>9525</xdr:rowOff>
    </xdr:to>
    <xdr:cxnSp macro="">
      <xdr:nvCxnSpPr>
        <xdr:cNvPr id="47" name="直線矢印コネクタ 46">
          <a:extLst>
            <a:ext uri="{FF2B5EF4-FFF2-40B4-BE49-F238E27FC236}">
              <a16:creationId xmlns:a16="http://schemas.microsoft.com/office/drawing/2014/main" id="{14E513AB-DF60-4185-9045-4665B30780B4}"/>
            </a:ext>
          </a:extLst>
        </xdr:cNvPr>
        <xdr:cNvCxnSpPr/>
      </xdr:nvCxnSpPr>
      <xdr:spPr>
        <a:xfrm>
          <a:off x="1381125" y="15030450"/>
          <a:ext cx="718185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2199</xdr:colOff>
      <xdr:row>58</xdr:row>
      <xdr:rowOff>172853</xdr:rowOff>
    </xdr:from>
    <xdr:to>
      <xdr:col>11</xdr:col>
      <xdr:colOff>247653</xdr:colOff>
      <xdr:row>59</xdr:row>
      <xdr:rowOff>172854</xdr:rowOff>
    </xdr:to>
    <xdr:sp macro="" textlink="">
      <xdr:nvSpPr>
        <xdr:cNvPr id="48" name="右中かっこ 47">
          <a:extLst>
            <a:ext uri="{FF2B5EF4-FFF2-40B4-BE49-F238E27FC236}">
              <a16:creationId xmlns:a16="http://schemas.microsoft.com/office/drawing/2014/main" id="{36BBADCD-91BE-4AC9-9E4A-77E1872011EF}"/>
            </a:ext>
          </a:extLst>
        </xdr:cNvPr>
        <xdr:cNvSpPr/>
      </xdr:nvSpPr>
      <xdr:spPr>
        <a:xfrm rot="16200000">
          <a:off x="2353776" y="13308926"/>
          <a:ext cx="238126" cy="1626579"/>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7</xdr:col>
      <xdr:colOff>15818</xdr:colOff>
      <xdr:row>57</xdr:row>
      <xdr:rowOff>125013</xdr:rowOff>
    </xdr:from>
    <xdr:to>
      <xdr:col>10</xdr:col>
      <xdr:colOff>238125</xdr:colOff>
      <xdr:row>58</xdr:row>
      <xdr:rowOff>216212</xdr:rowOff>
    </xdr:to>
    <xdr:sp macro="" textlink="">
      <xdr:nvSpPr>
        <xdr:cNvPr id="49" name="正方形/長方形 48">
          <a:extLst>
            <a:ext uri="{FF2B5EF4-FFF2-40B4-BE49-F238E27FC236}">
              <a16:creationId xmlns:a16="http://schemas.microsoft.com/office/drawing/2014/main" id="{26EF5135-7DDD-4060-8C08-1C9DFCF3C0A4}"/>
            </a:ext>
          </a:extLst>
        </xdr:cNvPr>
        <xdr:cNvSpPr/>
      </xdr:nvSpPr>
      <xdr:spPr>
        <a:xfrm>
          <a:off x="1949393" y="13717188"/>
          <a:ext cx="1050982" cy="32932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325.521 [ns]</a:t>
          </a:r>
          <a:endParaRPr kumimoji="1" lang="ja-JP" altLang="en-US" sz="1100">
            <a:solidFill>
              <a:schemeClr val="tx1"/>
            </a:solidFill>
          </a:endParaRPr>
        </a:p>
      </xdr:txBody>
    </xdr:sp>
    <xdr:clientData/>
  </xdr:twoCellAnchor>
  <xdr:twoCellAnchor>
    <xdr:from>
      <xdr:col>12</xdr:col>
      <xdr:colOff>31271</xdr:colOff>
      <xdr:row>58</xdr:row>
      <xdr:rowOff>172853</xdr:rowOff>
    </xdr:from>
    <xdr:to>
      <xdr:col>19</xdr:col>
      <xdr:colOff>247649</xdr:colOff>
      <xdr:row>59</xdr:row>
      <xdr:rowOff>172854</xdr:rowOff>
    </xdr:to>
    <xdr:sp macro="" textlink="">
      <xdr:nvSpPr>
        <xdr:cNvPr id="50" name="右中かっこ 49">
          <a:extLst>
            <a:ext uri="{FF2B5EF4-FFF2-40B4-BE49-F238E27FC236}">
              <a16:creationId xmlns:a16="http://schemas.microsoft.com/office/drawing/2014/main" id="{1DCDBFA0-707E-429C-B8DE-D612BE63CCB8}"/>
            </a:ext>
          </a:extLst>
        </xdr:cNvPr>
        <xdr:cNvSpPr/>
      </xdr:nvSpPr>
      <xdr:spPr>
        <a:xfrm rot="16200000">
          <a:off x="4301885" y="13047239"/>
          <a:ext cx="238126" cy="2149953"/>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14</xdr:col>
      <xdr:colOff>77363</xdr:colOff>
      <xdr:row>57</xdr:row>
      <xdr:rowOff>125013</xdr:rowOff>
    </xdr:from>
    <xdr:to>
      <xdr:col>18</xdr:col>
      <xdr:colOff>104775</xdr:colOff>
      <xdr:row>58</xdr:row>
      <xdr:rowOff>208884</xdr:rowOff>
    </xdr:to>
    <xdr:sp macro="" textlink="">
      <xdr:nvSpPr>
        <xdr:cNvPr id="51" name="正方形/長方形 50">
          <a:extLst>
            <a:ext uri="{FF2B5EF4-FFF2-40B4-BE49-F238E27FC236}">
              <a16:creationId xmlns:a16="http://schemas.microsoft.com/office/drawing/2014/main" id="{55BAD706-2338-4E2A-A9B0-C60E8BA1FDCD}"/>
            </a:ext>
          </a:extLst>
        </xdr:cNvPr>
        <xdr:cNvSpPr/>
      </xdr:nvSpPr>
      <xdr:spPr>
        <a:xfrm>
          <a:off x="3944513" y="13717188"/>
          <a:ext cx="1132312" cy="32199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483.782 [ns]</a:t>
          </a:r>
          <a:endParaRPr kumimoji="1" lang="ja-JP" altLang="en-US" sz="1100">
            <a:solidFill>
              <a:schemeClr val="tx1"/>
            </a:solidFill>
          </a:endParaRPr>
        </a:p>
      </xdr:txBody>
    </xdr:sp>
    <xdr:clientData/>
  </xdr:twoCellAnchor>
  <xdr:twoCellAnchor>
    <xdr:from>
      <xdr:col>20</xdr:col>
      <xdr:colOff>19053</xdr:colOff>
      <xdr:row>58</xdr:row>
      <xdr:rowOff>173586</xdr:rowOff>
    </xdr:from>
    <xdr:to>
      <xdr:col>29</xdr:col>
      <xdr:colOff>257175</xdr:colOff>
      <xdr:row>59</xdr:row>
      <xdr:rowOff>173587</xdr:rowOff>
    </xdr:to>
    <xdr:sp macro="" textlink="">
      <xdr:nvSpPr>
        <xdr:cNvPr id="52" name="右中かっこ 51">
          <a:extLst>
            <a:ext uri="{FF2B5EF4-FFF2-40B4-BE49-F238E27FC236}">
              <a16:creationId xmlns:a16="http://schemas.microsoft.com/office/drawing/2014/main" id="{2896D42A-8046-442E-BC68-0B24965684E5}"/>
            </a:ext>
          </a:extLst>
        </xdr:cNvPr>
        <xdr:cNvSpPr/>
      </xdr:nvSpPr>
      <xdr:spPr>
        <a:xfrm rot="16200000">
          <a:off x="6786564" y="12760875"/>
          <a:ext cx="238126" cy="2724147"/>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22</xdr:col>
      <xdr:colOff>257175</xdr:colOff>
      <xdr:row>57</xdr:row>
      <xdr:rowOff>125013</xdr:rowOff>
    </xdr:from>
    <xdr:to>
      <xdr:col>27</xdr:col>
      <xdr:colOff>9525</xdr:colOff>
      <xdr:row>58</xdr:row>
      <xdr:rowOff>214746</xdr:rowOff>
    </xdr:to>
    <xdr:sp macro="" textlink="">
      <xdr:nvSpPr>
        <xdr:cNvPr id="53" name="正方形/長方形 52">
          <a:extLst>
            <a:ext uri="{FF2B5EF4-FFF2-40B4-BE49-F238E27FC236}">
              <a16:creationId xmlns:a16="http://schemas.microsoft.com/office/drawing/2014/main" id="{729FB25C-8B76-40E0-B576-CE9B0B638E37}"/>
            </a:ext>
          </a:extLst>
        </xdr:cNvPr>
        <xdr:cNvSpPr/>
      </xdr:nvSpPr>
      <xdr:spPr>
        <a:xfrm>
          <a:off x="6334125" y="13717188"/>
          <a:ext cx="1133475" cy="32785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645.042 [ns]</a:t>
          </a:r>
          <a:endParaRPr kumimoji="1" lang="ja-JP" altLang="en-US" sz="1100">
            <a:solidFill>
              <a:schemeClr val="tx1"/>
            </a:solidFill>
          </a:endParaRPr>
        </a:p>
      </xdr:txBody>
    </xdr:sp>
    <xdr:clientData/>
  </xdr:twoCellAnchor>
  <xdr:twoCellAnchor>
    <xdr:from>
      <xdr:col>28</xdr:col>
      <xdr:colOff>192279</xdr:colOff>
      <xdr:row>63</xdr:row>
      <xdr:rowOff>43857</xdr:rowOff>
    </xdr:from>
    <xdr:to>
      <xdr:col>30</xdr:col>
      <xdr:colOff>255710</xdr:colOff>
      <xdr:row>64</xdr:row>
      <xdr:rowOff>114300</xdr:rowOff>
    </xdr:to>
    <xdr:sp macro="" textlink="">
      <xdr:nvSpPr>
        <xdr:cNvPr id="54" name="正方形/長方形 53">
          <a:extLst>
            <a:ext uri="{FF2B5EF4-FFF2-40B4-BE49-F238E27FC236}">
              <a16:creationId xmlns:a16="http://schemas.microsoft.com/office/drawing/2014/main" id="{3397C48B-37B2-4A63-8C0A-90CFEC9D2362}"/>
            </a:ext>
          </a:extLst>
        </xdr:cNvPr>
        <xdr:cNvSpPr/>
      </xdr:nvSpPr>
      <xdr:spPr>
        <a:xfrm>
          <a:off x="7926579" y="15064782"/>
          <a:ext cx="615881" cy="30856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ja-JP" altLang="en-US" sz="1100">
              <a:solidFill>
                <a:schemeClr val="tx1"/>
              </a:solidFill>
            </a:rPr>
            <a:t>時間</a:t>
          </a:r>
        </a:p>
      </xdr:txBody>
    </xdr:sp>
    <xdr:clientData/>
  </xdr:twoCellAnchor>
  <xdr:twoCellAnchor>
    <xdr:from>
      <xdr:col>5</xdr:col>
      <xdr:colOff>0</xdr:colOff>
      <xdr:row>71</xdr:row>
      <xdr:rowOff>9525</xdr:rowOff>
    </xdr:from>
    <xdr:to>
      <xdr:col>13</xdr:col>
      <xdr:colOff>53578</xdr:colOff>
      <xdr:row>71</xdr:row>
      <xdr:rowOff>9525</xdr:rowOff>
    </xdr:to>
    <xdr:cxnSp macro="">
      <xdr:nvCxnSpPr>
        <xdr:cNvPr id="55" name="直線矢印コネクタ 54">
          <a:extLst>
            <a:ext uri="{FF2B5EF4-FFF2-40B4-BE49-F238E27FC236}">
              <a16:creationId xmlns:a16="http://schemas.microsoft.com/office/drawing/2014/main" id="{6707C8F3-5A16-4236-A1C3-E2124F146BB8}"/>
            </a:ext>
          </a:extLst>
        </xdr:cNvPr>
        <xdr:cNvCxnSpPr/>
      </xdr:nvCxnSpPr>
      <xdr:spPr>
        <a:xfrm>
          <a:off x="1381125" y="16935450"/>
          <a:ext cx="2263378"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4579</xdr:colOff>
      <xdr:row>66</xdr:row>
      <xdr:rowOff>172853</xdr:rowOff>
    </xdr:from>
    <xdr:to>
      <xdr:col>8</xdr:col>
      <xdr:colOff>263769</xdr:colOff>
      <xdr:row>67</xdr:row>
      <xdr:rowOff>172854</xdr:rowOff>
    </xdr:to>
    <xdr:sp macro="" textlink="">
      <xdr:nvSpPr>
        <xdr:cNvPr id="56" name="右中かっこ 55">
          <a:extLst>
            <a:ext uri="{FF2B5EF4-FFF2-40B4-BE49-F238E27FC236}">
              <a16:creationId xmlns:a16="http://schemas.microsoft.com/office/drawing/2014/main" id="{86366A6A-7BB9-446A-90EC-1A516483EE78}"/>
            </a:ext>
          </a:extLst>
        </xdr:cNvPr>
        <xdr:cNvSpPr/>
      </xdr:nvSpPr>
      <xdr:spPr>
        <a:xfrm rot="16200000">
          <a:off x="1948686" y="15621396"/>
          <a:ext cx="238126" cy="811640"/>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6</xdr:col>
      <xdr:colOff>55572</xdr:colOff>
      <xdr:row>65</xdr:row>
      <xdr:rowOff>119060</xdr:rowOff>
    </xdr:from>
    <xdr:to>
      <xdr:col>8</xdr:col>
      <xdr:colOff>231910</xdr:colOff>
      <xdr:row>66</xdr:row>
      <xdr:rowOff>210259</xdr:rowOff>
    </xdr:to>
    <xdr:sp macro="" textlink="">
      <xdr:nvSpPr>
        <xdr:cNvPr id="57" name="正方形/長方形 56">
          <a:extLst>
            <a:ext uri="{FF2B5EF4-FFF2-40B4-BE49-F238E27FC236}">
              <a16:creationId xmlns:a16="http://schemas.microsoft.com/office/drawing/2014/main" id="{7A04279F-3660-4C20-B6ED-E78CDCCD7780}"/>
            </a:ext>
          </a:extLst>
        </xdr:cNvPr>
        <xdr:cNvSpPr/>
      </xdr:nvSpPr>
      <xdr:spPr>
        <a:xfrm>
          <a:off x="1712922" y="15616235"/>
          <a:ext cx="728788" cy="32932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4 [s]</a:t>
          </a:r>
          <a:endParaRPr kumimoji="1" lang="ja-JP" altLang="en-US" sz="1100">
            <a:solidFill>
              <a:schemeClr val="tx1"/>
            </a:solidFill>
          </a:endParaRPr>
        </a:p>
      </xdr:txBody>
    </xdr:sp>
    <xdr:clientData/>
  </xdr:twoCellAnchor>
  <xdr:twoCellAnchor>
    <xdr:from>
      <xdr:col>9</xdr:col>
      <xdr:colOff>21749</xdr:colOff>
      <xdr:row>66</xdr:row>
      <xdr:rowOff>172852</xdr:rowOff>
    </xdr:from>
    <xdr:to>
      <xdr:col>11</xdr:col>
      <xdr:colOff>261941</xdr:colOff>
      <xdr:row>67</xdr:row>
      <xdr:rowOff>172853</xdr:rowOff>
    </xdr:to>
    <xdr:sp macro="" textlink="">
      <xdr:nvSpPr>
        <xdr:cNvPr id="58" name="右中かっこ 57">
          <a:extLst>
            <a:ext uri="{FF2B5EF4-FFF2-40B4-BE49-F238E27FC236}">
              <a16:creationId xmlns:a16="http://schemas.microsoft.com/office/drawing/2014/main" id="{2DDE6E4E-004C-4456-8C9A-903BABF4A5BA}"/>
            </a:ext>
          </a:extLst>
        </xdr:cNvPr>
        <xdr:cNvSpPr/>
      </xdr:nvSpPr>
      <xdr:spPr>
        <a:xfrm rot="16200000">
          <a:off x="2785032" y="15630894"/>
          <a:ext cx="238126" cy="792642"/>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9</xdr:col>
      <xdr:colOff>177581</xdr:colOff>
      <xdr:row>65</xdr:row>
      <xdr:rowOff>119060</xdr:rowOff>
    </xdr:from>
    <xdr:to>
      <xdr:col>11</xdr:col>
      <xdr:colOff>149085</xdr:colOff>
      <xdr:row>66</xdr:row>
      <xdr:rowOff>202931</xdr:rowOff>
    </xdr:to>
    <xdr:sp macro="" textlink="">
      <xdr:nvSpPr>
        <xdr:cNvPr id="59" name="正方形/長方形 58">
          <a:extLst>
            <a:ext uri="{FF2B5EF4-FFF2-40B4-BE49-F238E27FC236}">
              <a16:creationId xmlns:a16="http://schemas.microsoft.com/office/drawing/2014/main" id="{66B38D2C-F379-4316-972A-0CBF5E753DAE}"/>
            </a:ext>
          </a:extLst>
        </xdr:cNvPr>
        <xdr:cNvSpPr/>
      </xdr:nvSpPr>
      <xdr:spPr>
        <a:xfrm>
          <a:off x="2663606" y="15616235"/>
          <a:ext cx="523954" cy="32199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4 [s]</a:t>
          </a:r>
          <a:endParaRPr kumimoji="1" lang="ja-JP" altLang="en-US" sz="1100">
            <a:solidFill>
              <a:schemeClr val="tx1"/>
            </a:solidFill>
          </a:endParaRPr>
        </a:p>
      </xdr:txBody>
    </xdr:sp>
    <xdr:clientData/>
  </xdr:twoCellAnchor>
  <xdr:twoCellAnchor>
    <xdr:from>
      <xdr:col>11</xdr:col>
      <xdr:colOff>57747</xdr:colOff>
      <xdr:row>71</xdr:row>
      <xdr:rowOff>43857</xdr:rowOff>
    </xdr:from>
    <xdr:to>
      <xdr:col>13</xdr:col>
      <xdr:colOff>118796</xdr:colOff>
      <xdr:row>72</xdr:row>
      <xdr:rowOff>66675</xdr:rowOff>
    </xdr:to>
    <xdr:sp macro="" textlink="">
      <xdr:nvSpPr>
        <xdr:cNvPr id="60" name="正方形/長方形 59">
          <a:extLst>
            <a:ext uri="{FF2B5EF4-FFF2-40B4-BE49-F238E27FC236}">
              <a16:creationId xmlns:a16="http://schemas.microsoft.com/office/drawing/2014/main" id="{AB468F15-8FCF-4285-844D-8A586813B866}"/>
            </a:ext>
          </a:extLst>
        </xdr:cNvPr>
        <xdr:cNvSpPr/>
      </xdr:nvSpPr>
      <xdr:spPr>
        <a:xfrm>
          <a:off x="3096222" y="16969782"/>
          <a:ext cx="613499" cy="26094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ja-JP" altLang="en-US" sz="1100">
              <a:solidFill>
                <a:schemeClr val="tx1"/>
              </a:solidFill>
            </a:rPr>
            <a:t>時間</a:t>
          </a:r>
        </a:p>
      </xdr:txBody>
    </xdr:sp>
    <xdr:clientData/>
  </xdr:twoCellAnchor>
  <xdr:twoCellAnchor>
    <xdr:from>
      <xdr:col>5</xdr:col>
      <xdr:colOff>0</xdr:colOff>
      <xdr:row>79</xdr:row>
      <xdr:rowOff>9525</xdr:rowOff>
    </xdr:from>
    <xdr:to>
      <xdr:col>16</xdr:col>
      <xdr:colOff>35719</xdr:colOff>
      <xdr:row>79</xdr:row>
      <xdr:rowOff>9525</xdr:rowOff>
    </xdr:to>
    <xdr:cxnSp macro="">
      <xdr:nvCxnSpPr>
        <xdr:cNvPr id="61" name="直線矢印コネクタ 60">
          <a:extLst>
            <a:ext uri="{FF2B5EF4-FFF2-40B4-BE49-F238E27FC236}">
              <a16:creationId xmlns:a16="http://schemas.microsoft.com/office/drawing/2014/main" id="{54ED8A93-F040-4714-8FD2-4B983C518946}"/>
            </a:ext>
          </a:extLst>
        </xdr:cNvPr>
        <xdr:cNvCxnSpPr/>
      </xdr:nvCxnSpPr>
      <xdr:spPr>
        <a:xfrm>
          <a:off x="1381125" y="18840450"/>
          <a:ext cx="3074194"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4579</xdr:colOff>
      <xdr:row>74</xdr:row>
      <xdr:rowOff>172853</xdr:rowOff>
    </xdr:from>
    <xdr:to>
      <xdr:col>8</xdr:col>
      <xdr:colOff>263769</xdr:colOff>
      <xdr:row>75</xdr:row>
      <xdr:rowOff>172854</xdr:rowOff>
    </xdr:to>
    <xdr:sp macro="" textlink="">
      <xdr:nvSpPr>
        <xdr:cNvPr id="62" name="右中かっこ 61">
          <a:extLst>
            <a:ext uri="{FF2B5EF4-FFF2-40B4-BE49-F238E27FC236}">
              <a16:creationId xmlns:a16="http://schemas.microsoft.com/office/drawing/2014/main" id="{D7058A1B-B646-49C1-B958-D3EC9B979C4A}"/>
            </a:ext>
          </a:extLst>
        </xdr:cNvPr>
        <xdr:cNvSpPr/>
      </xdr:nvSpPr>
      <xdr:spPr>
        <a:xfrm rot="16200000">
          <a:off x="1948686" y="17526396"/>
          <a:ext cx="238126" cy="811640"/>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6</xdr:col>
      <xdr:colOff>55572</xdr:colOff>
      <xdr:row>73</xdr:row>
      <xdr:rowOff>119060</xdr:rowOff>
    </xdr:from>
    <xdr:to>
      <xdr:col>8</xdr:col>
      <xdr:colOff>231910</xdr:colOff>
      <xdr:row>74</xdr:row>
      <xdr:rowOff>210259</xdr:rowOff>
    </xdr:to>
    <xdr:sp macro="" textlink="">
      <xdr:nvSpPr>
        <xdr:cNvPr id="63" name="正方形/長方形 62">
          <a:extLst>
            <a:ext uri="{FF2B5EF4-FFF2-40B4-BE49-F238E27FC236}">
              <a16:creationId xmlns:a16="http://schemas.microsoft.com/office/drawing/2014/main" id="{C3AC3D53-BBCC-4D66-A91C-D582CE96837A}"/>
            </a:ext>
          </a:extLst>
        </xdr:cNvPr>
        <xdr:cNvSpPr/>
      </xdr:nvSpPr>
      <xdr:spPr>
        <a:xfrm>
          <a:off x="1712922" y="17521235"/>
          <a:ext cx="728788" cy="32932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4 [s]</a:t>
          </a:r>
          <a:endParaRPr kumimoji="1" lang="ja-JP" altLang="en-US" sz="1100">
            <a:solidFill>
              <a:schemeClr val="tx1"/>
            </a:solidFill>
          </a:endParaRPr>
        </a:p>
      </xdr:txBody>
    </xdr:sp>
    <xdr:clientData/>
  </xdr:twoCellAnchor>
  <xdr:twoCellAnchor>
    <xdr:from>
      <xdr:col>9</xdr:col>
      <xdr:colOff>21749</xdr:colOff>
      <xdr:row>74</xdr:row>
      <xdr:rowOff>172852</xdr:rowOff>
    </xdr:from>
    <xdr:to>
      <xdr:col>11</xdr:col>
      <xdr:colOff>261941</xdr:colOff>
      <xdr:row>75</xdr:row>
      <xdr:rowOff>172853</xdr:rowOff>
    </xdr:to>
    <xdr:sp macro="" textlink="">
      <xdr:nvSpPr>
        <xdr:cNvPr id="64" name="右中かっこ 63">
          <a:extLst>
            <a:ext uri="{FF2B5EF4-FFF2-40B4-BE49-F238E27FC236}">
              <a16:creationId xmlns:a16="http://schemas.microsoft.com/office/drawing/2014/main" id="{D6639C3A-D1CC-4F45-9722-D9A3BE4784C9}"/>
            </a:ext>
          </a:extLst>
        </xdr:cNvPr>
        <xdr:cNvSpPr/>
      </xdr:nvSpPr>
      <xdr:spPr>
        <a:xfrm rot="16200000">
          <a:off x="2785032" y="17535894"/>
          <a:ext cx="238126" cy="792642"/>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9</xdr:col>
      <xdr:colOff>177581</xdr:colOff>
      <xdr:row>73</xdr:row>
      <xdr:rowOff>119060</xdr:rowOff>
    </xdr:from>
    <xdr:to>
      <xdr:col>11</xdr:col>
      <xdr:colOff>149085</xdr:colOff>
      <xdr:row>74</xdr:row>
      <xdr:rowOff>202931</xdr:rowOff>
    </xdr:to>
    <xdr:sp macro="" textlink="">
      <xdr:nvSpPr>
        <xdr:cNvPr id="65" name="正方形/長方形 64">
          <a:extLst>
            <a:ext uri="{FF2B5EF4-FFF2-40B4-BE49-F238E27FC236}">
              <a16:creationId xmlns:a16="http://schemas.microsoft.com/office/drawing/2014/main" id="{CA03597D-DDB1-498D-9388-E19AD323FB21}"/>
            </a:ext>
          </a:extLst>
        </xdr:cNvPr>
        <xdr:cNvSpPr/>
      </xdr:nvSpPr>
      <xdr:spPr>
        <a:xfrm>
          <a:off x="2663606" y="17521235"/>
          <a:ext cx="523954" cy="32199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4 [s]</a:t>
          </a:r>
          <a:endParaRPr kumimoji="1" lang="ja-JP" altLang="en-US" sz="1100">
            <a:solidFill>
              <a:schemeClr val="tx1"/>
            </a:solidFill>
          </a:endParaRPr>
        </a:p>
      </xdr:txBody>
    </xdr:sp>
    <xdr:clientData/>
  </xdr:twoCellAnchor>
  <xdr:twoCellAnchor>
    <xdr:from>
      <xdr:col>13</xdr:col>
      <xdr:colOff>248246</xdr:colOff>
      <xdr:row>79</xdr:row>
      <xdr:rowOff>43857</xdr:rowOff>
    </xdr:from>
    <xdr:to>
      <xdr:col>16</xdr:col>
      <xdr:colOff>35452</xdr:colOff>
      <xdr:row>80</xdr:row>
      <xdr:rowOff>66675</xdr:rowOff>
    </xdr:to>
    <xdr:sp macro="" textlink="">
      <xdr:nvSpPr>
        <xdr:cNvPr id="66" name="正方形/長方形 65">
          <a:extLst>
            <a:ext uri="{FF2B5EF4-FFF2-40B4-BE49-F238E27FC236}">
              <a16:creationId xmlns:a16="http://schemas.microsoft.com/office/drawing/2014/main" id="{86DEACCA-6B37-48E3-B885-7BB5F4660E0C}"/>
            </a:ext>
          </a:extLst>
        </xdr:cNvPr>
        <xdr:cNvSpPr/>
      </xdr:nvSpPr>
      <xdr:spPr>
        <a:xfrm>
          <a:off x="3839171" y="18874782"/>
          <a:ext cx="615881" cy="26094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ja-JP" altLang="en-US" sz="1100">
              <a:solidFill>
                <a:schemeClr val="tx1"/>
              </a:solidFill>
            </a:rPr>
            <a:t>時間</a:t>
          </a:r>
        </a:p>
      </xdr:txBody>
    </xdr:sp>
    <xdr:clientData/>
  </xdr:twoCellAnchor>
  <xdr:twoCellAnchor>
    <xdr:from>
      <xdr:col>12</xdr:col>
      <xdr:colOff>25322</xdr:colOff>
      <xdr:row>74</xdr:row>
      <xdr:rowOff>170470</xdr:rowOff>
    </xdr:from>
    <xdr:to>
      <xdr:col>14</xdr:col>
      <xdr:colOff>265513</xdr:colOff>
      <xdr:row>75</xdr:row>
      <xdr:rowOff>170471</xdr:rowOff>
    </xdr:to>
    <xdr:sp macro="" textlink="">
      <xdr:nvSpPr>
        <xdr:cNvPr id="67" name="右中かっこ 66">
          <a:extLst>
            <a:ext uri="{FF2B5EF4-FFF2-40B4-BE49-F238E27FC236}">
              <a16:creationId xmlns:a16="http://schemas.microsoft.com/office/drawing/2014/main" id="{9946E612-5DA9-471A-9DBE-762522C76A85}"/>
            </a:ext>
          </a:extLst>
        </xdr:cNvPr>
        <xdr:cNvSpPr/>
      </xdr:nvSpPr>
      <xdr:spPr>
        <a:xfrm rot="16200000">
          <a:off x="3617280" y="17533512"/>
          <a:ext cx="238126" cy="792641"/>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12</xdr:col>
      <xdr:colOff>181154</xdr:colOff>
      <xdr:row>73</xdr:row>
      <xdr:rowOff>116678</xdr:rowOff>
    </xdr:from>
    <xdr:to>
      <xdr:col>14</xdr:col>
      <xdr:colOff>152657</xdr:colOff>
      <xdr:row>74</xdr:row>
      <xdr:rowOff>200549</xdr:rowOff>
    </xdr:to>
    <xdr:sp macro="" textlink="">
      <xdr:nvSpPr>
        <xdr:cNvPr id="68" name="正方形/長方形 67">
          <a:extLst>
            <a:ext uri="{FF2B5EF4-FFF2-40B4-BE49-F238E27FC236}">
              <a16:creationId xmlns:a16="http://schemas.microsoft.com/office/drawing/2014/main" id="{4288548E-8932-4805-8FF6-DA60805EA9BC}"/>
            </a:ext>
          </a:extLst>
        </xdr:cNvPr>
        <xdr:cNvSpPr/>
      </xdr:nvSpPr>
      <xdr:spPr>
        <a:xfrm>
          <a:off x="3495854" y="17518853"/>
          <a:ext cx="523953" cy="32199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4 [s]</a:t>
          </a:r>
          <a:endParaRPr kumimoji="1" lang="ja-JP" altLang="en-US" sz="1100">
            <a:solidFill>
              <a:schemeClr val="tx1"/>
            </a:solidFill>
          </a:endParaRPr>
        </a:p>
      </xdr:txBody>
    </xdr:sp>
    <xdr:clientData/>
  </xdr:twoCellAnchor>
  <xdr:twoCellAnchor>
    <xdr:from>
      <xdr:col>23</xdr:col>
      <xdr:colOff>28575</xdr:colOff>
      <xdr:row>33</xdr:row>
      <xdr:rowOff>228600</xdr:rowOff>
    </xdr:from>
    <xdr:to>
      <xdr:col>25</xdr:col>
      <xdr:colOff>9525</xdr:colOff>
      <xdr:row>34</xdr:row>
      <xdr:rowOff>209550</xdr:rowOff>
    </xdr:to>
    <xdr:cxnSp macro="">
      <xdr:nvCxnSpPr>
        <xdr:cNvPr id="69" name="直線コネクタ 68">
          <a:extLst>
            <a:ext uri="{FF2B5EF4-FFF2-40B4-BE49-F238E27FC236}">
              <a16:creationId xmlns:a16="http://schemas.microsoft.com/office/drawing/2014/main" id="{39FCBB87-0B44-4DD4-99A5-292C764D8DC0}"/>
            </a:ext>
          </a:extLst>
        </xdr:cNvPr>
        <xdr:cNvCxnSpPr/>
      </xdr:nvCxnSpPr>
      <xdr:spPr>
        <a:xfrm flipH="1">
          <a:off x="6381750" y="8105775"/>
          <a:ext cx="533400" cy="219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33</xdr:row>
      <xdr:rowOff>228600</xdr:rowOff>
    </xdr:from>
    <xdr:to>
      <xdr:col>29</xdr:col>
      <xdr:colOff>28575</xdr:colOff>
      <xdr:row>34</xdr:row>
      <xdr:rowOff>200025</xdr:rowOff>
    </xdr:to>
    <xdr:cxnSp macro="">
      <xdr:nvCxnSpPr>
        <xdr:cNvPr id="70" name="直線コネクタ 69">
          <a:extLst>
            <a:ext uri="{FF2B5EF4-FFF2-40B4-BE49-F238E27FC236}">
              <a16:creationId xmlns:a16="http://schemas.microsoft.com/office/drawing/2014/main" id="{C1FC748D-07AA-42F2-BD07-543BD9E81A02}"/>
            </a:ext>
          </a:extLst>
        </xdr:cNvPr>
        <xdr:cNvCxnSpPr/>
      </xdr:nvCxnSpPr>
      <xdr:spPr>
        <a:xfrm>
          <a:off x="7734300" y="8105775"/>
          <a:ext cx="304800" cy="2095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266700</xdr:colOff>
      <xdr:row>51</xdr:row>
      <xdr:rowOff>133350</xdr:rowOff>
    </xdr:from>
    <xdr:to>
      <xdr:col>35</xdr:col>
      <xdr:colOff>0</xdr:colOff>
      <xdr:row>51</xdr:row>
      <xdr:rowOff>133350</xdr:rowOff>
    </xdr:to>
    <xdr:cxnSp macro="">
      <xdr:nvCxnSpPr>
        <xdr:cNvPr id="71" name="直線矢印コネクタ 70">
          <a:extLst>
            <a:ext uri="{FF2B5EF4-FFF2-40B4-BE49-F238E27FC236}">
              <a16:creationId xmlns:a16="http://schemas.microsoft.com/office/drawing/2014/main" id="{7CA30337-3BD3-4F33-AD92-1C538AC9AD3E}"/>
            </a:ext>
          </a:extLst>
        </xdr:cNvPr>
        <xdr:cNvCxnSpPr/>
      </xdr:nvCxnSpPr>
      <xdr:spPr>
        <a:xfrm>
          <a:off x="1371600" y="12296775"/>
          <a:ext cx="829627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219075</xdr:colOff>
      <xdr:row>51</xdr:row>
      <xdr:rowOff>228600</xdr:rowOff>
    </xdr:from>
    <xdr:to>
      <xdr:col>35</xdr:col>
      <xdr:colOff>0</xdr:colOff>
      <xdr:row>53</xdr:row>
      <xdr:rowOff>123825</xdr:rowOff>
    </xdr:to>
    <xdr:sp macro="" textlink="">
      <xdr:nvSpPr>
        <xdr:cNvPr id="72" name="正方形/長方形 71">
          <a:extLst>
            <a:ext uri="{FF2B5EF4-FFF2-40B4-BE49-F238E27FC236}">
              <a16:creationId xmlns:a16="http://schemas.microsoft.com/office/drawing/2014/main" id="{1CB622E7-13AA-48CA-BFCF-E0F3A140FD46}"/>
            </a:ext>
          </a:extLst>
        </xdr:cNvPr>
        <xdr:cNvSpPr/>
      </xdr:nvSpPr>
      <xdr:spPr>
        <a:xfrm>
          <a:off x="9058275" y="12392025"/>
          <a:ext cx="609600" cy="371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ja-JP" altLang="en-US" sz="1100">
              <a:solidFill>
                <a:schemeClr val="tx1"/>
              </a:solidFill>
            </a:rPr>
            <a:t>時間</a:t>
          </a:r>
        </a:p>
      </xdr:txBody>
    </xdr:sp>
    <xdr:clientData/>
  </xdr:twoCellAnchor>
  <xdr:twoCellAnchor>
    <xdr:from>
      <xdr:col>6</xdr:col>
      <xdr:colOff>14288</xdr:colOff>
      <xdr:row>48</xdr:row>
      <xdr:rowOff>114299</xdr:rowOff>
    </xdr:from>
    <xdr:to>
      <xdr:col>17</xdr:col>
      <xdr:colOff>247650</xdr:colOff>
      <xdr:row>49</xdr:row>
      <xdr:rowOff>119060</xdr:rowOff>
    </xdr:to>
    <xdr:sp macro="" textlink="">
      <xdr:nvSpPr>
        <xdr:cNvPr id="73" name="右中かっこ 72">
          <a:extLst>
            <a:ext uri="{FF2B5EF4-FFF2-40B4-BE49-F238E27FC236}">
              <a16:creationId xmlns:a16="http://schemas.microsoft.com/office/drawing/2014/main" id="{869BD907-FA40-4C41-9900-E25490AE031B}"/>
            </a:ext>
          </a:extLst>
        </xdr:cNvPr>
        <xdr:cNvSpPr/>
      </xdr:nvSpPr>
      <xdr:spPr>
        <a:xfrm rot="16200000" flipH="1">
          <a:off x="3186114" y="10048873"/>
          <a:ext cx="242886" cy="3271837"/>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7</xdr:col>
      <xdr:colOff>0</xdr:colOff>
      <xdr:row>49</xdr:row>
      <xdr:rowOff>133350</xdr:rowOff>
    </xdr:from>
    <xdr:to>
      <xdr:col>16</xdr:col>
      <xdr:colOff>257175</xdr:colOff>
      <xdr:row>51</xdr:row>
      <xdr:rowOff>28575</xdr:rowOff>
    </xdr:to>
    <xdr:sp macro="" textlink="">
      <xdr:nvSpPr>
        <xdr:cNvPr id="74" name="正方形/長方形 73">
          <a:extLst>
            <a:ext uri="{FF2B5EF4-FFF2-40B4-BE49-F238E27FC236}">
              <a16:creationId xmlns:a16="http://schemas.microsoft.com/office/drawing/2014/main" id="{F186FB77-33C6-419A-B81E-F0481394725B}"/>
            </a:ext>
          </a:extLst>
        </xdr:cNvPr>
        <xdr:cNvSpPr/>
      </xdr:nvSpPr>
      <xdr:spPr>
        <a:xfrm>
          <a:off x="1933575" y="11820525"/>
          <a:ext cx="2743200" cy="371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chemeClr val="tx1"/>
              </a:solidFill>
            </a:rPr>
            <a:t>最小単位 </a:t>
          </a:r>
          <a:r>
            <a:rPr kumimoji="1" lang="en-US" altLang="ja-JP" sz="1100">
              <a:solidFill>
                <a:schemeClr val="tx1"/>
              </a:solidFill>
            </a:rPr>
            <a:t>8 </a:t>
          </a:r>
          <a:r>
            <a:rPr kumimoji="1" lang="ja-JP" altLang="en-US" sz="1100">
              <a:solidFill>
                <a:schemeClr val="tx1"/>
              </a:solidFill>
            </a:rPr>
            <a:t>サンプル </a:t>
          </a:r>
          <a:r>
            <a:rPr kumimoji="1" lang="en-US" altLang="ja-JP" sz="1100">
              <a:solidFill>
                <a:schemeClr val="tx1"/>
              </a:solidFill>
            </a:rPr>
            <a:t>(= 1 AWG </a:t>
          </a:r>
          <a:r>
            <a:rPr kumimoji="1" lang="ja-JP" altLang="en-US" sz="1100">
              <a:solidFill>
                <a:schemeClr val="tx1"/>
              </a:solidFill>
            </a:rPr>
            <a:t>ワード</a:t>
          </a:r>
          <a:r>
            <a:rPr kumimoji="1" lang="en-US" altLang="ja-JP" sz="1100">
              <a:solidFill>
                <a:schemeClr val="tx1"/>
              </a:solidFill>
            </a:rPr>
            <a:t>)</a:t>
          </a:r>
          <a:endParaRPr kumimoji="1" lang="ja-JP" altLang="en-US" sz="1100">
            <a:solidFill>
              <a:schemeClr val="tx1"/>
            </a:solidFill>
          </a:endParaRPr>
        </a:p>
      </xdr:txBody>
    </xdr:sp>
    <xdr:clientData/>
  </xdr:twoCellAnchor>
  <xdr:twoCellAnchor>
    <xdr:from>
      <xdr:col>20</xdr:col>
      <xdr:colOff>188256</xdr:colOff>
      <xdr:row>49</xdr:row>
      <xdr:rowOff>104775</xdr:rowOff>
    </xdr:from>
    <xdr:to>
      <xdr:col>25</xdr:col>
      <xdr:colOff>235322</xdr:colOff>
      <xdr:row>51</xdr:row>
      <xdr:rowOff>0</xdr:rowOff>
    </xdr:to>
    <xdr:sp macro="" textlink="">
      <xdr:nvSpPr>
        <xdr:cNvPr id="75" name="正方形/長方形 74">
          <a:extLst>
            <a:ext uri="{FF2B5EF4-FFF2-40B4-BE49-F238E27FC236}">
              <a16:creationId xmlns:a16="http://schemas.microsoft.com/office/drawing/2014/main" id="{283F4A8F-D70F-4EF3-948D-B9C3DB9302A7}"/>
            </a:ext>
          </a:extLst>
        </xdr:cNvPr>
        <xdr:cNvSpPr/>
      </xdr:nvSpPr>
      <xdr:spPr>
        <a:xfrm>
          <a:off x="5712756" y="11791950"/>
          <a:ext cx="1428191" cy="371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(I </a:t>
          </a:r>
          <a:r>
            <a:rPr kumimoji="1" lang="ja-JP" altLang="en-US" sz="1100">
              <a:solidFill>
                <a:schemeClr val="tx1"/>
              </a:solidFill>
            </a:rPr>
            <a:t>値</a:t>
          </a:r>
          <a:r>
            <a:rPr kumimoji="1" lang="en-US" altLang="ja-JP" sz="1100">
              <a:solidFill>
                <a:schemeClr val="tx1"/>
              </a:solidFill>
            </a:rPr>
            <a:t>, Q </a:t>
          </a:r>
          <a:r>
            <a:rPr kumimoji="1" lang="ja-JP" altLang="en-US" sz="1100">
              <a:solidFill>
                <a:schemeClr val="tx1"/>
              </a:solidFill>
            </a:rPr>
            <a:t>値</a:t>
          </a:r>
          <a:r>
            <a:rPr kumimoji="1" lang="en-US" altLang="ja-JP" sz="1100">
              <a:solidFill>
                <a:schemeClr val="tx1"/>
              </a:solidFill>
            </a:rPr>
            <a:t>)</a:t>
          </a:r>
          <a:r>
            <a:rPr kumimoji="1" lang="ja-JP" altLang="en-US" sz="1100">
              <a:solidFill>
                <a:schemeClr val="tx1"/>
              </a:solidFill>
            </a:rPr>
            <a:t> </a:t>
          </a:r>
          <a:r>
            <a:rPr kumimoji="1" lang="en-US" altLang="ja-JP" sz="1100">
              <a:solidFill>
                <a:schemeClr val="tx1"/>
              </a:solidFill>
            </a:rPr>
            <a:t>= (0, 0)</a:t>
          </a:r>
          <a:endParaRPr kumimoji="1" lang="ja-JP" altLang="en-US" sz="1100">
            <a:solidFill>
              <a:schemeClr val="tx1"/>
            </a:solidFill>
          </a:endParaRPr>
        </a:p>
      </xdr:txBody>
    </xdr:sp>
    <xdr:clientData/>
  </xdr:twoCellAnchor>
  <xdr:twoCellAnchor>
    <xdr:from>
      <xdr:col>23</xdr:col>
      <xdr:colOff>66675</xdr:colOff>
      <xdr:row>47</xdr:row>
      <xdr:rowOff>180975</xdr:rowOff>
    </xdr:from>
    <xdr:to>
      <xdr:col>24</xdr:col>
      <xdr:colOff>152400</xdr:colOff>
      <xdr:row>49</xdr:row>
      <xdr:rowOff>104775</xdr:rowOff>
    </xdr:to>
    <xdr:cxnSp macro="">
      <xdr:nvCxnSpPr>
        <xdr:cNvPr id="76" name="直線コネクタ 75">
          <a:extLst>
            <a:ext uri="{FF2B5EF4-FFF2-40B4-BE49-F238E27FC236}">
              <a16:creationId xmlns:a16="http://schemas.microsoft.com/office/drawing/2014/main" id="{CB686030-0C3B-4425-8713-93C015B63066}"/>
            </a:ext>
          </a:extLst>
        </xdr:cNvPr>
        <xdr:cNvCxnSpPr/>
      </xdr:nvCxnSpPr>
      <xdr:spPr>
        <a:xfrm flipH="1">
          <a:off x="6419850" y="11391900"/>
          <a:ext cx="361950" cy="4000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271463</xdr:colOff>
      <xdr:row>44</xdr:row>
      <xdr:rowOff>147635</xdr:rowOff>
    </xdr:from>
    <xdr:to>
      <xdr:col>33</xdr:col>
      <xdr:colOff>266700</xdr:colOff>
      <xdr:row>45</xdr:row>
      <xdr:rowOff>147635</xdr:rowOff>
    </xdr:to>
    <xdr:sp macro="" textlink="">
      <xdr:nvSpPr>
        <xdr:cNvPr id="77" name="右中かっこ 76">
          <a:extLst>
            <a:ext uri="{FF2B5EF4-FFF2-40B4-BE49-F238E27FC236}">
              <a16:creationId xmlns:a16="http://schemas.microsoft.com/office/drawing/2014/main" id="{24049D38-AA58-4444-8208-C3C285DC9AA5}"/>
            </a:ext>
          </a:extLst>
        </xdr:cNvPr>
        <xdr:cNvSpPr/>
      </xdr:nvSpPr>
      <xdr:spPr>
        <a:xfrm rot="16200000">
          <a:off x="5398294" y="6898479"/>
          <a:ext cx="238125" cy="7729537"/>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17</xdr:col>
      <xdr:colOff>152400</xdr:colOff>
      <xdr:row>43</xdr:row>
      <xdr:rowOff>66675</xdr:rowOff>
    </xdr:from>
    <xdr:to>
      <xdr:col>22</xdr:col>
      <xdr:colOff>161925</xdr:colOff>
      <xdr:row>44</xdr:row>
      <xdr:rowOff>200025</xdr:rowOff>
    </xdr:to>
    <xdr:sp macro="" textlink="">
      <xdr:nvSpPr>
        <xdr:cNvPr id="78" name="正方形/長方形 77">
          <a:extLst>
            <a:ext uri="{FF2B5EF4-FFF2-40B4-BE49-F238E27FC236}">
              <a16:creationId xmlns:a16="http://schemas.microsoft.com/office/drawing/2014/main" id="{7C3A3D11-A8EF-4CCA-8F40-BAA2560EA11D}"/>
            </a:ext>
          </a:extLst>
        </xdr:cNvPr>
        <xdr:cNvSpPr/>
      </xdr:nvSpPr>
      <xdr:spPr>
        <a:xfrm>
          <a:off x="4848225" y="10325100"/>
          <a:ext cx="1390650" cy="371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chemeClr val="tx1"/>
              </a:solidFill>
            </a:rPr>
            <a:t>ポストブランク</a:t>
          </a:r>
        </a:p>
      </xdr:txBody>
    </xdr:sp>
    <xdr:clientData/>
  </xdr:twoCellAnchor>
  <xdr:twoCellAnchor>
    <xdr:from>
      <xdr:col>3</xdr:col>
      <xdr:colOff>19050</xdr:colOff>
      <xdr:row>100</xdr:row>
      <xdr:rowOff>19050</xdr:rowOff>
    </xdr:from>
    <xdr:to>
      <xdr:col>29</xdr:col>
      <xdr:colOff>95250</xdr:colOff>
      <xdr:row>100</xdr:row>
      <xdr:rowOff>19050</xdr:rowOff>
    </xdr:to>
    <xdr:cxnSp macro="">
      <xdr:nvCxnSpPr>
        <xdr:cNvPr id="79" name="直線矢印コネクタ 78">
          <a:extLst>
            <a:ext uri="{FF2B5EF4-FFF2-40B4-BE49-F238E27FC236}">
              <a16:creationId xmlns:a16="http://schemas.microsoft.com/office/drawing/2014/main" id="{EC8EDBE1-6594-4693-8CC3-CB3F537096E9}"/>
            </a:ext>
          </a:extLst>
        </xdr:cNvPr>
        <xdr:cNvCxnSpPr/>
      </xdr:nvCxnSpPr>
      <xdr:spPr>
        <a:xfrm>
          <a:off x="847725" y="24326850"/>
          <a:ext cx="725805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38696</xdr:colOff>
      <xdr:row>100</xdr:row>
      <xdr:rowOff>148632</xdr:rowOff>
    </xdr:from>
    <xdr:to>
      <xdr:col>29</xdr:col>
      <xdr:colOff>102127</xdr:colOff>
      <xdr:row>101</xdr:row>
      <xdr:rowOff>171450</xdr:rowOff>
    </xdr:to>
    <xdr:sp macro="" textlink="">
      <xdr:nvSpPr>
        <xdr:cNvPr id="80" name="正方形/長方形 79">
          <a:extLst>
            <a:ext uri="{FF2B5EF4-FFF2-40B4-BE49-F238E27FC236}">
              <a16:creationId xmlns:a16="http://schemas.microsoft.com/office/drawing/2014/main" id="{5BDC0814-3F94-4AFB-9B96-262E11CD2CCC}"/>
            </a:ext>
          </a:extLst>
        </xdr:cNvPr>
        <xdr:cNvSpPr/>
      </xdr:nvSpPr>
      <xdr:spPr>
        <a:xfrm>
          <a:off x="7496771" y="24456432"/>
          <a:ext cx="615881" cy="26094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ja-JP" altLang="en-US" sz="1100">
              <a:solidFill>
                <a:schemeClr val="tx1"/>
              </a:solidFill>
            </a:rPr>
            <a:t>時間</a:t>
          </a:r>
        </a:p>
      </xdr:txBody>
    </xdr:sp>
    <xdr:clientData/>
  </xdr:twoCellAnchor>
  <xdr:twoCellAnchor>
    <xdr:from>
      <xdr:col>4</xdr:col>
      <xdr:colOff>16283</xdr:colOff>
      <xdr:row>96</xdr:row>
      <xdr:rowOff>32558</xdr:rowOff>
    </xdr:from>
    <xdr:to>
      <xdr:col>7</xdr:col>
      <xdr:colOff>239486</xdr:colOff>
      <xdr:row>96</xdr:row>
      <xdr:rowOff>175849</xdr:rowOff>
    </xdr:to>
    <xdr:sp macro="" textlink="">
      <xdr:nvSpPr>
        <xdr:cNvPr id="85" name="左中かっこ 84">
          <a:extLst>
            <a:ext uri="{FF2B5EF4-FFF2-40B4-BE49-F238E27FC236}">
              <a16:creationId xmlns:a16="http://schemas.microsoft.com/office/drawing/2014/main" id="{6CB2AB12-4948-F7BE-31C7-8E48113B0375}"/>
            </a:ext>
          </a:extLst>
        </xdr:cNvPr>
        <xdr:cNvSpPr/>
      </xdr:nvSpPr>
      <xdr:spPr>
        <a:xfrm rot="5400000">
          <a:off x="1582960" y="22583181"/>
          <a:ext cx="143291" cy="1055960"/>
        </a:xfrm>
        <a:prstGeom prst="leftBrace">
          <a:avLst>
            <a:gd name="adj1" fmla="val 38435"/>
            <a:gd name="adj2" fmla="val 50000"/>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8</xdr:col>
      <xdr:colOff>46097</xdr:colOff>
      <xdr:row>96</xdr:row>
      <xdr:rowOff>31041</xdr:rowOff>
    </xdr:from>
    <xdr:to>
      <xdr:col>15</xdr:col>
      <xdr:colOff>250370</xdr:colOff>
      <xdr:row>96</xdr:row>
      <xdr:rowOff>174332</xdr:rowOff>
    </xdr:to>
    <xdr:sp macro="" textlink="">
      <xdr:nvSpPr>
        <xdr:cNvPr id="86" name="左中かっこ 85">
          <a:extLst>
            <a:ext uri="{FF2B5EF4-FFF2-40B4-BE49-F238E27FC236}">
              <a16:creationId xmlns:a16="http://schemas.microsoft.com/office/drawing/2014/main" id="{36685C9E-42F0-45E5-924C-88ADD10B81A5}"/>
            </a:ext>
          </a:extLst>
        </xdr:cNvPr>
        <xdr:cNvSpPr/>
      </xdr:nvSpPr>
      <xdr:spPr>
        <a:xfrm rot="5400000">
          <a:off x="3268824" y="22035957"/>
          <a:ext cx="143291" cy="2147373"/>
        </a:xfrm>
        <a:prstGeom prst="leftBrace">
          <a:avLst>
            <a:gd name="adj1" fmla="val 38435"/>
            <a:gd name="adj2" fmla="val 50000"/>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16</xdr:col>
      <xdr:colOff>32653</xdr:colOff>
      <xdr:row>96</xdr:row>
      <xdr:rowOff>31041</xdr:rowOff>
    </xdr:from>
    <xdr:to>
      <xdr:col>21</xdr:col>
      <xdr:colOff>255814</xdr:colOff>
      <xdr:row>96</xdr:row>
      <xdr:rowOff>174332</xdr:rowOff>
    </xdr:to>
    <xdr:sp macro="" textlink="">
      <xdr:nvSpPr>
        <xdr:cNvPr id="87" name="左中かっこ 86">
          <a:extLst>
            <a:ext uri="{FF2B5EF4-FFF2-40B4-BE49-F238E27FC236}">
              <a16:creationId xmlns:a16="http://schemas.microsoft.com/office/drawing/2014/main" id="{05CF6D73-BEC5-461B-B3A8-8D6097CD6B7F}"/>
            </a:ext>
          </a:extLst>
        </xdr:cNvPr>
        <xdr:cNvSpPr/>
      </xdr:nvSpPr>
      <xdr:spPr>
        <a:xfrm rot="5400000">
          <a:off x="5207923" y="22304099"/>
          <a:ext cx="143291" cy="1611090"/>
        </a:xfrm>
        <a:prstGeom prst="leftBrace">
          <a:avLst>
            <a:gd name="adj1" fmla="val 38435"/>
            <a:gd name="adj2" fmla="val 50000"/>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24</xdr:col>
      <xdr:colOff>16335</xdr:colOff>
      <xdr:row>96</xdr:row>
      <xdr:rowOff>31042</xdr:rowOff>
    </xdr:from>
    <xdr:to>
      <xdr:col>27</xdr:col>
      <xdr:colOff>250372</xdr:colOff>
      <xdr:row>96</xdr:row>
      <xdr:rowOff>174333</xdr:rowOff>
    </xdr:to>
    <xdr:sp macro="" textlink="">
      <xdr:nvSpPr>
        <xdr:cNvPr id="88" name="左中かっこ 87">
          <a:extLst>
            <a:ext uri="{FF2B5EF4-FFF2-40B4-BE49-F238E27FC236}">
              <a16:creationId xmlns:a16="http://schemas.microsoft.com/office/drawing/2014/main" id="{4DA7F32C-BD13-4137-9E5D-5CE59CE96A1C}"/>
            </a:ext>
          </a:extLst>
        </xdr:cNvPr>
        <xdr:cNvSpPr/>
      </xdr:nvSpPr>
      <xdr:spPr>
        <a:xfrm rot="5400000">
          <a:off x="7140143" y="22576248"/>
          <a:ext cx="143291" cy="1066794"/>
        </a:xfrm>
        <a:prstGeom prst="leftBrace">
          <a:avLst>
            <a:gd name="adj1" fmla="val 38435"/>
            <a:gd name="adj2" fmla="val 50000"/>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xdr:col>
      <xdr:colOff>157908</xdr:colOff>
      <xdr:row>94</xdr:row>
      <xdr:rowOff>206817</xdr:rowOff>
    </xdr:from>
    <xdr:to>
      <xdr:col>7</xdr:col>
      <xdr:colOff>98533</xdr:colOff>
      <xdr:row>96</xdr:row>
      <xdr:rowOff>104841</xdr:rowOff>
    </xdr:to>
    <xdr:sp macro="" textlink="">
      <xdr:nvSpPr>
        <xdr:cNvPr id="89" name="正方形/長方形 88">
          <a:extLst>
            <a:ext uri="{FF2B5EF4-FFF2-40B4-BE49-F238E27FC236}">
              <a16:creationId xmlns:a16="http://schemas.microsoft.com/office/drawing/2014/main" id="{6C88C8D8-D80E-4D14-AE5D-946131266F63}"/>
            </a:ext>
          </a:extLst>
        </xdr:cNvPr>
        <xdr:cNvSpPr/>
      </xdr:nvSpPr>
      <xdr:spPr>
        <a:xfrm>
          <a:off x="1261494" y="22455903"/>
          <a:ext cx="768315" cy="37099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t</a:t>
          </a:r>
          <a:r>
            <a:rPr kumimoji="1" lang="en-US" altLang="ja-JP" sz="1200" baseline="-25000">
              <a:solidFill>
                <a:schemeClr val="tx1"/>
              </a:solidFill>
            </a:rPr>
            <a:t>0</a:t>
          </a:r>
          <a:r>
            <a:rPr kumimoji="1" lang="en-US" altLang="ja-JP" sz="1200" baseline="0">
              <a:solidFill>
                <a:schemeClr val="tx1"/>
              </a:solidFill>
            </a:rPr>
            <a:t> [sec]</a:t>
          </a:r>
          <a:endParaRPr kumimoji="1" lang="en-US" altLang="ja-JP" sz="1200">
            <a:solidFill>
              <a:schemeClr val="tx1"/>
            </a:solidFill>
          </a:endParaRPr>
        </a:p>
      </xdr:txBody>
    </xdr:sp>
    <xdr:clientData/>
  </xdr:twoCellAnchor>
  <xdr:twoCellAnchor>
    <xdr:from>
      <xdr:col>10</xdr:col>
      <xdr:colOff>185497</xdr:colOff>
      <xdr:row>94</xdr:row>
      <xdr:rowOff>208131</xdr:rowOff>
    </xdr:from>
    <xdr:to>
      <xdr:col>13</xdr:col>
      <xdr:colOff>126123</xdr:colOff>
      <xdr:row>96</xdr:row>
      <xdr:rowOff>106155</xdr:rowOff>
    </xdr:to>
    <xdr:sp macro="" textlink="">
      <xdr:nvSpPr>
        <xdr:cNvPr id="90" name="正方形/長方形 89">
          <a:extLst>
            <a:ext uri="{FF2B5EF4-FFF2-40B4-BE49-F238E27FC236}">
              <a16:creationId xmlns:a16="http://schemas.microsoft.com/office/drawing/2014/main" id="{A5B85F4C-5F64-4422-A19A-FCDA43E0A18A}"/>
            </a:ext>
          </a:extLst>
        </xdr:cNvPr>
        <xdr:cNvSpPr/>
      </xdr:nvSpPr>
      <xdr:spPr>
        <a:xfrm>
          <a:off x="2944463" y="22457217"/>
          <a:ext cx="768315" cy="37099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t</a:t>
          </a:r>
          <a:r>
            <a:rPr kumimoji="1" lang="en-US" altLang="ja-JP" sz="1200" baseline="-25000">
              <a:solidFill>
                <a:schemeClr val="tx1"/>
              </a:solidFill>
            </a:rPr>
            <a:t>1</a:t>
          </a:r>
          <a:r>
            <a:rPr kumimoji="1" lang="en-US" altLang="ja-JP" sz="1200" baseline="0">
              <a:solidFill>
                <a:schemeClr val="tx1"/>
              </a:solidFill>
            </a:rPr>
            <a:t> [sec]</a:t>
          </a:r>
          <a:endParaRPr kumimoji="1" lang="en-US" altLang="ja-JP" sz="1200">
            <a:solidFill>
              <a:schemeClr val="tx1"/>
            </a:solidFill>
          </a:endParaRPr>
        </a:p>
      </xdr:txBody>
    </xdr:sp>
    <xdr:clientData/>
  </xdr:twoCellAnchor>
  <xdr:twoCellAnchor>
    <xdr:from>
      <xdr:col>17</xdr:col>
      <xdr:colOff>173674</xdr:colOff>
      <xdr:row>94</xdr:row>
      <xdr:rowOff>209446</xdr:rowOff>
    </xdr:from>
    <xdr:to>
      <xdr:col>20</xdr:col>
      <xdr:colOff>114299</xdr:colOff>
      <xdr:row>96</xdr:row>
      <xdr:rowOff>107470</xdr:rowOff>
    </xdr:to>
    <xdr:sp macro="" textlink="">
      <xdr:nvSpPr>
        <xdr:cNvPr id="91" name="正方形/長方形 90">
          <a:extLst>
            <a:ext uri="{FF2B5EF4-FFF2-40B4-BE49-F238E27FC236}">
              <a16:creationId xmlns:a16="http://schemas.microsoft.com/office/drawing/2014/main" id="{6B57FCEB-F69E-4C71-8E88-15A83B379B44}"/>
            </a:ext>
          </a:extLst>
        </xdr:cNvPr>
        <xdr:cNvSpPr/>
      </xdr:nvSpPr>
      <xdr:spPr>
        <a:xfrm>
          <a:off x="4863915" y="22458532"/>
          <a:ext cx="768315" cy="37099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t</a:t>
          </a:r>
          <a:r>
            <a:rPr kumimoji="1" lang="en-US" altLang="ja-JP" sz="1200" baseline="-25000">
              <a:solidFill>
                <a:schemeClr val="tx1"/>
              </a:solidFill>
            </a:rPr>
            <a:t>2</a:t>
          </a:r>
          <a:r>
            <a:rPr kumimoji="1" lang="en-US" altLang="ja-JP" sz="1200" baseline="0">
              <a:solidFill>
                <a:schemeClr val="tx1"/>
              </a:solidFill>
            </a:rPr>
            <a:t> [sec]</a:t>
          </a:r>
          <a:endParaRPr kumimoji="1" lang="en-US" altLang="ja-JP" sz="1200">
            <a:solidFill>
              <a:schemeClr val="tx1"/>
            </a:solidFill>
          </a:endParaRPr>
        </a:p>
      </xdr:txBody>
    </xdr:sp>
    <xdr:clientData/>
  </xdr:twoCellAnchor>
  <xdr:twoCellAnchor>
    <xdr:from>
      <xdr:col>24</xdr:col>
      <xdr:colOff>155280</xdr:colOff>
      <xdr:row>94</xdr:row>
      <xdr:rowOff>204191</xdr:rowOff>
    </xdr:from>
    <xdr:to>
      <xdr:col>27</xdr:col>
      <xdr:colOff>95905</xdr:colOff>
      <xdr:row>96</xdr:row>
      <xdr:rowOff>102215</xdr:rowOff>
    </xdr:to>
    <xdr:sp macro="" textlink="">
      <xdr:nvSpPr>
        <xdr:cNvPr id="92" name="正方形/長方形 91">
          <a:extLst>
            <a:ext uri="{FF2B5EF4-FFF2-40B4-BE49-F238E27FC236}">
              <a16:creationId xmlns:a16="http://schemas.microsoft.com/office/drawing/2014/main" id="{C0CB8850-B1FF-4FA0-A085-DF921E880E83}"/>
            </a:ext>
          </a:extLst>
        </xdr:cNvPr>
        <xdr:cNvSpPr/>
      </xdr:nvSpPr>
      <xdr:spPr>
        <a:xfrm>
          <a:off x="6776797" y="22453277"/>
          <a:ext cx="768315" cy="37099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t</a:t>
          </a:r>
          <a:r>
            <a:rPr kumimoji="1" lang="en-US" altLang="ja-JP" sz="1200" baseline="-25000">
              <a:solidFill>
                <a:schemeClr val="tx1"/>
              </a:solidFill>
            </a:rPr>
            <a:t>n</a:t>
          </a:r>
          <a:r>
            <a:rPr kumimoji="1" lang="en-US" altLang="ja-JP" sz="1200" baseline="0">
              <a:solidFill>
                <a:schemeClr val="tx1"/>
              </a:solidFill>
            </a:rPr>
            <a:t> [sec]</a:t>
          </a:r>
          <a:endParaRPr kumimoji="1" lang="en-US" altLang="ja-JP" sz="1200">
            <a:solidFill>
              <a:schemeClr val="tx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619125</xdr:colOff>
      <xdr:row>3</xdr:row>
      <xdr:rowOff>159963</xdr:rowOff>
    </xdr:from>
    <xdr:to>
      <xdr:col>10</xdr:col>
      <xdr:colOff>198664</xdr:colOff>
      <xdr:row>25</xdr:row>
      <xdr:rowOff>7563</xdr:rowOff>
    </xdr:to>
    <xdr:pic>
      <xdr:nvPicPr>
        <xdr:cNvPr id="13" name="図 12">
          <a:extLst>
            <a:ext uri="{FF2B5EF4-FFF2-40B4-BE49-F238E27FC236}">
              <a16:creationId xmlns:a16="http://schemas.microsoft.com/office/drawing/2014/main" id="{86197006-9835-41E8-8380-73917A83383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9125" y="5160588"/>
          <a:ext cx="6437539" cy="5086350"/>
        </a:xfrm>
        <a:prstGeom prst="rect">
          <a:avLst/>
        </a:prstGeom>
      </xdr:spPr>
    </xdr:pic>
    <xdr:clientData/>
  </xdr:twoCellAnchor>
  <xdr:twoCellAnchor>
    <xdr:from>
      <xdr:col>1</xdr:col>
      <xdr:colOff>404812</xdr:colOff>
      <xdr:row>9</xdr:row>
      <xdr:rowOff>191260</xdr:rowOff>
    </xdr:from>
    <xdr:to>
      <xdr:col>3</xdr:col>
      <xdr:colOff>402090</xdr:colOff>
      <xdr:row>9</xdr:row>
      <xdr:rowOff>191260</xdr:rowOff>
    </xdr:to>
    <xdr:cxnSp macro="">
      <xdr:nvCxnSpPr>
        <xdr:cNvPr id="14" name="直線矢印コネクタ 13">
          <a:extLst>
            <a:ext uri="{FF2B5EF4-FFF2-40B4-BE49-F238E27FC236}">
              <a16:creationId xmlns:a16="http://schemas.microsoft.com/office/drawing/2014/main" id="{02CB7526-DD96-4E89-B912-5AF59409A17A}"/>
            </a:ext>
          </a:extLst>
        </xdr:cNvPr>
        <xdr:cNvCxnSpPr/>
      </xdr:nvCxnSpPr>
      <xdr:spPr>
        <a:xfrm>
          <a:off x="1090612" y="6620635"/>
          <a:ext cx="1368878" cy="0"/>
        </a:xfrm>
        <a:prstGeom prst="straightConnector1">
          <a:avLst/>
        </a:prstGeom>
        <a:ln w="31750">
          <a:solidFill>
            <a:srgbClr val="FFC000"/>
          </a:solidFill>
          <a:prstDash val="dash"/>
          <a:headEnd type="triangle" w="lg" len="med"/>
          <a:tailEnd type="triangle" w="lg"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406173</xdr:colOff>
      <xdr:row>9</xdr:row>
      <xdr:rowOff>189900</xdr:rowOff>
    </xdr:from>
    <xdr:to>
      <xdr:col>8</xdr:col>
      <xdr:colOff>198664</xdr:colOff>
      <xdr:row>9</xdr:row>
      <xdr:rowOff>189900</xdr:rowOff>
    </xdr:to>
    <xdr:cxnSp macro="">
      <xdr:nvCxnSpPr>
        <xdr:cNvPr id="15" name="直線矢印コネクタ 14">
          <a:extLst>
            <a:ext uri="{FF2B5EF4-FFF2-40B4-BE49-F238E27FC236}">
              <a16:creationId xmlns:a16="http://schemas.microsoft.com/office/drawing/2014/main" id="{DA74C19C-07D5-498A-BD6D-2119D8DE5E15}"/>
            </a:ext>
          </a:extLst>
        </xdr:cNvPr>
        <xdr:cNvCxnSpPr/>
      </xdr:nvCxnSpPr>
      <xdr:spPr>
        <a:xfrm>
          <a:off x="2463573" y="6619275"/>
          <a:ext cx="3221491" cy="0"/>
        </a:xfrm>
        <a:prstGeom prst="straightConnector1">
          <a:avLst/>
        </a:prstGeom>
        <a:ln w="31750">
          <a:solidFill>
            <a:srgbClr val="00B0F0"/>
          </a:solidFill>
          <a:prstDash val="dash"/>
          <a:headEnd type="triangle" w="lg" len="med"/>
          <a:tailEnd type="triangle" w="lg"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444273</xdr:colOff>
      <xdr:row>6</xdr:row>
      <xdr:rowOff>94649</xdr:rowOff>
    </xdr:from>
    <xdr:to>
      <xdr:col>3</xdr:col>
      <xdr:colOff>396647</xdr:colOff>
      <xdr:row>9</xdr:row>
      <xdr:rowOff>105535</xdr:rowOff>
    </xdr:to>
    <xdr:sp macro="" textlink="">
      <xdr:nvSpPr>
        <xdr:cNvPr id="16" name="正方形/長方形 15">
          <a:extLst>
            <a:ext uri="{FF2B5EF4-FFF2-40B4-BE49-F238E27FC236}">
              <a16:creationId xmlns:a16="http://schemas.microsoft.com/office/drawing/2014/main" id="{B2D6098F-AABF-4752-9BC8-900F5BFDE76D}"/>
            </a:ext>
          </a:extLst>
        </xdr:cNvPr>
        <xdr:cNvSpPr/>
      </xdr:nvSpPr>
      <xdr:spPr>
        <a:xfrm>
          <a:off x="1130073" y="5809649"/>
          <a:ext cx="1323974" cy="72526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solidFill>
                <a:srgbClr val="FFC000"/>
              </a:solidFill>
            </a:rPr>
            <a:t>デフォルト値</a:t>
          </a:r>
          <a:endParaRPr kumimoji="1" lang="en-US" altLang="ja-JP" sz="1400" b="1">
            <a:solidFill>
              <a:srgbClr val="FFC000"/>
            </a:solidFill>
          </a:endParaRPr>
        </a:p>
        <a:p>
          <a:pPr algn="ctr"/>
          <a:r>
            <a:rPr kumimoji="1" lang="en-US" altLang="ja-JP" sz="1400" b="1">
              <a:solidFill>
                <a:srgbClr val="FFC000"/>
              </a:solidFill>
            </a:rPr>
            <a:t>0x00</a:t>
          </a:r>
          <a:endParaRPr kumimoji="1" lang="ja-JP" altLang="en-US" sz="1400" b="1">
            <a:solidFill>
              <a:srgbClr val="FFC000"/>
            </a:solidFill>
          </a:endParaRPr>
        </a:p>
      </xdr:txBody>
    </xdr:sp>
    <xdr:clientData/>
  </xdr:twoCellAnchor>
  <xdr:twoCellAnchor>
    <xdr:from>
      <xdr:col>5</xdr:col>
      <xdr:colOff>55109</xdr:colOff>
      <xdr:row>6</xdr:row>
      <xdr:rowOff>100092</xdr:rowOff>
    </xdr:from>
    <xdr:to>
      <xdr:col>7</xdr:col>
      <xdr:colOff>7483</xdr:colOff>
      <xdr:row>9</xdr:row>
      <xdr:rowOff>110978</xdr:rowOff>
    </xdr:to>
    <xdr:sp macro="" textlink="">
      <xdr:nvSpPr>
        <xdr:cNvPr id="17" name="正方形/長方形 16">
          <a:extLst>
            <a:ext uri="{FF2B5EF4-FFF2-40B4-BE49-F238E27FC236}">
              <a16:creationId xmlns:a16="http://schemas.microsoft.com/office/drawing/2014/main" id="{C8188AE1-9654-4D04-8F58-5CF93B415F6B}"/>
            </a:ext>
          </a:extLst>
        </xdr:cNvPr>
        <xdr:cNvSpPr/>
      </xdr:nvSpPr>
      <xdr:spPr>
        <a:xfrm>
          <a:off x="3484109" y="5815092"/>
          <a:ext cx="1323974" cy="72526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solidFill>
                <a:srgbClr val="00B0F0"/>
              </a:solidFill>
            </a:rPr>
            <a:t>パターン</a:t>
          </a:r>
          <a:r>
            <a:rPr kumimoji="1" lang="en-US" altLang="ja-JP" sz="1400" b="1">
              <a:solidFill>
                <a:srgbClr val="00B0F0"/>
              </a:solidFill>
            </a:rPr>
            <a:t>1</a:t>
          </a:r>
        </a:p>
        <a:p>
          <a:pPr algn="ctr"/>
          <a:r>
            <a:rPr kumimoji="1" lang="en-US" altLang="ja-JP" sz="1400" b="1">
              <a:solidFill>
                <a:srgbClr val="00B0F0"/>
              </a:solidFill>
            </a:rPr>
            <a:t>0x01</a:t>
          </a:r>
          <a:endParaRPr kumimoji="1" lang="ja-JP" altLang="en-US" sz="1400" b="1">
            <a:solidFill>
              <a:srgbClr val="00B0F0"/>
            </a:solidFill>
          </a:endParaRPr>
        </a:p>
      </xdr:txBody>
    </xdr:sp>
    <xdr:clientData/>
  </xdr:twoCellAnchor>
  <xdr:twoCellAnchor editAs="oneCell">
    <xdr:from>
      <xdr:col>11</xdr:col>
      <xdr:colOff>590350</xdr:colOff>
      <xdr:row>3</xdr:row>
      <xdr:rowOff>119062</xdr:rowOff>
    </xdr:from>
    <xdr:to>
      <xdr:col>21</xdr:col>
      <xdr:colOff>192301</xdr:colOff>
      <xdr:row>25</xdr:row>
      <xdr:rowOff>25493</xdr:rowOff>
    </xdr:to>
    <xdr:pic>
      <xdr:nvPicPr>
        <xdr:cNvPr id="18" name="図 17">
          <a:extLst>
            <a:ext uri="{FF2B5EF4-FFF2-40B4-BE49-F238E27FC236}">
              <a16:creationId xmlns:a16="http://schemas.microsoft.com/office/drawing/2014/main" id="{1FC9D2FA-1F0F-45ED-A55D-F0A9EAD8CE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150" y="5119687"/>
          <a:ext cx="6459951" cy="5145181"/>
        </a:xfrm>
        <a:prstGeom prst="rect">
          <a:avLst/>
        </a:prstGeom>
      </xdr:spPr>
    </xdr:pic>
    <xdr:clientData/>
  </xdr:twoCellAnchor>
  <xdr:twoCellAnchor>
    <xdr:from>
      <xdr:col>12</xdr:col>
      <xdr:colOff>254454</xdr:colOff>
      <xdr:row>9</xdr:row>
      <xdr:rowOff>153160</xdr:rowOff>
    </xdr:from>
    <xdr:to>
      <xdr:col>14</xdr:col>
      <xdr:colOff>316104</xdr:colOff>
      <xdr:row>9</xdr:row>
      <xdr:rowOff>153160</xdr:rowOff>
    </xdr:to>
    <xdr:cxnSp macro="">
      <xdr:nvCxnSpPr>
        <xdr:cNvPr id="19" name="直線矢印コネクタ 18">
          <a:extLst>
            <a:ext uri="{FF2B5EF4-FFF2-40B4-BE49-F238E27FC236}">
              <a16:creationId xmlns:a16="http://schemas.microsoft.com/office/drawing/2014/main" id="{8C9E0368-9F4B-4712-AA2A-1E726E0DAAA8}"/>
            </a:ext>
          </a:extLst>
        </xdr:cNvPr>
        <xdr:cNvCxnSpPr/>
      </xdr:nvCxnSpPr>
      <xdr:spPr>
        <a:xfrm>
          <a:off x="8484054" y="6582535"/>
          <a:ext cx="1433250" cy="0"/>
        </a:xfrm>
        <a:prstGeom prst="straightConnector1">
          <a:avLst/>
        </a:prstGeom>
        <a:ln w="31750">
          <a:solidFill>
            <a:srgbClr val="00B0F0"/>
          </a:solidFill>
          <a:prstDash val="dash"/>
          <a:headEnd type="triangle" w="lg" len="med"/>
          <a:tailEnd type="triangle" w="lg"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293915</xdr:colOff>
      <xdr:row>6</xdr:row>
      <xdr:rowOff>53748</xdr:rowOff>
    </xdr:from>
    <xdr:to>
      <xdr:col>14</xdr:col>
      <xdr:colOff>246290</xdr:colOff>
      <xdr:row>9</xdr:row>
      <xdr:rowOff>67435</xdr:rowOff>
    </xdr:to>
    <xdr:sp macro="" textlink="">
      <xdr:nvSpPr>
        <xdr:cNvPr id="20" name="正方形/長方形 19">
          <a:extLst>
            <a:ext uri="{FF2B5EF4-FFF2-40B4-BE49-F238E27FC236}">
              <a16:creationId xmlns:a16="http://schemas.microsoft.com/office/drawing/2014/main" id="{67A90360-F3BD-40C6-89E3-461D312C5B93}"/>
            </a:ext>
          </a:extLst>
        </xdr:cNvPr>
        <xdr:cNvSpPr/>
      </xdr:nvSpPr>
      <xdr:spPr>
        <a:xfrm>
          <a:off x="8523515" y="5768748"/>
          <a:ext cx="1323975" cy="7280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solidFill>
                <a:srgbClr val="00B0F0"/>
              </a:solidFill>
            </a:rPr>
            <a:t>パターン</a:t>
          </a:r>
          <a:r>
            <a:rPr kumimoji="1" lang="en-US" altLang="ja-JP" sz="1400" b="1">
              <a:solidFill>
                <a:srgbClr val="00B0F0"/>
              </a:solidFill>
            </a:rPr>
            <a:t>1</a:t>
          </a:r>
        </a:p>
        <a:p>
          <a:pPr algn="ctr"/>
          <a:r>
            <a:rPr kumimoji="1" lang="en-US" altLang="ja-JP" sz="1400" b="1">
              <a:solidFill>
                <a:srgbClr val="00B0F0"/>
              </a:solidFill>
            </a:rPr>
            <a:t>0x01</a:t>
          </a:r>
        </a:p>
      </xdr:txBody>
    </xdr:sp>
    <xdr:clientData/>
  </xdr:twoCellAnchor>
  <xdr:twoCellAnchor>
    <xdr:from>
      <xdr:col>14</xdr:col>
      <xdr:colOff>313173</xdr:colOff>
      <xdr:row>9</xdr:row>
      <xdr:rowOff>159017</xdr:rowOff>
    </xdr:from>
    <xdr:to>
      <xdr:col>15</xdr:col>
      <xdr:colOff>408475</xdr:colOff>
      <xdr:row>9</xdr:row>
      <xdr:rowOff>159017</xdr:rowOff>
    </xdr:to>
    <xdr:cxnSp macro="">
      <xdr:nvCxnSpPr>
        <xdr:cNvPr id="21" name="直線矢印コネクタ 20">
          <a:extLst>
            <a:ext uri="{FF2B5EF4-FFF2-40B4-BE49-F238E27FC236}">
              <a16:creationId xmlns:a16="http://schemas.microsoft.com/office/drawing/2014/main" id="{91D2EABF-A9A2-4534-9C3E-54692BCE7232}"/>
            </a:ext>
          </a:extLst>
        </xdr:cNvPr>
        <xdr:cNvCxnSpPr/>
      </xdr:nvCxnSpPr>
      <xdr:spPr>
        <a:xfrm>
          <a:off x="9914373" y="6588392"/>
          <a:ext cx="781102" cy="0"/>
        </a:xfrm>
        <a:prstGeom prst="straightConnector1">
          <a:avLst/>
        </a:prstGeom>
        <a:ln w="31750">
          <a:solidFill>
            <a:srgbClr val="00B0F0"/>
          </a:solidFill>
          <a:prstDash val="dash"/>
          <a:headEnd type="triangle" w="lg" len="med"/>
          <a:tailEnd type="triangle" w="lg"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47835</xdr:colOff>
      <xdr:row>6</xdr:row>
      <xdr:rowOff>57411</xdr:rowOff>
    </xdr:from>
    <xdr:to>
      <xdr:col>16</xdr:col>
      <xdr:colOff>211</xdr:colOff>
      <xdr:row>9</xdr:row>
      <xdr:rowOff>71098</xdr:rowOff>
    </xdr:to>
    <xdr:sp macro="" textlink="">
      <xdr:nvSpPr>
        <xdr:cNvPr id="22" name="正方形/長方形 21">
          <a:extLst>
            <a:ext uri="{FF2B5EF4-FFF2-40B4-BE49-F238E27FC236}">
              <a16:creationId xmlns:a16="http://schemas.microsoft.com/office/drawing/2014/main" id="{3EBB291A-0953-4B6B-B769-837FA659F0F9}"/>
            </a:ext>
          </a:extLst>
        </xdr:cNvPr>
        <xdr:cNvSpPr/>
      </xdr:nvSpPr>
      <xdr:spPr>
        <a:xfrm>
          <a:off x="9649035" y="5772411"/>
          <a:ext cx="1323976" cy="7280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solidFill>
                <a:srgbClr val="00B0F0"/>
              </a:solidFill>
            </a:rPr>
            <a:t>パターン</a:t>
          </a:r>
          <a:r>
            <a:rPr kumimoji="1" lang="en-US" altLang="ja-JP" sz="1400" b="1">
              <a:solidFill>
                <a:srgbClr val="00B0F0"/>
              </a:solidFill>
            </a:rPr>
            <a:t>1</a:t>
          </a:r>
        </a:p>
        <a:p>
          <a:pPr algn="ctr"/>
          <a:r>
            <a:rPr kumimoji="1" lang="en-US" altLang="ja-JP" sz="1400" b="1">
              <a:solidFill>
                <a:srgbClr val="00B0F0"/>
              </a:solidFill>
            </a:rPr>
            <a:t>0x02</a:t>
          </a:r>
        </a:p>
      </xdr:txBody>
    </xdr:sp>
    <xdr:clientData/>
  </xdr:twoCellAnchor>
  <xdr:twoCellAnchor>
    <xdr:from>
      <xdr:col>15</xdr:col>
      <xdr:colOff>408475</xdr:colOff>
      <xdr:row>9</xdr:row>
      <xdr:rowOff>165616</xdr:rowOff>
    </xdr:from>
    <xdr:to>
      <xdr:col>19</xdr:col>
      <xdr:colOff>191808</xdr:colOff>
      <xdr:row>9</xdr:row>
      <xdr:rowOff>165616</xdr:rowOff>
    </xdr:to>
    <xdr:cxnSp macro="">
      <xdr:nvCxnSpPr>
        <xdr:cNvPr id="23" name="直線矢印コネクタ 22">
          <a:extLst>
            <a:ext uri="{FF2B5EF4-FFF2-40B4-BE49-F238E27FC236}">
              <a16:creationId xmlns:a16="http://schemas.microsoft.com/office/drawing/2014/main" id="{EE9A0029-001A-406F-A647-C61C0248E084}"/>
            </a:ext>
          </a:extLst>
        </xdr:cNvPr>
        <xdr:cNvCxnSpPr/>
      </xdr:nvCxnSpPr>
      <xdr:spPr>
        <a:xfrm>
          <a:off x="10695475" y="6594991"/>
          <a:ext cx="2526533" cy="0"/>
        </a:xfrm>
        <a:prstGeom prst="straightConnector1">
          <a:avLst/>
        </a:prstGeom>
        <a:ln w="31750">
          <a:solidFill>
            <a:srgbClr val="FFC000"/>
          </a:solidFill>
          <a:prstDash val="dash"/>
          <a:headEnd type="triangle" w="lg" len="med"/>
          <a:tailEnd type="triangle" w="lg"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420147</xdr:colOff>
      <xdr:row>6</xdr:row>
      <xdr:rowOff>47024</xdr:rowOff>
    </xdr:from>
    <xdr:to>
      <xdr:col>18</xdr:col>
      <xdr:colOff>372521</xdr:colOff>
      <xdr:row>9</xdr:row>
      <xdr:rowOff>57910</xdr:rowOff>
    </xdr:to>
    <xdr:sp macro="" textlink="">
      <xdr:nvSpPr>
        <xdr:cNvPr id="24" name="正方形/長方形 23">
          <a:extLst>
            <a:ext uri="{FF2B5EF4-FFF2-40B4-BE49-F238E27FC236}">
              <a16:creationId xmlns:a16="http://schemas.microsoft.com/office/drawing/2014/main" id="{EBFBC5FC-A796-4BBA-9075-659A44FC4D0A}"/>
            </a:ext>
          </a:extLst>
        </xdr:cNvPr>
        <xdr:cNvSpPr/>
      </xdr:nvSpPr>
      <xdr:spPr>
        <a:xfrm>
          <a:off x="11392947" y="5762024"/>
          <a:ext cx="1323974" cy="72526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solidFill>
                <a:srgbClr val="FFC000"/>
              </a:solidFill>
            </a:rPr>
            <a:t>デフォルト値</a:t>
          </a:r>
          <a:endParaRPr kumimoji="1" lang="en-US" altLang="ja-JP" sz="1400" b="1">
            <a:solidFill>
              <a:srgbClr val="FFC000"/>
            </a:solidFill>
          </a:endParaRPr>
        </a:p>
        <a:p>
          <a:pPr algn="ctr"/>
          <a:r>
            <a:rPr kumimoji="1" lang="en-US" altLang="ja-JP" sz="1400" b="1">
              <a:solidFill>
                <a:srgbClr val="FFC000"/>
              </a:solidFill>
            </a:rPr>
            <a:t>0x00</a:t>
          </a:r>
          <a:endParaRPr kumimoji="1" lang="ja-JP" altLang="en-US" sz="1400" b="1">
            <a:solidFill>
              <a:srgbClr val="FFC000"/>
            </a:solidFill>
          </a:endParaRPr>
        </a:p>
      </xdr:txBody>
    </xdr:sp>
    <xdr:clientData/>
  </xdr:twoCellAnchor>
  <xdr:twoCellAnchor editAs="oneCell">
    <xdr:from>
      <xdr:col>0</xdr:col>
      <xdr:colOff>666050</xdr:colOff>
      <xdr:row>26</xdr:row>
      <xdr:rowOff>131268</xdr:rowOff>
    </xdr:from>
    <xdr:to>
      <xdr:col>10</xdr:col>
      <xdr:colOff>429812</xdr:colOff>
      <xdr:row>47</xdr:row>
      <xdr:rowOff>232250</xdr:rowOff>
    </xdr:to>
    <xdr:pic>
      <xdr:nvPicPr>
        <xdr:cNvPr id="25" name="図 24">
          <a:extLst>
            <a:ext uri="{FF2B5EF4-FFF2-40B4-BE49-F238E27FC236}">
              <a16:creationId xmlns:a16="http://schemas.microsoft.com/office/drawing/2014/main" id="{41B9B0DF-39A5-4842-B857-471D7DC1AA4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66050" y="10668639"/>
          <a:ext cx="6621762" cy="5130182"/>
        </a:xfrm>
        <a:prstGeom prst="rect">
          <a:avLst/>
        </a:prstGeom>
      </xdr:spPr>
    </xdr:pic>
    <xdr:clientData/>
  </xdr:twoCellAnchor>
  <xdr:twoCellAnchor>
    <xdr:from>
      <xdr:col>1</xdr:col>
      <xdr:colOff>463794</xdr:colOff>
      <xdr:row>32</xdr:row>
      <xdr:rowOff>232251</xdr:rowOff>
    </xdr:from>
    <xdr:to>
      <xdr:col>3</xdr:col>
      <xdr:colOff>525443</xdr:colOff>
      <xdr:row>32</xdr:row>
      <xdr:rowOff>232251</xdr:rowOff>
    </xdr:to>
    <xdr:cxnSp macro="">
      <xdr:nvCxnSpPr>
        <xdr:cNvPr id="26" name="直線矢印コネクタ 25">
          <a:extLst>
            <a:ext uri="{FF2B5EF4-FFF2-40B4-BE49-F238E27FC236}">
              <a16:creationId xmlns:a16="http://schemas.microsoft.com/office/drawing/2014/main" id="{74FE30C7-3208-4580-B8C5-357F43536322}"/>
            </a:ext>
          </a:extLst>
        </xdr:cNvPr>
        <xdr:cNvCxnSpPr/>
      </xdr:nvCxnSpPr>
      <xdr:spPr>
        <a:xfrm>
          <a:off x="1149594" y="12138501"/>
          <a:ext cx="1433249" cy="0"/>
        </a:xfrm>
        <a:prstGeom prst="straightConnector1">
          <a:avLst/>
        </a:prstGeom>
        <a:ln w="31750">
          <a:solidFill>
            <a:srgbClr val="00B0F0"/>
          </a:solidFill>
          <a:prstDash val="dash"/>
          <a:headEnd type="triangle" w="lg" len="med"/>
          <a:tailEnd type="triangle" w="lg"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503255</xdr:colOff>
      <xdr:row>29</xdr:row>
      <xdr:rowOff>132839</xdr:rowOff>
    </xdr:from>
    <xdr:to>
      <xdr:col>3</xdr:col>
      <xdr:colOff>455629</xdr:colOff>
      <xdr:row>32</xdr:row>
      <xdr:rowOff>146526</xdr:rowOff>
    </xdr:to>
    <xdr:sp macro="" textlink="">
      <xdr:nvSpPr>
        <xdr:cNvPr id="27" name="正方形/長方形 26">
          <a:extLst>
            <a:ext uri="{FF2B5EF4-FFF2-40B4-BE49-F238E27FC236}">
              <a16:creationId xmlns:a16="http://schemas.microsoft.com/office/drawing/2014/main" id="{77F7BADE-9D6B-441D-AE8C-9D1F1724219C}"/>
            </a:ext>
          </a:extLst>
        </xdr:cNvPr>
        <xdr:cNvSpPr/>
      </xdr:nvSpPr>
      <xdr:spPr>
        <a:xfrm>
          <a:off x="1189055" y="11324714"/>
          <a:ext cx="1323974" cy="7280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solidFill>
                <a:srgbClr val="00B0F0"/>
              </a:solidFill>
            </a:rPr>
            <a:t>パターン</a:t>
          </a:r>
          <a:r>
            <a:rPr kumimoji="1" lang="en-US" altLang="ja-JP" sz="1400" b="1">
              <a:solidFill>
                <a:srgbClr val="00B0F0"/>
              </a:solidFill>
            </a:rPr>
            <a:t>1</a:t>
          </a:r>
        </a:p>
        <a:p>
          <a:pPr algn="ctr"/>
          <a:r>
            <a:rPr kumimoji="1" lang="en-US" altLang="ja-JP" sz="1400" b="1">
              <a:solidFill>
                <a:srgbClr val="00B0F0"/>
              </a:solidFill>
            </a:rPr>
            <a:t>0x01</a:t>
          </a:r>
        </a:p>
      </xdr:txBody>
    </xdr:sp>
    <xdr:clientData/>
  </xdr:twoCellAnchor>
  <xdr:twoCellAnchor>
    <xdr:from>
      <xdr:col>3</xdr:col>
      <xdr:colOff>529474</xdr:colOff>
      <xdr:row>33</xdr:row>
      <xdr:rowOff>1914</xdr:rowOff>
    </xdr:from>
    <xdr:to>
      <xdr:col>4</xdr:col>
      <xdr:colOff>578304</xdr:colOff>
      <xdr:row>33</xdr:row>
      <xdr:rowOff>1914</xdr:rowOff>
    </xdr:to>
    <xdr:cxnSp macro="">
      <xdr:nvCxnSpPr>
        <xdr:cNvPr id="28" name="直線矢印コネクタ 27">
          <a:extLst>
            <a:ext uri="{FF2B5EF4-FFF2-40B4-BE49-F238E27FC236}">
              <a16:creationId xmlns:a16="http://schemas.microsoft.com/office/drawing/2014/main" id="{7841A563-B89D-4E78-BA45-91BE00DC3C68}"/>
            </a:ext>
          </a:extLst>
        </xdr:cNvPr>
        <xdr:cNvCxnSpPr/>
      </xdr:nvCxnSpPr>
      <xdr:spPr>
        <a:xfrm>
          <a:off x="2586874" y="12146289"/>
          <a:ext cx="734630" cy="0"/>
        </a:xfrm>
        <a:prstGeom prst="straightConnector1">
          <a:avLst/>
        </a:prstGeom>
        <a:ln w="31750">
          <a:solidFill>
            <a:srgbClr val="FFC000"/>
          </a:solidFill>
          <a:prstDash val="dash"/>
          <a:headEnd type="triangle" w="lg" len="med"/>
          <a:tailEnd type="triangle" w="lg"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299355</xdr:colOff>
      <xdr:row>29</xdr:row>
      <xdr:rowOff>136098</xdr:rowOff>
    </xdr:from>
    <xdr:to>
      <xdr:col>6</xdr:col>
      <xdr:colOff>251728</xdr:colOff>
      <xdr:row>31</xdr:row>
      <xdr:rowOff>187805</xdr:rowOff>
    </xdr:to>
    <xdr:sp macro="" textlink="">
      <xdr:nvSpPr>
        <xdr:cNvPr id="29" name="正方形/長方形 28">
          <a:extLst>
            <a:ext uri="{FF2B5EF4-FFF2-40B4-BE49-F238E27FC236}">
              <a16:creationId xmlns:a16="http://schemas.microsoft.com/office/drawing/2014/main" id="{39C736D3-52D0-4D34-B24F-88F56AE9D9F8}"/>
            </a:ext>
          </a:extLst>
        </xdr:cNvPr>
        <xdr:cNvSpPr/>
      </xdr:nvSpPr>
      <xdr:spPr>
        <a:xfrm>
          <a:off x="3042555" y="11327973"/>
          <a:ext cx="1323973" cy="52795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solidFill>
                <a:srgbClr val="FFC000"/>
              </a:solidFill>
            </a:rPr>
            <a:t>パターン</a:t>
          </a:r>
          <a:r>
            <a:rPr kumimoji="1" lang="en-US" altLang="ja-JP" sz="1400" b="1">
              <a:solidFill>
                <a:srgbClr val="FFC000"/>
              </a:solidFill>
            </a:rPr>
            <a:t>2</a:t>
          </a:r>
        </a:p>
      </xdr:txBody>
    </xdr:sp>
    <xdr:clientData/>
  </xdr:twoCellAnchor>
  <xdr:twoCellAnchor>
    <xdr:from>
      <xdr:col>4</xdr:col>
      <xdr:colOff>583747</xdr:colOff>
      <xdr:row>33</xdr:row>
      <xdr:rowOff>7776</xdr:rowOff>
    </xdr:from>
    <xdr:to>
      <xdr:col>5</xdr:col>
      <xdr:colOff>632575</xdr:colOff>
      <xdr:row>33</xdr:row>
      <xdr:rowOff>7776</xdr:rowOff>
    </xdr:to>
    <xdr:cxnSp macro="">
      <xdr:nvCxnSpPr>
        <xdr:cNvPr id="30" name="直線矢印コネクタ 29">
          <a:extLst>
            <a:ext uri="{FF2B5EF4-FFF2-40B4-BE49-F238E27FC236}">
              <a16:creationId xmlns:a16="http://schemas.microsoft.com/office/drawing/2014/main" id="{469F87F3-48A8-4CB9-B1AB-0356D3161C21}"/>
            </a:ext>
          </a:extLst>
        </xdr:cNvPr>
        <xdr:cNvCxnSpPr/>
      </xdr:nvCxnSpPr>
      <xdr:spPr>
        <a:xfrm>
          <a:off x="3326947" y="12152151"/>
          <a:ext cx="734628" cy="0"/>
        </a:xfrm>
        <a:prstGeom prst="straightConnector1">
          <a:avLst/>
        </a:prstGeom>
        <a:ln w="31750">
          <a:solidFill>
            <a:srgbClr val="FFC000"/>
          </a:solidFill>
          <a:prstDash val="dash"/>
          <a:headEnd type="triangle" w="lg" len="med"/>
          <a:tailEnd type="triangle" w="lg"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622317</xdr:colOff>
      <xdr:row>33</xdr:row>
      <xdr:rowOff>6310</xdr:rowOff>
    </xdr:from>
    <xdr:to>
      <xdr:col>7</xdr:col>
      <xdr:colOff>6542</xdr:colOff>
      <xdr:row>33</xdr:row>
      <xdr:rowOff>6310</xdr:rowOff>
    </xdr:to>
    <xdr:cxnSp macro="">
      <xdr:nvCxnSpPr>
        <xdr:cNvPr id="31" name="直線矢印コネクタ 30">
          <a:extLst>
            <a:ext uri="{FF2B5EF4-FFF2-40B4-BE49-F238E27FC236}">
              <a16:creationId xmlns:a16="http://schemas.microsoft.com/office/drawing/2014/main" id="{0094D074-A236-4667-A410-C2F514AE4728}"/>
            </a:ext>
          </a:extLst>
        </xdr:cNvPr>
        <xdr:cNvCxnSpPr/>
      </xdr:nvCxnSpPr>
      <xdr:spPr>
        <a:xfrm>
          <a:off x="4051317" y="12150685"/>
          <a:ext cx="755825" cy="0"/>
        </a:xfrm>
        <a:prstGeom prst="straightConnector1">
          <a:avLst/>
        </a:prstGeom>
        <a:ln w="31750">
          <a:solidFill>
            <a:srgbClr val="FFC000"/>
          </a:solidFill>
          <a:prstDash val="dash"/>
          <a:headEnd type="triangle" w="lg" len="med"/>
          <a:tailEnd type="triangle" w="lg"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644086</xdr:colOff>
      <xdr:row>30</xdr:row>
      <xdr:rowOff>229361</xdr:rowOff>
    </xdr:from>
    <xdr:to>
      <xdr:col>4</xdr:col>
      <xdr:colOff>535389</xdr:colOff>
      <xdr:row>32</xdr:row>
      <xdr:rowOff>96220</xdr:rowOff>
    </xdr:to>
    <xdr:sp macro="" textlink="">
      <xdr:nvSpPr>
        <xdr:cNvPr id="32" name="正方形/長方形 31">
          <a:extLst>
            <a:ext uri="{FF2B5EF4-FFF2-40B4-BE49-F238E27FC236}">
              <a16:creationId xmlns:a16="http://schemas.microsoft.com/office/drawing/2014/main" id="{BFAF77C3-8ACB-4732-930D-F08E77097B73}"/>
            </a:ext>
          </a:extLst>
        </xdr:cNvPr>
        <xdr:cNvSpPr/>
      </xdr:nvSpPr>
      <xdr:spPr>
        <a:xfrm>
          <a:off x="2701486" y="11659361"/>
          <a:ext cx="577103" cy="34310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rgbClr val="FFC000"/>
              </a:solidFill>
            </a:rPr>
            <a:t>0x03</a:t>
          </a:r>
        </a:p>
      </xdr:txBody>
    </xdr:sp>
    <xdr:clientData/>
  </xdr:twoCellAnchor>
  <xdr:twoCellAnchor>
    <xdr:from>
      <xdr:col>5</xdr:col>
      <xdr:colOff>468</xdr:colOff>
      <xdr:row>30</xdr:row>
      <xdr:rowOff>220567</xdr:rowOff>
    </xdr:from>
    <xdr:to>
      <xdr:col>5</xdr:col>
      <xdr:colOff>573959</xdr:colOff>
      <xdr:row>32</xdr:row>
      <xdr:rowOff>87426</xdr:rowOff>
    </xdr:to>
    <xdr:sp macro="" textlink="">
      <xdr:nvSpPr>
        <xdr:cNvPr id="33" name="正方形/長方形 32">
          <a:extLst>
            <a:ext uri="{FF2B5EF4-FFF2-40B4-BE49-F238E27FC236}">
              <a16:creationId xmlns:a16="http://schemas.microsoft.com/office/drawing/2014/main" id="{42441C65-4BCA-42C1-94AF-FA18483A4737}"/>
            </a:ext>
          </a:extLst>
        </xdr:cNvPr>
        <xdr:cNvSpPr/>
      </xdr:nvSpPr>
      <xdr:spPr>
        <a:xfrm>
          <a:off x="3429468" y="11650567"/>
          <a:ext cx="573491" cy="34310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rgbClr val="FFC000"/>
              </a:solidFill>
            </a:rPr>
            <a:t>0x02</a:t>
          </a:r>
        </a:p>
      </xdr:txBody>
    </xdr:sp>
    <xdr:clientData/>
  </xdr:twoCellAnchor>
  <xdr:twoCellAnchor>
    <xdr:from>
      <xdr:col>6</xdr:col>
      <xdr:colOff>40086</xdr:colOff>
      <xdr:row>30</xdr:row>
      <xdr:rowOff>226429</xdr:rowOff>
    </xdr:from>
    <xdr:to>
      <xdr:col>6</xdr:col>
      <xdr:colOff>613578</xdr:colOff>
      <xdr:row>32</xdr:row>
      <xdr:rowOff>93288</xdr:rowOff>
    </xdr:to>
    <xdr:sp macro="" textlink="">
      <xdr:nvSpPr>
        <xdr:cNvPr id="34" name="正方形/長方形 33">
          <a:extLst>
            <a:ext uri="{FF2B5EF4-FFF2-40B4-BE49-F238E27FC236}">
              <a16:creationId xmlns:a16="http://schemas.microsoft.com/office/drawing/2014/main" id="{EEC4D61A-DE3B-48AE-88A4-A18624D704D2}"/>
            </a:ext>
          </a:extLst>
        </xdr:cNvPr>
        <xdr:cNvSpPr/>
      </xdr:nvSpPr>
      <xdr:spPr>
        <a:xfrm>
          <a:off x="4154886" y="11656429"/>
          <a:ext cx="573492" cy="34310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rgbClr val="FFC000"/>
              </a:solidFill>
            </a:rPr>
            <a:t>0x01</a:t>
          </a:r>
        </a:p>
      </xdr:txBody>
    </xdr:sp>
    <xdr:clientData/>
  </xdr:twoCellAnchor>
  <xdr:twoCellAnchor>
    <xdr:from>
      <xdr:col>7</xdr:col>
      <xdr:colOff>2787</xdr:colOff>
      <xdr:row>33</xdr:row>
      <xdr:rowOff>8780</xdr:rowOff>
    </xdr:from>
    <xdr:to>
      <xdr:col>8</xdr:col>
      <xdr:colOff>362683</xdr:colOff>
      <xdr:row>33</xdr:row>
      <xdr:rowOff>8780</xdr:rowOff>
    </xdr:to>
    <xdr:cxnSp macro="">
      <xdr:nvCxnSpPr>
        <xdr:cNvPr id="35" name="直線矢印コネクタ 34">
          <a:extLst>
            <a:ext uri="{FF2B5EF4-FFF2-40B4-BE49-F238E27FC236}">
              <a16:creationId xmlns:a16="http://schemas.microsoft.com/office/drawing/2014/main" id="{E10DF986-039C-464A-A0A5-A4174CBC7106}"/>
            </a:ext>
          </a:extLst>
        </xdr:cNvPr>
        <xdr:cNvCxnSpPr/>
      </xdr:nvCxnSpPr>
      <xdr:spPr>
        <a:xfrm>
          <a:off x="4803387" y="12153155"/>
          <a:ext cx="1045696" cy="0"/>
        </a:xfrm>
        <a:prstGeom prst="straightConnector1">
          <a:avLst/>
        </a:prstGeom>
        <a:ln w="31750">
          <a:solidFill>
            <a:srgbClr val="00B0F0"/>
          </a:solidFill>
          <a:prstDash val="dash"/>
          <a:headEnd type="triangle" w="lg" len="med"/>
          <a:tailEnd type="triangle" w="lg"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521376</xdr:colOff>
      <xdr:row>29</xdr:row>
      <xdr:rowOff>154820</xdr:rowOff>
    </xdr:from>
    <xdr:to>
      <xdr:col>8</xdr:col>
      <xdr:colOff>473750</xdr:colOff>
      <xdr:row>32</xdr:row>
      <xdr:rowOff>168507</xdr:rowOff>
    </xdr:to>
    <xdr:sp macro="" textlink="">
      <xdr:nvSpPr>
        <xdr:cNvPr id="36" name="正方形/長方形 35">
          <a:extLst>
            <a:ext uri="{FF2B5EF4-FFF2-40B4-BE49-F238E27FC236}">
              <a16:creationId xmlns:a16="http://schemas.microsoft.com/office/drawing/2014/main" id="{FC8BAD7B-7B02-4130-AF94-43794A5AA575}"/>
            </a:ext>
          </a:extLst>
        </xdr:cNvPr>
        <xdr:cNvSpPr/>
      </xdr:nvSpPr>
      <xdr:spPr>
        <a:xfrm>
          <a:off x="4636176" y="11346695"/>
          <a:ext cx="1323974" cy="7280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solidFill>
                <a:srgbClr val="00B0F0"/>
              </a:solidFill>
            </a:rPr>
            <a:t>デフォルト値</a:t>
          </a:r>
          <a:endParaRPr kumimoji="1" lang="en-US" altLang="ja-JP" sz="1400" b="1">
            <a:solidFill>
              <a:srgbClr val="00B0F0"/>
            </a:solidFill>
          </a:endParaRPr>
        </a:p>
        <a:p>
          <a:pPr algn="ctr"/>
          <a:r>
            <a:rPr kumimoji="1" lang="en-US" altLang="ja-JP" sz="1400" b="1">
              <a:solidFill>
                <a:srgbClr val="00B0F0"/>
              </a:solidFill>
            </a:rPr>
            <a:t>0x00</a:t>
          </a:r>
        </a:p>
      </xdr:txBody>
    </xdr:sp>
    <xdr:clientData/>
  </xdr:twoCellAnchor>
  <xdr:twoCellAnchor editAs="oneCell">
    <xdr:from>
      <xdr:col>11</xdr:col>
      <xdr:colOff>602116</xdr:colOff>
      <xdr:row>26</xdr:row>
      <xdr:rowOff>128667</xdr:rowOff>
    </xdr:from>
    <xdr:to>
      <xdr:col>21</xdr:col>
      <xdr:colOff>306841</xdr:colOff>
      <xdr:row>47</xdr:row>
      <xdr:rowOff>71517</xdr:rowOff>
    </xdr:to>
    <xdr:pic>
      <xdr:nvPicPr>
        <xdr:cNvPr id="37" name="図 36">
          <a:extLst>
            <a:ext uri="{FF2B5EF4-FFF2-40B4-BE49-F238E27FC236}">
              <a16:creationId xmlns:a16="http://schemas.microsoft.com/office/drawing/2014/main" id="{B5979A11-8D4D-41E4-908A-8B8FD4DC993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8145916" y="10606167"/>
          <a:ext cx="6562725" cy="4943475"/>
        </a:xfrm>
        <a:prstGeom prst="rect">
          <a:avLst/>
        </a:prstGeom>
      </xdr:spPr>
    </xdr:pic>
    <xdr:clientData/>
  </xdr:twoCellAnchor>
  <xdr:twoCellAnchor>
    <xdr:from>
      <xdr:col>12</xdr:col>
      <xdr:colOff>462348</xdr:colOff>
      <xdr:row>43</xdr:row>
      <xdr:rowOff>124665</xdr:rowOff>
    </xdr:from>
    <xdr:to>
      <xdr:col>14</xdr:col>
      <xdr:colOff>476250</xdr:colOff>
      <xdr:row>43</xdr:row>
      <xdr:rowOff>124665</xdr:rowOff>
    </xdr:to>
    <xdr:cxnSp macro="">
      <xdr:nvCxnSpPr>
        <xdr:cNvPr id="38" name="直線矢印コネクタ 37">
          <a:extLst>
            <a:ext uri="{FF2B5EF4-FFF2-40B4-BE49-F238E27FC236}">
              <a16:creationId xmlns:a16="http://schemas.microsoft.com/office/drawing/2014/main" id="{176DCEE8-69BA-4B0A-9F2E-B10DA9A44063}"/>
            </a:ext>
          </a:extLst>
        </xdr:cNvPr>
        <xdr:cNvCxnSpPr/>
      </xdr:nvCxnSpPr>
      <xdr:spPr>
        <a:xfrm>
          <a:off x="8691948" y="14650290"/>
          <a:ext cx="1385502" cy="0"/>
        </a:xfrm>
        <a:prstGeom prst="straightConnector1">
          <a:avLst/>
        </a:prstGeom>
        <a:ln w="31750">
          <a:solidFill>
            <a:srgbClr val="00B0F0"/>
          </a:solidFill>
          <a:prstDash val="dash"/>
          <a:headEnd type="triangle" w="lg" len="med"/>
          <a:tailEnd type="triangle" w="lg"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493763</xdr:colOff>
      <xdr:row>40</xdr:row>
      <xdr:rowOff>124644</xdr:rowOff>
    </xdr:from>
    <xdr:to>
      <xdr:col>14</xdr:col>
      <xdr:colOff>439037</xdr:colOff>
      <xdr:row>43</xdr:row>
      <xdr:rowOff>138331</xdr:rowOff>
    </xdr:to>
    <xdr:sp macro="" textlink="">
      <xdr:nvSpPr>
        <xdr:cNvPr id="39" name="正方形/長方形 38">
          <a:extLst>
            <a:ext uri="{FF2B5EF4-FFF2-40B4-BE49-F238E27FC236}">
              <a16:creationId xmlns:a16="http://schemas.microsoft.com/office/drawing/2014/main" id="{C3119A1E-7FFD-49C9-9C1D-9558BD2BD5B0}"/>
            </a:ext>
          </a:extLst>
        </xdr:cNvPr>
        <xdr:cNvSpPr/>
      </xdr:nvSpPr>
      <xdr:spPr>
        <a:xfrm>
          <a:off x="8723363" y="13935894"/>
          <a:ext cx="1316874" cy="7280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solidFill>
                <a:srgbClr val="00B0F0"/>
              </a:solidFill>
            </a:rPr>
            <a:t>パターン</a:t>
          </a:r>
          <a:r>
            <a:rPr kumimoji="1" lang="en-US" altLang="ja-JP" sz="1400" b="1">
              <a:solidFill>
                <a:srgbClr val="00B0F0"/>
              </a:solidFill>
            </a:rPr>
            <a:t>1</a:t>
          </a:r>
        </a:p>
        <a:p>
          <a:pPr algn="ctr"/>
          <a:r>
            <a:rPr kumimoji="1" lang="en-US" altLang="ja-JP" sz="1400" b="1">
              <a:solidFill>
                <a:srgbClr val="00B0F0"/>
              </a:solidFill>
            </a:rPr>
            <a:t>0x01</a:t>
          </a:r>
        </a:p>
      </xdr:txBody>
    </xdr:sp>
    <xdr:clientData/>
  </xdr:twoCellAnchor>
  <xdr:twoCellAnchor>
    <xdr:from>
      <xdr:col>14</xdr:col>
      <xdr:colOff>476250</xdr:colOff>
      <xdr:row>43</xdr:row>
      <xdr:rowOff>122701</xdr:rowOff>
    </xdr:from>
    <xdr:to>
      <xdr:col>19</xdr:col>
      <xdr:colOff>291518</xdr:colOff>
      <xdr:row>43</xdr:row>
      <xdr:rowOff>122701</xdr:rowOff>
    </xdr:to>
    <xdr:cxnSp macro="">
      <xdr:nvCxnSpPr>
        <xdr:cNvPr id="40" name="直線矢印コネクタ 39">
          <a:extLst>
            <a:ext uri="{FF2B5EF4-FFF2-40B4-BE49-F238E27FC236}">
              <a16:creationId xmlns:a16="http://schemas.microsoft.com/office/drawing/2014/main" id="{7F21132F-6E1F-4658-9D62-081282609DA1}"/>
            </a:ext>
          </a:extLst>
        </xdr:cNvPr>
        <xdr:cNvCxnSpPr/>
      </xdr:nvCxnSpPr>
      <xdr:spPr>
        <a:xfrm>
          <a:off x="10077450" y="14648326"/>
          <a:ext cx="3244268" cy="0"/>
        </a:xfrm>
        <a:prstGeom prst="straightConnector1">
          <a:avLst/>
        </a:prstGeom>
        <a:ln w="31750">
          <a:solidFill>
            <a:srgbClr val="FFC000"/>
          </a:solidFill>
          <a:prstDash val="dash"/>
          <a:headEnd type="triangle" w="lg" len="med"/>
          <a:tailEnd type="triangle" w="lg"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70684</xdr:colOff>
      <xdr:row>40</xdr:row>
      <xdr:rowOff>128348</xdr:rowOff>
    </xdr:from>
    <xdr:to>
      <xdr:col>18</xdr:col>
      <xdr:colOff>15960</xdr:colOff>
      <xdr:row>43</xdr:row>
      <xdr:rowOff>139234</xdr:rowOff>
    </xdr:to>
    <xdr:sp macro="" textlink="">
      <xdr:nvSpPr>
        <xdr:cNvPr id="41" name="正方形/長方形 40">
          <a:extLst>
            <a:ext uri="{FF2B5EF4-FFF2-40B4-BE49-F238E27FC236}">
              <a16:creationId xmlns:a16="http://schemas.microsoft.com/office/drawing/2014/main" id="{7154E891-FA8A-4E54-BB5C-14D8CA97DD58}"/>
            </a:ext>
          </a:extLst>
        </xdr:cNvPr>
        <xdr:cNvSpPr/>
      </xdr:nvSpPr>
      <xdr:spPr>
        <a:xfrm>
          <a:off x="11043484" y="13939598"/>
          <a:ext cx="1316876" cy="72526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solidFill>
                <a:srgbClr val="FFC000"/>
              </a:solidFill>
            </a:rPr>
            <a:t>パターン</a:t>
          </a:r>
          <a:r>
            <a:rPr kumimoji="1" lang="en-US" altLang="ja-JP" sz="1400" b="1">
              <a:solidFill>
                <a:srgbClr val="FFC000"/>
              </a:solidFill>
            </a:rPr>
            <a:t>2</a:t>
          </a:r>
        </a:p>
        <a:p>
          <a:pPr algn="ctr"/>
          <a:r>
            <a:rPr kumimoji="1" lang="en-US" altLang="ja-JP" sz="1400" b="1">
              <a:solidFill>
                <a:srgbClr val="FFC000"/>
              </a:solidFill>
            </a:rPr>
            <a:t>0x03</a:t>
          </a:r>
          <a:endParaRPr kumimoji="1" lang="ja-JP" altLang="en-US" sz="1400" b="1">
            <a:solidFill>
              <a:srgbClr val="FFC000"/>
            </a:solidFill>
          </a:endParaRPr>
        </a:p>
      </xdr:txBody>
    </xdr:sp>
    <xdr:clientData/>
  </xdr:twoCellAnchor>
  <xdr:twoCellAnchor>
    <xdr:from>
      <xdr:col>6</xdr:col>
      <xdr:colOff>17104</xdr:colOff>
      <xdr:row>83</xdr:row>
      <xdr:rowOff>55583</xdr:rowOff>
    </xdr:from>
    <xdr:to>
      <xdr:col>7</xdr:col>
      <xdr:colOff>78195</xdr:colOff>
      <xdr:row>84</xdr:row>
      <xdr:rowOff>236800</xdr:rowOff>
    </xdr:to>
    <xdr:sp macro="" textlink="">
      <xdr:nvSpPr>
        <xdr:cNvPr id="92" name="正方形/長方形 91">
          <a:extLst>
            <a:ext uri="{FF2B5EF4-FFF2-40B4-BE49-F238E27FC236}">
              <a16:creationId xmlns:a16="http://schemas.microsoft.com/office/drawing/2014/main" id="{F3513CCB-1105-4746-A706-08B1D6A291E2}"/>
            </a:ext>
          </a:extLst>
        </xdr:cNvPr>
        <xdr:cNvSpPr/>
      </xdr:nvSpPr>
      <xdr:spPr>
        <a:xfrm>
          <a:off x="4149489" y="24476218"/>
          <a:ext cx="749821" cy="423005"/>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PMOD 0</a:t>
          </a:r>
          <a:endParaRPr kumimoji="1" lang="ja-JP" altLang="en-US" sz="1100">
            <a:solidFill>
              <a:schemeClr val="tx1"/>
            </a:solidFill>
          </a:endParaRPr>
        </a:p>
      </xdr:txBody>
    </xdr:sp>
    <xdr:clientData/>
  </xdr:twoCellAnchor>
  <xdr:twoCellAnchor>
    <xdr:from>
      <xdr:col>3</xdr:col>
      <xdr:colOff>204597</xdr:colOff>
      <xdr:row>83</xdr:row>
      <xdr:rowOff>99042</xdr:rowOff>
    </xdr:from>
    <xdr:to>
      <xdr:col>6</xdr:col>
      <xdr:colOff>30758</xdr:colOff>
      <xdr:row>84</xdr:row>
      <xdr:rowOff>166987</xdr:rowOff>
    </xdr:to>
    <xdr:sp macro="" textlink="">
      <xdr:nvSpPr>
        <xdr:cNvPr id="93" name="正方形/長方形 92">
          <a:extLst>
            <a:ext uri="{FF2B5EF4-FFF2-40B4-BE49-F238E27FC236}">
              <a16:creationId xmlns:a16="http://schemas.microsoft.com/office/drawing/2014/main" id="{1ED440C4-86FD-44B3-AA55-13D48B3BCDEB}"/>
            </a:ext>
          </a:extLst>
        </xdr:cNvPr>
        <xdr:cNvSpPr/>
      </xdr:nvSpPr>
      <xdr:spPr>
        <a:xfrm>
          <a:off x="2270789" y="24519677"/>
          <a:ext cx="1892354" cy="30973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ja-JP" altLang="en-US" sz="1000">
              <a:solidFill>
                <a:schemeClr val="tx1"/>
              </a:solidFill>
            </a:rPr>
            <a:t>ディジタル出力モジュール </a:t>
          </a:r>
          <a:r>
            <a:rPr kumimoji="1" lang="en-US" altLang="ja-JP" sz="1000">
              <a:solidFill>
                <a:schemeClr val="tx1"/>
              </a:solidFill>
            </a:rPr>
            <a:t>0</a:t>
          </a:r>
        </a:p>
      </xdr:txBody>
    </xdr:sp>
    <xdr:clientData/>
  </xdr:twoCellAnchor>
  <xdr:twoCellAnchor>
    <xdr:from>
      <xdr:col>7</xdr:col>
      <xdr:colOff>72332</xdr:colOff>
      <xdr:row>84</xdr:row>
      <xdr:rowOff>28594</xdr:rowOff>
    </xdr:from>
    <xdr:to>
      <xdr:col>7</xdr:col>
      <xdr:colOff>355516</xdr:colOff>
      <xdr:row>84</xdr:row>
      <xdr:rowOff>28594</xdr:rowOff>
    </xdr:to>
    <xdr:cxnSp macro="">
      <xdr:nvCxnSpPr>
        <xdr:cNvPr id="96" name="直線コネクタ 95">
          <a:extLst>
            <a:ext uri="{FF2B5EF4-FFF2-40B4-BE49-F238E27FC236}">
              <a16:creationId xmlns:a16="http://schemas.microsoft.com/office/drawing/2014/main" id="{EFB1FD47-5105-43E9-A665-ADC2362187A7}"/>
            </a:ext>
          </a:extLst>
        </xdr:cNvPr>
        <xdr:cNvCxnSpPr/>
      </xdr:nvCxnSpPr>
      <xdr:spPr>
        <a:xfrm>
          <a:off x="4893447" y="24691017"/>
          <a:ext cx="283184"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663078</xdr:colOff>
      <xdr:row>50</xdr:row>
      <xdr:rowOff>77568</xdr:rowOff>
    </xdr:from>
    <xdr:to>
      <xdr:col>5</xdr:col>
      <xdr:colOff>61198</xdr:colOff>
      <xdr:row>51</xdr:row>
      <xdr:rowOff>151750</xdr:rowOff>
    </xdr:to>
    <xdr:sp macro="" textlink="">
      <xdr:nvSpPr>
        <xdr:cNvPr id="108" name="正方形/長方形 107">
          <a:extLst>
            <a:ext uri="{FF2B5EF4-FFF2-40B4-BE49-F238E27FC236}">
              <a16:creationId xmlns:a16="http://schemas.microsoft.com/office/drawing/2014/main" id="{0E61E059-06C5-4628-81FC-D8403D384230}"/>
            </a:ext>
          </a:extLst>
        </xdr:cNvPr>
        <xdr:cNvSpPr/>
      </xdr:nvSpPr>
      <xdr:spPr>
        <a:xfrm>
          <a:off x="2734766" y="16270068"/>
          <a:ext cx="779245" cy="31230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200">
              <a:solidFill>
                <a:schemeClr val="tx1"/>
              </a:solidFill>
            </a:rPr>
            <a:t>AWG 0</a:t>
          </a:r>
        </a:p>
      </xdr:txBody>
    </xdr:sp>
    <xdr:clientData/>
  </xdr:twoCellAnchor>
  <xdr:twoCellAnchor>
    <xdr:from>
      <xdr:col>4</xdr:col>
      <xdr:colOff>58241</xdr:colOff>
      <xdr:row>52</xdr:row>
      <xdr:rowOff>78224</xdr:rowOff>
    </xdr:from>
    <xdr:to>
      <xdr:col>5</xdr:col>
      <xdr:colOff>62512</xdr:colOff>
      <xdr:row>53</xdr:row>
      <xdr:rowOff>152407</xdr:rowOff>
    </xdr:to>
    <xdr:sp macro="" textlink="">
      <xdr:nvSpPr>
        <xdr:cNvPr id="110" name="正方形/長方形 109">
          <a:extLst>
            <a:ext uri="{FF2B5EF4-FFF2-40B4-BE49-F238E27FC236}">
              <a16:creationId xmlns:a16="http://schemas.microsoft.com/office/drawing/2014/main" id="{866238BC-5B73-4CD3-B3BC-E7BC7B01728A}"/>
            </a:ext>
          </a:extLst>
        </xdr:cNvPr>
        <xdr:cNvSpPr/>
      </xdr:nvSpPr>
      <xdr:spPr>
        <a:xfrm>
          <a:off x="2820491" y="16746974"/>
          <a:ext cx="694834" cy="3123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200">
              <a:solidFill>
                <a:schemeClr val="tx1"/>
              </a:solidFill>
            </a:rPr>
            <a:t>AWG 1</a:t>
          </a:r>
        </a:p>
      </xdr:txBody>
    </xdr:sp>
    <xdr:clientData/>
  </xdr:twoCellAnchor>
  <xdr:twoCellAnchor>
    <xdr:from>
      <xdr:col>4</xdr:col>
      <xdr:colOff>58242</xdr:colOff>
      <xdr:row>54</xdr:row>
      <xdr:rowOff>84137</xdr:rowOff>
    </xdr:from>
    <xdr:to>
      <xdr:col>5</xdr:col>
      <xdr:colOff>69082</xdr:colOff>
      <xdr:row>55</xdr:row>
      <xdr:rowOff>158319</xdr:rowOff>
    </xdr:to>
    <xdr:sp macro="" textlink="">
      <xdr:nvSpPr>
        <xdr:cNvPr id="111" name="正方形/長方形 110">
          <a:extLst>
            <a:ext uri="{FF2B5EF4-FFF2-40B4-BE49-F238E27FC236}">
              <a16:creationId xmlns:a16="http://schemas.microsoft.com/office/drawing/2014/main" id="{BC278D80-2F4B-4519-ADB7-401192DDC9C4}"/>
            </a:ext>
          </a:extLst>
        </xdr:cNvPr>
        <xdr:cNvSpPr/>
      </xdr:nvSpPr>
      <xdr:spPr>
        <a:xfrm>
          <a:off x="2820492" y="17229137"/>
          <a:ext cx="701403" cy="31230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200">
              <a:solidFill>
                <a:schemeClr val="tx1"/>
              </a:solidFill>
            </a:rPr>
            <a:t>AWG 2</a:t>
          </a:r>
        </a:p>
      </xdr:txBody>
    </xdr:sp>
    <xdr:clientData/>
  </xdr:twoCellAnchor>
  <xdr:twoCellAnchor>
    <xdr:from>
      <xdr:col>4</xdr:col>
      <xdr:colOff>101105</xdr:colOff>
      <xdr:row>56</xdr:row>
      <xdr:rowOff>78224</xdr:rowOff>
    </xdr:from>
    <xdr:to>
      <xdr:col>5</xdr:col>
      <xdr:colOff>70396</xdr:colOff>
      <xdr:row>57</xdr:row>
      <xdr:rowOff>152408</xdr:rowOff>
    </xdr:to>
    <xdr:sp macro="" textlink="">
      <xdr:nvSpPr>
        <xdr:cNvPr id="112" name="正方形/長方形 111">
          <a:extLst>
            <a:ext uri="{FF2B5EF4-FFF2-40B4-BE49-F238E27FC236}">
              <a16:creationId xmlns:a16="http://schemas.microsoft.com/office/drawing/2014/main" id="{9C426014-732E-438D-8171-4318722483F0}"/>
            </a:ext>
          </a:extLst>
        </xdr:cNvPr>
        <xdr:cNvSpPr/>
      </xdr:nvSpPr>
      <xdr:spPr>
        <a:xfrm>
          <a:off x="2863355" y="17699474"/>
          <a:ext cx="659854" cy="31230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200">
              <a:solidFill>
                <a:schemeClr val="tx1"/>
              </a:solidFill>
            </a:rPr>
            <a:t>AWG 3</a:t>
          </a:r>
        </a:p>
      </xdr:txBody>
    </xdr:sp>
    <xdr:clientData/>
  </xdr:twoCellAnchor>
  <xdr:twoCellAnchor>
    <xdr:from>
      <xdr:col>4</xdr:col>
      <xdr:colOff>39192</xdr:colOff>
      <xdr:row>58</xdr:row>
      <xdr:rowOff>95961</xdr:rowOff>
    </xdr:from>
    <xdr:to>
      <xdr:col>5</xdr:col>
      <xdr:colOff>62512</xdr:colOff>
      <xdr:row>59</xdr:row>
      <xdr:rowOff>170144</xdr:rowOff>
    </xdr:to>
    <xdr:sp macro="" textlink="">
      <xdr:nvSpPr>
        <xdr:cNvPr id="113" name="正方形/長方形 112">
          <a:extLst>
            <a:ext uri="{FF2B5EF4-FFF2-40B4-BE49-F238E27FC236}">
              <a16:creationId xmlns:a16="http://schemas.microsoft.com/office/drawing/2014/main" id="{C3620449-9814-460C-9518-DB123AA53B4E}"/>
            </a:ext>
          </a:extLst>
        </xdr:cNvPr>
        <xdr:cNvSpPr/>
      </xdr:nvSpPr>
      <xdr:spPr>
        <a:xfrm>
          <a:off x="2801442" y="18193461"/>
          <a:ext cx="713883" cy="3123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200">
              <a:solidFill>
                <a:schemeClr val="tx1"/>
              </a:solidFill>
            </a:rPr>
            <a:t>AWG 4</a:t>
          </a:r>
        </a:p>
      </xdr:txBody>
    </xdr:sp>
    <xdr:clientData/>
  </xdr:twoCellAnchor>
  <xdr:twoCellAnchor>
    <xdr:from>
      <xdr:col>4</xdr:col>
      <xdr:colOff>29666</xdr:colOff>
      <xdr:row>60</xdr:row>
      <xdr:rowOff>83478</xdr:rowOff>
    </xdr:from>
    <xdr:to>
      <xdr:col>5</xdr:col>
      <xdr:colOff>63825</xdr:colOff>
      <xdr:row>61</xdr:row>
      <xdr:rowOff>157663</xdr:rowOff>
    </xdr:to>
    <xdr:sp macro="" textlink="">
      <xdr:nvSpPr>
        <xdr:cNvPr id="114" name="正方形/長方形 113">
          <a:extLst>
            <a:ext uri="{FF2B5EF4-FFF2-40B4-BE49-F238E27FC236}">
              <a16:creationId xmlns:a16="http://schemas.microsoft.com/office/drawing/2014/main" id="{47FD61A6-0B51-4441-9BDE-F1ACAB17F660}"/>
            </a:ext>
          </a:extLst>
        </xdr:cNvPr>
        <xdr:cNvSpPr/>
      </xdr:nvSpPr>
      <xdr:spPr>
        <a:xfrm>
          <a:off x="2791916" y="18657228"/>
          <a:ext cx="724722" cy="3123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200">
              <a:solidFill>
                <a:schemeClr val="tx1"/>
              </a:solidFill>
            </a:rPr>
            <a:t>AWG 5</a:t>
          </a:r>
        </a:p>
      </xdr:txBody>
    </xdr:sp>
    <xdr:clientData/>
  </xdr:twoCellAnchor>
  <xdr:twoCellAnchor>
    <xdr:from>
      <xdr:col>4</xdr:col>
      <xdr:colOff>39192</xdr:colOff>
      <xdr:row>62</xdr:row>
      <xdr:rowOff>109098</xdr:rowOff>
    </xdr:from>
    <xdr:to>
      <xdr:col>5</xdr:col>
      <xdr:colOff>63826</xdr:colOff>
      <xdr:row>63</xdr:row>
      <xdr:rowOff>183282</xdr:rowOff>
    </xdr:to>
    <xdr:sp macro="" textlink="">
      <xdr:nvSpPr>
        <xdr:cNvPr id="115" name="正方形/長方形 114">
          <a:extLst>
            <a:ext uri="{FF2B5EF4-FFF2-40B4-BE49-F238E27FC236}">
              <a16:creationId xmlns:a16="http://schemas.microsoft.com/office/drawing/2014/main" id="{D9EF0315-EC0D-4BE4-B4AF-45EC7B11D13D}"/>
            </a:ext>
          </a:extLst>
        </xdr:cNvPr>
        <xdr:cNvSpPr/>
      </xdr:nvSpPr>
      <xdr:spPr>
        <a:xfrm>
          <a:off x="2801442" y="19159098"/>
          <a:ext cx="715197" cy="31230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200">
              <a:solidFill>
                <a:schemeClr val="tx1"/>
              </a:solidFill>
            </a:rPr>
            <a:t>AWG 6</a:t>
          </a:r>
        </a:p>
      </xdr:txBody>
    </xdr:sp>
    <xdr:clientData/>
  </xdr:twoCellAnchor>
  <xdr:twoCellAnchor>
    <xdr:from>
      <xdr:col>4</xdr:col>
      <xdr:colOff>29666</xdr:colOff>
      <xdr:row>64</xdr:row>
      <xdr:rowOff>94974</xdr:rowOff>
    </xdr:from>
    <xdr:to>
      <xdr:col>5</xdr:col>
      <xdr:colOff>65139</xdr:colOff>
      <xdr:row>65</xdr:row>
      <xdr:rowOff>170801</xdr:rowOff>
    </xdr:to>
    <xdr:sp macro="" textlink="">
      <xdr:nvSpPr>
        <xdr:cNvPr id="116" name="正方形/長方形 115">
          <a:extLst>
            <a:ext uri="{FF2B5EF4-FFF2-40B4-BE49-F238E27FC236}">
              <a16:creationId xmlns:a16="http://schemas.microsoft.com/office/drawing/2014/main" id="{7192ED61-D824-4EE4-B22C-122F1C497DA9}"/>
            </a:ext>
          </a:extLst>
        </xdr:cNvPr>
        <xdr:cNvSpPr/>
      </xdr:nvSpPr>
      <xdr:spPr>
        <a:xfrm>
          <a:off x="2791916" y="19621224"/>
          <a:ext cx="726036" cy="31395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200">
              <a:solidFill>
                <a:schemeClr val="tx1"/>
              </a:solidFill>
            </a:rPr>
            <a:t>AWG 7</a:t>
          </a:r>
        </a:p>
      </xdr:txBody>
    </xdr:sp>
    <xdr:clientData/>
  </xdr:twoCellAnchor>
  <xdr:twoCellAnchor>
    <xdr:from>
      <xdr:col>7</xdr:col>
      <xdr:colOff>81643</xdr:colOff>
      <xdr:row>51</xdr:row>
      <xdr:rowOff>5453</xdr:rowOff>
    </xdr:from>
    <xdr:to>
      <xdr:col>7</xdr:col>
      <xdr:colOff>400774</xdr:colOff>
      <xdr:row>51</xdr:row>
      <xdr:rowOff>5453</xdr:rowOff>
    </xdr:to>
    <xdr:cxnSp macro="">
      <xdr:nvCxnSpPr>
        <xdr:cNvPr id="117" name="直線コネクタ 116">
          <a:extLst>
            <a:ext uri="{FF2B5EF4-FFF2-40B4-BE49-F238E27FC236}">
              <a16:creationId xmlns:a16="http://schemas.microsoft.com/office/drawing/2014/main" id="{2C33961B-EAEB-4496-A854-3CA7667CA5F8}"/>
            </a:ext>
          </a:extLst>
        </xdr:cNvPr>
        <xdr:cNvCxnSpPr/>
      </xdr:nvCxnSpPr>
      <xdr:spPr>
        <a:xfrm>
          <a:off x="4882243" y="16529967"/>
          <a:ext cx="319131"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70757</xdr:colOff>
      <xdr:row>53</xdr:row>
      <xdr:rowOff>12046</xdr:rowOff>
    </xdr:from>
    <xdr:to>
      <xdr:col>7</xdr:col>
      <xdr:colOff>406635</xdr:colOff>
      <xdr:row>53</xdr:row>
      <xdr:rowOff>12046</xdr:rowOff>
    </xdr:to>
    <xdr:cxnSp macro="">
      <xdr:nvCxnSpPr>
        <xdr:cNvPr id="118" name="直線コネクタ 117">
          <a:extLst>
            <a:ext uri="{FF2B5EF4-FFF2-40B4-BE49-F238E27FC236}">
              <a16:creationId xmlns:a16="http://schemas.microsoft.com/office/drawing/2014/main" id="{76AA5356-A971-4EF9-A90F-C7B6214E26CF}"/>
            </a:ext>
          </a:extLst>
        </xdr:cNvPr>
        <xdr:cNvCxnSpPr/>
      </xdr:nvCxnSpPr>
      <xdr:spPr>
        <a:xfrm>
          <a:off x="4871357" y="17015532"/>
          <a:ext cx="335878"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54429</xdr:colOff>
      <xdr:row>55</xdr:row>
      <xdr:rowOff>1789</xdr:rowOff>
    </xdr:from>
    <xdr:to>
      <xdr:col>7</xdr:col>
      <xdr:colOff>406636</xdr:colOff>
      <xdr:row>55</xdr:row>
      <xdr:rowOff>1789</xdr:rowOff>
    </xdr:to>
    <xdr:cxnSp macro="">
      <xdr:nvCxnSpPr>
        <xdr:cNvPr id="119" name="直線コネクタ 118">
          <a:extLst>
            <a:ext uri="{FF2B5EF4-FFF2-40B4-BE49-F238E27FC236}">
              <a16:creationId xmlns:a16="http://schemas.microsoft.com/office/drawing/2014/main" id="{B0070639-D936-42B0-B3A3-828869282E39}"/>
            </a:ext>
          </a:extLst>
        </xdr:cNvPr>
        <xdr:cNvCxnSpPr/>
      </xdr:nvCxnSpPr>
      <xdr:spPr>
        <a:xfrm>
          <a:off x="4855029" y="17484246"/>
          <a:ext cx="352207"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59871</xdr:colOff>
      <xdr:row>57</xdr:row>
      <xdr:rowOff>4719</xdr:rowOff>
    </xdr:from>
    <xdr:to>
      <xdr:col>7</xdr:col>
      <xdr:colOff>412497</xdr:colOff>
      <xdr:row>57</xdr:row>
      <xdr:rowOff>4719</xdr:rowOff>
    </xdr:to>
    <xdr:cxnSp macro="">
      <xdr:nvCxnSpPr>
        <xdr:cNvPr id="120" name="直線コネクタ 119">
          <a:extLst>
            <a:ext uri="{FF2B5EF4-FFF2-40B4-BE49-F238E27FC236}">
              <a16:creationId xmlns:a16="http://schemas.microsoft.com/office/drawing/2014/main" id="{2F80A0AD-8CB3-4040-93AE-EB585062E327}"/>
            </a:ext>
          </a:extLst>
        </xdr:cNvPr>
        <xdr:cNvCxnSpPr/>
      </xdr:nvCxnSpPr>
      <xdr:spPr>
        <a:xfrm>
          <a:off x="4860471" y="17966148"/>
          <a:ext cx="352626"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76200</xdr:colOff>
      <xdr:row>59</xdr:row>
      <xdr:rowOff>9116</xdr:rowOff>
    </xdr:from>
    <xdr:to>
      <xdr:col>7</xdr:col>
      <xdr:colOff>397843</xdr:colOff>
      <xdr:row>59</xdr:row>
      <xdr:rowOff>9116</xdr:rowOff>
    </xdr:to>
    <xdr:cxnSp macro="">
      <xdr:nvCxnSpPr>
        <xdr:cNvPr id="121" name="直線コネクタ 120">
          <a:extLst>
            <a:ext uri="{FF2B5EF4-FFF2-40B4-BE49-F238E27FC236}">
              <a16:creationId xmlns:a16="http://schemas.microsoft.com/office/drawing/2014/main" id="{E046B38F-2A96-44F9-8833-16032974D3F6}"/>
            </a:ext>
          </a:extLst>
        </xdr:cNvPr>
        <xdr:cNvCxnSpPr/>
      </xdr:nvCxnSpPr>
      <xdr:spPr>
        <a:xfrm>
          <a:off x="4876800" y="18449516"/>
          <a:ext cx="321643"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81643</xdr:colOff>
      <xdr:row>61</xdr:row>
      <xdr:rowOff>12047</xdr:rowOff>
    </xdr:from>
    <xdr:to>
      <xdr:col>7</xdr:col>
      <xdr:colOff>403704</xdr:colOff>
      <xdr:row>61</xdr:row>
      <xdr:rowOff>12047</xdr:rowOff>
    </xdr:to>
    <xdr:cxnSp macro="">
      <xdr:nvCxnSpPr>
        <xdr:cNvPr id="122" name="直線コネクタ 121">
          <a:extLst>
            <a:ext uri="{FF2B5EF4-FFF2-40B4-BE49-F238E27FC236}">
              <a16:creationId xmlns:a16="http://schemas.microsoft.com/office/drawing/2014/main" id="{59311F03-0234-4692-960F-32952845D62F}"/>
            </a:ext>
          </a:extLst>
        </xdr:cNvPr>
        <xdr:cNvCxnSpPr/>
      </xdr:nvCxnSpPr>
      <xdr:spPr>
        <a:xfrm>
          <a:off x="4882243" y="18931418"/>
          <a:ext cx="322061"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65314</xdr:colOff>
      <xdr:row>63</xdr:row>
      <xdr:rowOff>31098</xdr:rowOff>
    </xdr:from>
    <xdr:to>
      <xdr:col>7</xdr:col>
      <xdr:colOff>403704</xdr:colOff>
      <xdr:row>63</xdr:row>
      <xdr:rowOff>31098</xdr:rowOff>
    </xdr:to>
    <xdr:cxnSp macro="">
      <xdr:nvCxnSpPr>
        <xdr:cNvPr id="123" name="直線コネクタ 122">
          <a:extLst>
            <a:ext uri="{FF2B5EF4-FFF2-40B4-BE49-F238E27FC236}">
              <a16:creationId xmlns:a16="http://schemas.microsoft.com/office/drawing/2014/main" id="{CC3AB84A-2ADB-4B47-BE95-13690767B7A7}"/>
            </a:ext>
          </a:extLst>
        </xdr:cNvPr>
        <xdr:cNvCxnSpPr/>
      </xdr:nvCxnSpPr>
      <xdr:spPr>
        <a:xfrm>
          <a:off x="4865914" y="19429441"/>
          <a:ext cx="338390"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70757</xdr:colOff>
      <xdr:row>65</xdr:row>
      <xdr:rowOff>34028</xdr:rowOff>
    </xdr:from>
    <xdr:to>
      <xdr:col>7</xdr:col>
      <xdr:colOff>409565</xdr:colOff>
      <xdr:row>65</xdr:row>
      <xdr:rowOff>34028</xdr:rowOff>
    </xdr:to>
    <xdr:cxnSp macro="">
      <xdr:nvCxnSpPr>
        <xdr:cNvPr id="124" name="直線コネクタ 123">
          <a:extLst>
            <a:ext uri="{FF2B5EF4-FFF2-40B4-BE49-F238E27FC236}">
              <a16:creationId xmlns:a16="http://schemas.microsoft.com/office/drawing/2014/main" id="{D94903C1-6208-4140-8F7C-D56375141151}"/>
            </a:ext>
          </a:extLst>
        </xdr:cNvPr>
        <xdr:cNvCxnSpPr/>
      </xdr:nvCxnSpPr>
      <xdr:spPr>
        <a:xfrm>
          <a:off x="4871357" y="19911342"/>
          <a:ext cx="338808"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314685</xdr:colOff>
      <xdr:row>50</xdr:row>
      <xdr:rowOff>225259</xdr:rowOff>
    </xdr:from>
    <xdr:to>
      <xdr:col>9</xdr:col>
      <xdr:colOff>664029</xdr:colOff>
      <xdr:row>50</xdr:row>
      <xdr:rowOff>225259</xdr:rowOff>
    </xdr:to>
    <xdr:cxnSp macro="">
      <xdr:nvCxnSpPr>
        <xdr:cNvPr id="134" name="直線コネクタ 133">
          <a:extLst>
            <a:ext uri="{FF2B5EF4-FFF2-40B4-BE49-F238E27FC236}">
              <a16:creationId xmlns:a16="http://schemas.microsoft.com/office/drawing/2014/main" id="{E79E5348-B2B9-461F-8122-66C27AC42047}"/>
            </a:ext>
          </a:extLst>
        </xdr:cNvPr>
        <xdr:cNvCxnSpPr/>
      </xdr:nvCxnSpPr>
      <xdr:spPr>
        <a:xfrm>
          <a:off x="6486885" y="16510288"/>
          <a:ext cx="349344"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320546</xdr:colOff>
      <xdr:row>52</xdr:row>
      <xdr:rowOff>231853</xdr:rowOff>
    </xdr:from>
    <xdr:to>
      <xdr:col>9</xdr:col>
      <xdr:colOff>636814</xdr:colOff>
      <xdr:row>52</xdr:row>
      <xdr:rowOff>231853</xdr:rowOff>
    </xdr:to>
    <xdr:cxnSp macro="">
      <xdr:nvCxnSpPr>
        <xdr:cNvPr id="135" name="直線コネクタ 134">
          <a:extLst>
            <a:ext uri="{FF2B5EF4-FFF2-40B4-BE49-F238E27FC236}">
              <a16:creationId xmlns:a16="http://schemas.microsoft.com/office/drawing/2014/main" id="{0EC57923-57A8-4044-A704-27412E48343B}"/>
            </a:ext>
          </a:extLst>
        </xdr:cNvPr>
        <xdr:cNvCxnSpPr/>
      </xdr:nvCxnSpPr>
      <xdr:spPr>
        <a:xfrm>
          <a:off x="6492746" y="16995853"/>
          <a:ext cx="316268"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320547</xdr:colOff>
      <xdr:row>54</xdr:row>
      <xdr:rowOff>221596</xdr:rowOff>
    </xdr:from>
    <xdr:to>
      <xdr:col>9</xdr:col>
      <xdr:colOff>680357</xdr:colOff>
      <xdr:row>54</xdr:row>
      <xdr:rowOff>221596</xdr:rowOff>
    </xdr:to>
    <xdr:cxnSp macro="">
      <xdr:nvCxnSpPr>
        <xdr:cNvPr id="136" name="直線コネクタ 135">
          <a:extLst>
            <a:ext uri="{FF2B5EF4-FFF2-40B4-BE49-F238E27FC236}">
              <a16:creationId xmlns:a16="http://schemas.microsoft.com/office/drawing/2014/main" id="{976D8DB6-79D2-471D-909C-2288CC91CE2E}"/>
            </a:ext>
          </a:extLst>
        </xdr:cNvPr>
        <xdr:cNvCxnSpPr/>
      </xdr:nvCxnSpPr>
      <xdr:spPr>
        <a:xfrm>
          <a:off x="6492747" y="17464567"/>
          <a:ext cx="359810"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326408</xdr:colOff>
      <xdr:row>56</xdr:row>
      <xdr:rowOff>224526</xdr:rowOff>
    </xdr:from>
    <xdr:to>
      <xdr:col>9</xdr:col>
      <xdr:colOff>658586</xdr:colOff>
      <xdr:row>56</xdr:row>
      <xdr:rowOff>224526</xdr:rowOff>
    </xdr:to>
    <xdr:cxnSp macro="">
      <xdr:nvCxnSpPr>
        <xdr:cNvPr id="137" name="直線コネクタ 136">
          <a:extLst>
            <a:ext uri="{FF2B5EF4-FFF2-40B4-BE49-F238E27FC236}">
              <a16:creationId xmlns:a16="http://schemas.microsoft.com/office/drawing/2014/main" id="{3DB23699-4400-4889-8149-A0AC380ECE71}"/>
            </a:ext>
          </a:extLst>
        </xdr:cNvPr>
        <xdr:cNvCxnSpPr/>
      </xdr:nvCxnSpPr>
      <xdr:spPr>
        <a:xfrm>
          <a:off x="6498608" y="17946469"/>
          <a:ext cx="332178"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311754</xdr:colOff>
      <xdr:row>58</xdr:row>
      <xdr:rowOff>228923</xdr:rowOff>
    </xdr:from>
    <xdr:to>
      <xdr:col>10</xdr:col>
      <xdr:colOff>0</xdr:colOff>
      <xdr:row>58</xdr:row>
      <xdr:rowOff>228923</xdr:rowOff>
    </xdr:to>
    <xdr:cxnSp macro="">
      <xdr:nvCxnSpPr>
        <xdr:cNvPr id="138" name="直線コネクタ 137">
          <a:extLst>
            <a:ext uri="{FF2B5EF4-FFF2-40B4-BE49-F238E27FC236}">
              <a16:creationId xmlns:a16="http://schemas.microsoft.com/office/drawing/2014/main" id="{C919976E-F2F6-43DB-9E07-8D9A2AB96291}"/>
            </a:ext>
          </a:extLst>
        </xdr:cNvPr>
        <xdr:cNvCxnSpPr/>
      </xdr:nvCxnSpPr>
      <xdr:spPr>
        <a:xfrm>
          <a:off x="6483954" y="18429837"/>
          <a:ext cx="374046"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317615</xdr:colOff>
      <xdr:row>60</xdr:row>
      <xdr:rowOff>231853</xdr:rowOff>
    </xdr:from>
    <xdr:to>
      <xdr:col>10</xdr:col>
      <xdr:colOff>81643</xdr:colOff>
      <xdr:row>60</xdr:row>
      <xdr:rowOff>231853</xdr:rowOff>
    </xdr:to>
    <xdr:cxnSp macro="">
      <xdr:nvCxnSpPr>
        <xdr:cNvPr id="139" name="直線コネクタ 138">
          <a:extLst>
            <a:ext uri="{FF2B5EF4-FFF2-40B4-BE49-F238E27FC236}">
              <a16:creationId xmlns:a16="http://schemas.microsoft.com/office/drawing/2014/main" id="{E04172BC-2FCF-4D71-BB31-FA1E382A94B4}"/>
            </a:ext>
          </a:extLst>
        </xdr:cNvPr>
        <xdr:cNvCxnSpPr/>
      </xdr:nvCxnSpPr>
      <xdr:spPr>
        <a:xfrm>
          <a:off x="6489815" y="18911739"/>
          <a:ext cx="449828"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317615</xdr:colOff>
      <xdr:row>63</xdr:row>
      <xdr:rowOff>11419</xdr:rowOff>
    </xdr:from>
    <xdr:to>
      <xdr:col>9</xdr:col>
      <xdr:colOff>658586</xdr:colOff>
      <xdr:row>63</xdr:row>
      <xdr:rowOff>11419</xdr:rowOff>
    </xdr:to>
    <xdr:cxnSp macro="">
      <xdr:nvCxnSpPr>
        <xdr:cNvPr id="140" name="直線コネクタ 139">
          <a:extLst>
            <a:ext uri="{FF2B5EF4-FFF2-40B4-BE49-F238E27FC236}">
              <a16:creationId xmlns:a16="http://schemas.microsoft.com/office/drawing/2014/main" id="{05521D4D-20D7-456D-ABD5-678BBB161637}"/>
            </a:ext>
          </a:extLst>
        </xdr:cNvPr>
        <xdr:cNvCxnSpPr/>
      </xdr:nvCxnSpPr>
      <xdr:spPr>
        <a:xfrm>
          <a:off x="6489815" y="19409762"/>
          <a:ext cx="340971"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323476</xdr:colOff>
      <xdr:row>65</xdr:row>
      <xdr:rowOff>14349</xdr:rowOff>
    </xdr:from>
    <xdr:to>
      <xdr:col>9</xdr:col>
      <xdr:colOff>674914</xdr:colOff>
      <xdr:row>65</xdr:row>
      <xdr:rowOff>14349</xdr:rowOff>
    </xdr:to>
    <xdr:cxnSp macro="">
      <xdr:nvCxnSpPr>
        <xdr:cNvPr id="141" name="直線コネクタ 140">
          <a:extLst>
            <a:ext uri="{FF2B5EF4-FFF2-40B4-BE49-F238E27FC236}">
              <a16:creationId xmlns:a16="http://schemas.microsoft.com/office/drawing/2014/main" id="{6020C5CD-F18F-4CF0-A21F-38CBFEED3206}"/>
            </a:ext>
          </a:extLst>
        </xdr:cNvPr>
        <xdr:cNvCxnSpPr/>
      </xdr:nvCxnSpPr>
      <xdr:spPr>
        <a:xfrm>
          <a:off x="6495676" y="19891663"/>
          <a:ext cx="351438"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618904</xdr:colOff>
      <xdr:row>50</xdr:row>
      <xdr:rowOff>34774</xdr:rowOff>
    </xdr:from>
    <xdr:to>
      <xdr:col>11</xdr:col>
      <xdr:colOff>680814</xdr:colOff>
      <xdr:row>51</xdr:row>
      <xdr:rowOff>185900</xdr:rowOff>
    </xdr:to>
    <xdr:sp macro="" textlink="">
      <xdr:nvSpPr>
        <xdr:cNvPr id="126" name="正方形/長方形 125">
          <a:extLst>
            <a:ext uri="{FF2B5EF4-FFF2-40B4-BE49-F238E27FC236}">
              <a16:creationId xmlns:a16="http://schemas.microsoft.com/office/drawing/2014/main" id="{162F3CC1-59EB-4028-B10B-C38F70309CC3}"/>
            </a:ext>
          </a:extLst>
        </xdr:cNvPr>
        <xdr:cNvSpPr/>
      </xdr:nvSpPr>
      <xdr:spPr>
        <a:xfrm>
          <a:off x="6791104" y="16319803"/>
          <a:ext cx="1433510" cy="390611"/>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 VOUT  0_230</a:t>
          </a:r>
          <a:endParaRPr kumimoji="1" lang="ja-JP" altLang="en-US" sz="1100">
            <a:solidFill>
              <a:schemeClr val="tx1"/>
            </a:solidFill>
          </a:endParaRPr>
        </a:p>
      </xdr:txBody>
    </xdr:sp>
    <xdr:clientData/>
  </xdr:twoCellAnchor>
  <xdr:twoCellAnchor>
    <xdr:from>
      <xdr:col>9</xdr:col>
      <xdr:colOff>612058</xdr:colOff>
      <xdr:row>52</xdr:row>
      <xdr:rowOff>32394</xdr:rowOff>
    </xdr:from>
    <xdr:to>
      <xdr:col>11</xdr:col>
      <xdr:colOff>673968</xdr:colOff>
      <xdr:row>53</xdr:row>
      <xdr:rowOff>185541</xdr:rowOff>
    </xdr:to>
    <xdr:sp macro="" textlink="">
      <xdr:nvSpPr>
        <xdr:cNvPr id="127" name="正方形/長方形 126">
          <a:extLst>
            <a:ext uri="{FF2B5EF4-FFF2-40B4-BE49-F238E27FC236}">
              <a16:creationId xmlns:a16="http://schemas.microsoft.com/office/drawing/2014/main" id="{12B8F919-88AE-4242-9DD1-668ED7DAACC4}"/>
            </a:ext>
          </a:extLst>
        </xdr:cNvPr>
        <xdr:cNvSpPr/>
      </xdr:nvSpPr>
      <xdr:spPr>
        <a:xfrm>
          <a:off x="6784258" y="16796394"/>
          <a:ext cx="1433510" cy="392633"/>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 VOUT  1_230</a:t>
          </a:r>
        </a:p>
      </xdr:txBody>
    </xdr:sp>
    <xdr:clientData/>
  </xdr:twoCellAnchor>
  <xdr:twoCellAnchor>
    <xdr:from>
      <xdr:col>9</xdr:col>
      <xdr:colOff>618300</xdr:colOff>
      <xdr:row>54</xdr:row>
      <xdr:rowOff>38484</xdr:rowOff>
    </xdr:from>
    <xdr:to>
      <xdr:col>11</xdr:col>
      <xdr:colOff>680210</xdr:colOff>
      <xdr:row>55</xdr:row>
      <xdr:rowOff>189611</xdr:rowOff>
    </xdr:to>
    <xdr:sp macro="" textlink="">
      <xdr:nvSpPr>
        <xdr:cNvPr id="128" name="正方形/長方形 127">
          <a:extLst>
            <a:ext uri="{FF2B5EF4-FFF2-40B4-BE49-F238E27FC236}">
              <a16:creationId xmlns:a16="http://schemas.microsoft.com/office/drawing/2014/main" id="{A17C0E3B-6196-4F76-86D6-F7B9670E3E43}"/>
            </a:ext>
          </a:extLst>
        </xdr:cNvPr>
        <xdr:cNvSpPr/>
      </xdr:nvSpPr>
      <xdr:spPr>
        <a:xfrm>
          <a:off x="6790500" y="17281455"/>
          <a:ext cx="1433510" cy="390613"/>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 VOUT  2_230</a:t>
          </a:r>
        </a:p>
      </xdr:txBody>
    </xdr:sp>
    <xdr:clientData/>
  </xdr:twoCellAnchor>
  <xdr:twoCellAnchor>
    <xdr:from>
      <xdr:col>9</xdr:col>
      <xdr:colOff>618023</xdr:colOff>
      <xdr:row>56</xdr:row>
      <xdr:rowOff>41514</xdr:rowOff>
    </xdr:from>
    <xdr:to>
      <xdr:col>11</xdr:col>
      <xdr:colOff>679933</xdr:colOff>
      <xdr:row>57</xdr:row>
      <xdr:rowOff>193518</xdr:rowOff>
    </xdr:to>
    <xdr:sp macro="" textlink="">
      <xdr:nvSpPr>
        <xdr:cNvPr id="129" name="正方形/長方形 128">
          <a:extLst>
            <a:ext uri="{FF2B5EF4-FFF2-40B4-BE49-F238E27FC236}">
              <a16:creationId xmlns:a16="http://schemas.microsoft.com/office/drawing/2014/main" id="{DAD2E5B4-BC0B-4A4D-8EFB-C397FF11722C}"/>
            </a:ext>
          </a:extLst>
        </xdr:cNvPr>
        <xdr:cNvSpPr/>
      </xdr:nvSpPr>
      <xdr:spPr>
        <a:xfrm>
          <a:off x="6790223" y="17763457"/>
          <a:ext cx="1433510" cy="391490"/>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 VOUT  3_230</a:t>
          </a:r>
        </a:p>
      </xdr:txBody>
    </xdr:sp>
    <xdr:clientData/>
  </xdr:twoCellAnchor>
  <xdr:twoCellAnchor>
    <xdr:from>
      <xdr:col>9</xdr:col>
      <xdr:colOff>618247</xdr:colOff>
      <xdr:row>58</xdr:row>
      <xdr:rowOff>52839</xdr:rowOff>
    </xdr:from>
    <xdr:to>
      <xdr:col>11</xdr:col>
      <xdr:colOff>680157</xdr:colOff>
      <xdr:row>59</xdr:row>
      <xdr:rowOff>212830</xdr:rowOff>
    </xdr:to>
    <xdr:sp macro="" textlink="">
      <xdr:nvSpPr>
        <xdr:cNvPr id="130" name="正方形/長方形 129">
          <a:extLst>
            <a:ext uri="{FF2B5EF4-FFF2-40B4-BE49-F238E27FC236}">
              <a16:creationId xmlns:a16="http://schemas.microsoft.com/office/drawing/2014/main" id="{96E461F0-58F6-4DAD-8830-27CC176B32EB}"/>
            </a:ext>
          </a:extLst>
        </xdr:cNvPr>
        <xdr:cNvSpPr/>
      </xdr:nvSpPr>
      <xdr:spPr>
        <a:xfrm>
          <a:off x="6790447" y="18253753"/>
          <a:ext cx="1433510" cy="399477"/>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 VOUT  0_231</a:t>
          </a:r>
        </a:p>
      </xdr:txBody>
    </xdr:sp>
    <xdr:clientData/>
  </xdr:twoCellAnchor>
  <xdr:twoCellAnchor>
    <xdr:from>
      <xdr:col>9</xdr:col>
      <xdr:colOff>617970</xdr:colOff>
      <xdr:row>60</xdr:row>
      <xdr:rowOff>50457</xdr:rowOff>
    </xdr:from>
    <xdr:to>
      <xdr:col>11</xdr:col>
      <xdr:colOff>679880</xdr:colOff>
      <xdr:row>61</xdr:row>
      <xdr:rowOff>212470</xdr:rowOff>
    </xdr:to>
    <xdr:sp macro="" textlink="">
      <xdr:nvSpPr>
        <xdr:cNvPr id="131" name="正方形/長方形 130">
          <a:extLst>
            <a:ext uri="{FF2B5EF4-FFF2-40B4-BE49-F238E27FC236}">
              <a16:creationId xmlns:a16="http://schemas.microsoft.com/office/drawing/2014/main" id="{0ECE7C07-1DF2-4903-9131-3C33E2A63282}"/>
            </a:ext>
          </a:extLst>
        </xdr:cNvPr>
        <xdr:cNvSpPr/>
      </xdr:nvSpPr>
      <xdr:spPr>
        <a:xfrm>
          <a:off x="6790170" y="18730343"/>
          <a:ext cx="1433510" cy="401498"/>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 VOUT  1_231</a:t>
          </a:r>
        </a:p>
      </xdr:txBody>
    </xdr:sp>
    <xdr:clientData/>
  </xdr:twoCellAnchor>
  <xdr:twoCellAnchor>
    <xdr:from>
      <xdr:col>9</xdr:col>
      <xdr:colOff>611074</xdr:colOff>
      <xdr:row>62</xdr:row>
      <xdr:rowOff>56548</xdr:rowOff>
    </xdr:from>
    <xdr:to>
      <xdr:col>11</xdr:col>
      <xdr:colOff>672984</xdr:colOff>
      <xdr:row>63</xdr:row>
      <xdr:rowOff>216539</xdr:rowOff>
    </xdr:to>
    <xdr:sp macro="" textlink="">
      <xdr:nvSpPr>
        <xdr:cNvPr id="132" name="正方形/長方形 131">
          <a:extLst>
            <a:ext uri="{FF2B5EF4-FFF2-40B4-BE49-F238E27FC236}">
              <a16:creationId xmlns:a16="http://schemas.microsoft.com/office/drawing/2014/main" id="{04A7F1F6-B371-4068-8C8A-07D3AA29E6A4}"/>
            </a:ext>
          </a:extLst>
        </xdr:cNvPr>
        <xdr:cNvSpPr/>
      </xdr:nvSpPr>
      <xdr:spPr>
        <a:xfrm>
          <a:off x="6783274" y="19215405"/>
          <a:ext cx="1433510" cy="399477"/>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 VOUT  2_231</a:t>
          </a:r>
        </a:p>
      </xdr:txBody>
    </xdr:sp>
    <xdr:clientData/>
  </xdr:twoCellAnchor>
  <xdr:twoCellAnchor>
    <xdr:from>
      <xdr:col>9</xdr:col>
      <xdr:colOff>617366</xdr:colOff>
      <xdr:row>64</xdr:row>
      <xdr:rowOff>63907</xdr:rowOff>
    </xdr:from>
    <xdr:to>
      <xdr:col>11</xdr:col>
      <xdr:colOff>679276</xdr:colOff>
      <xdr:row>65</xdr:row>
      <xdr:rowOff>222749</xdr:rowOff>
    </xdr:to>
    <xdr:sp macro="" textlink="">
      <xdr:nvSpPr>
        <xdr:cNvPr id="133" name="正方形/長方形 132">
          <a:extLst>
            <a:ext uri="{FF2B5EF4-FFF2-40B4-BE49-F238E27FC236}">
              <a16:creationId xmlns:a16="http://schemas.microsoft.com/office/drawing/2014/main" id="{E0DD784E-9283-4D05-9F69-4A7F55E58C25}"/>
            </a:ext>
          </a:extLst>
        </xdr:cNvPr>
        <xdr:cNvSpPr/>
      </xdr:nvSpPr>
      <xdr:spPr>
        <a:xfrm>
          <a:off x="6789566" y="19701736"/>
          <a:ext cx="1433510" cy="398327"/>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 VOUT  3_231</a:t>
          </a:r>
        </a:p>
      </xdr:txBody>
    </xdr:sp>
    <xdr:clientData/>
  </xdr:twoCellAnchor>
  <xdr:twoCellAnchor>
    <xdr:from>
      <xdr:col>5</xdr:col>
      <xdr:colOff>67555</xdr:colOff>
      <xdr:row>50</xdr:row>
      <xdr:rowOff>32472</xdr:rowOff>
    </xdr:from>
    <xdr:to>
      <xdr:col>7</xdr:col>
      <xdr:colOff>129465</xdr:colOff>
      <xdr:row>51</xdr:row>
      <xdr:rowOff>183598</xdr:rowOff>
    </xdr:to>
    <xdr:sp macro="" textlink="">
      <xdr:nvSpPr>
        <xdr:cNvPr id="85" name="正方形/長方形 84">
          <a:extLst>
            <a:ext uri="{FF2B5EF4-FFF2-40B4-BE49-F238E27FC236}">
              <a16:creationId xmlns:a16="http://schemas.microsoft.com/office/drawing/2014/main" id="{E65B71C6-D326-4B29-A23B-16B58708199B}"/>
            </a:ext>
          </a:extLst>
        </xdr:cNvPr>
        <xdr:cNvSpPr/>
      </xdr:nvSpPr>
      <xdr:spPr>
        <a:xfrm>
          <a:off x="3520368" y="16224972"/>
          <a:ext cx="1443035" cy="389251"/>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 VOUT  0_228</a:t>
          </a:r>
          <a:endParaRPr kumimoji="1" lang="ja-JP" altLang="en-US" sz="1100">
            <a:solidFill>
              <a:schemeClr val="tx1"/>
            </a:solidFill>
          </a:endParaRPr>
        </a:p>
      </xdr:txBody>
    </xdr:sp>
    <xdr:clientData/>
  </xdr:twoCellAnchor>
  <xdr:twoCellAnchor>
    <xdr:from>
      <xdr:col>5</xdr:col>
      <xdr:colOff>60709</xdr:colOff>
      <xdr:row>52</xdr:row>
      <xdr:rowOff>30092</xdr:rowOff>
    </xdr:from>
    <xdr:to>
      <xdr:col>7</xdr:col>
      <xdr:colOff>122619</xdr:colOff>
      <xdr:row>53</xdr:row>
      <xdr:rowOff>183239</xdr:rowOff>
    </xdr:to>
    <xdr:sp macro="" textlink="">
      <xdr:nvSpPr>
        <xdr:cNvPr id="87" name="正方形/長方形 86">
          <a:extLst>
            <a:ext uri="{FF2B5EF4-FFF2-40B4-BE49-F238E27FC236}">
              <a16:creationId xmlns:a16="http://schemas.microsoft.com/office/drawing/2014/main" id="{83B6D633-57CC-4FA6-9A5E-0D9FAA651EB7}"/>
            </a:ext>
          </a:extLst>
        </xdr:cNvPr>
        <xdr:cNvSpPr/>
      </xdr:nvSpPr>
      <xdr:spPr>
        <a:xfrm>
          <a:off x="3513522" y="16698842"/>
          <a:ext cx="1443035" cy="391272"/>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 VOUT  1_228</a:t>
          </a:r>
        </a:p>
      </xdr:txBody>
    </xdr:sp>
    <xdr:clientData/>
  </xdr:twoCellAnchor>
  <xdr:twoCellAnchor>
    <xdr:from>
      <xdr:col>5</xdr:col>
      <xdr:colOff>66951</xdr:colOff>
      <xdr:row>54</xdr:row>
      <xdr:rowOff>36182</xdr:rowOff>
    </xdr:from>
    <xdr:to>
      <xdr:col>7</xdr:col>
      <xdr:colOff>128861</xdr:colOff>
      <xdr:row>55</xdr:row>
      <xdr:rowOff>187309</xdr:rowOff>
    </xdr:to>
    <xdr:sp macro="" textlink="">
      <xdr:nvSpPr>
        <xdr:cNvPr id="95" name="正方形/長方形 94">
          <a:extLst>
            <a:ext uri="{FF2B5EF4-FFF2-40B4-BE49-F238E27FC236}">
              <a16:creationId xmlns:a16="http://schemas.microsoft.com/office/drawing/2014/main" id="{AC277E4E-D474-42BE-81B3-6557AA2A9243}"/>
            </a:ext>
          </a:extLst>
        </xdr:cNvPr>
        <xdr:cNvSpPr/>
      </xdr:nvSpPr>
      <xdr:spPr>
        <a:xfrm>
          <a:off x="3519764" y="17181182"/>
          <a:ext cx="1443035" cy="389252"/>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 VOUT  2_228</a:t>
          </a:r>
        </a:p>
      </xdr:txBody>
    </xdr:sp>
    <xdr:clientData/>
  </xdr:twoCellAnchor>
  <xdr:twoCellAnchor>
    <xdr:from>
      <xdr:col>5</xdr:col>
      <xdr:colOff>66674</xdr:colOff>
      <xdr:row>56</xdr:row>
      <xdr:rowOff>39212</xdr:rowOff>
    </xdr:from>
    <xdr:to>
      <xdr:col>7</xdr:col>
      <xdr:colOff>128584</xdr:colOff>
      <xdr:row>57</xdr:row>
      <xdr:rowOff>193519</xdr:rowOff>
    </xdr:to>
    <xdr:sp macro="" textlink="">
      <xdr:nvSpPr>
        <xdr:cNvPr id="102" name="正方形/長方形 101">
          <a:extLst>
            <a:ext uri="{FF2B5EF4-FFF2-40B4-BE49-F238E27FC236}">
              <a16:creationId xmlns:a16="http://schemas.microsoft.com/office/drawing/2014/main" id="{E8F1A337-FF23-4CEA-89CF-E30E743F5DC3}"/>
            </a:ext>
          </a:extLst>
        </xdr:cNvPr>
        <xdr:cNvSpPr/>
      </xdr:nvSpPr>
      <xdr:spPr>
        <a:xfrm>
          <a:off x="3519487" y="17660462"/>
          <a:ext cx="1443035" cy="392432"/>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 VOUT  3_228</a:t>
          </a:r>
        </a:p>
      </xdr:txBody>
    </xdr:sp>
    <xdr:clientData/>
  </xdr:twoCellAnchor>
  <xdr:twoCellAnchor>
    <xdr:from>
      <xdr:col>5</xdr:col>
      <xdr:colOff>66898</xdr:colOff>
      <xdr:row>58</xdr:row>
      <xdr:rowOff>50537</xdr:rowOff>
    </xdr:from>
    <xdr:to>
      <xdr:col>7</xdr:col>
      <xdr:colOff>128808</xdr:colOff>
      <xdr:row>59</xdr:row>
      <xdr:rowOff>212830</xdr:rowOff>
    </xdr:to>
    <xdr:sp macro="" textlink="">
      <xdr:nvSpPr>
        <xdr:cNvPr id="103" name="正方形/長方形 102">
          <a:extLst>
            <a:ext uri="{FF2B5EF4-FFF2-40B4-BE49-F238E27FC236}">
              <a16:creationId xmlns:a16="http://schemas.microsoft.com/office/drawing/2014/main" id="{A0213B7D-0CA7-42F6-96CC-7D4532595B71}"/>
            </a:ext>
          </a:extLst>
        </xdr:cNvPr>
        <xdr:cNvSpPr/>
      </xdr:nvSpPr>
      <xdr:spPr>
        <a:xfrm>
          <a:off x="3519711" y="18148037"/>
          <a:ext cx="1443035" cy="400418"/>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 VOUT  0_229</a:t>
          </a:r>
        </a:p>
      </xdr:txBody>
    </xdr:sp>
    <xdr:clientData/>
  </xdr:twoCellAnchor>
  <xdr:twoCellAnchor>
    <xdr:from>
      <xdr:col>5</xdr:col>
      <xdr:colOff>66621</xdr:colOff>
      <xdr:row>60</xdr:row>
      <xdr:rowOff>48155</xdr:rowOff>
    </xdr:from>
    <xdr:to>
      <xdr:col>7</xdr:col>
      <xdr:colOff>128531</xdr:colOff>
      <xdr:row>61</xdr:row>
      <xdr:rowOff>212471</xdr:rowOff>
    </xdr:to>
    <xdr:sp macro="" textlink="">
      <xdr:nvSpPr>
        <xdr:cNvPr id="104" name="正方形/長方形 103">
          <a:extLst>
            <a:ext uri="{FF2B5EF4-FFF2-40B4-BE49-F238E27FC236}">
              <a16:creationId xmlns:a16="http://schemas.microsoft.com/office/drawing/2014/main" id="{F2223C22-72DE-4360-847E-9C2D7524A476}"/>
            </a:ext>
          </a:extLst>
        </xdr:cNvPr>
        <xdr:cNvSpPr/>
      </xdr:nvSpPr>
      <xdr:spPr>
        <a:xfrm>
          <a:off x="3519434" y="18621905"/>
          <a:ext cx="1443035" cy="402441"/>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 VOUT  1_229</a:t>
          </a:r>
        </a:p>
      </xdr:txBody>
    </xdr:sp>
    <xdr:clientData/>
  </xdr:twoCellAnchor>
  <xdr:twoCellAnchor>
    <xdr:from>
      <xdr:col>5</xdr:col>
      <xdr:colOff>59725</xdr:colOff>
      <xdr:row>62</xdr:row>
      <xdr:rowOff>54246</xdr:rowOff>
    </xdr:from>
    <xdr:to>
      <xdr:col>7</xdr:col>
      <xdr:colOff>121635</xdr:colOff>
      <xdr:row>63</xdr:row>
      <xdr:rowOff>216540</xdr:rowOff>
    </xdr:to>
    <xdr:sp macro="" textlink="">
      <xdr:nvSpPr>
        <xdr:cNvPr id="105" name="正方形/長方形 104">
          <a:extLst>
            <a:ext uri="{FF2B5EF4-FFF2-40B4-BE49-F238E27FC236}">
              <a16:creationId xmlns:a16="http://schemas.microsoft.com/office/drawing/2014/main" id="{9BDCAC4D-35C1-44C0-92CA-0B7EE480DE22}"/>
            </a:ext>
          </a:extLst>
        </xdr:cNvPr>
        <xdr:cNvSpPr/>
      </xdr:nvSpPr>
      <xdr:spPr>
        <a:xfrm>
          <a:off x="3512538" y="19104246"/>
          <a:ext cx="1443035" cy="400419"/>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 VOUT  2_229</a:t>
          </a:r>
        </a:p>
      </xdr:txBody>
    </xdr:sp>
    <xdr:clientData/>
  </xdr:twoCellAnchor>
  <xdr:twoCellAnchor>
    <xdr:from>
      <xdr:col>5</xdr:col>
      <xdr:colOff>66017</xdr:colOff>
      <xdr:row>64</xdr:row>
      <xdr:rowOff>61605</xdr:rowOff>
    </xdr:from>
    <xdr:to>
      <xdr:col>7</xdr:col>
      <xdr:colOff>127927</xdr:colOff>
      <xdr:row>65</xdr:row>
      <xdr:rowOff>222750</xdr:rowOff>
    </xdr:to>
    <xdr:sp macro="" textlink="">
      <xdr:nvSpPr>
        <xdr:cNvPr id="106" name="正方形/長方形 105">
          <a:extLst>
            <a:ext uri="{FF2B5EF4-FFF2-40B4-BE49-F238E27FC236}">
              <a16:creationId xmlns:a16="http://schemas.microsoft.com/office/drawing/2014/main" id="{B04D8DF5-D71D-4645-A0E5-5CC762390084}"/>
            </a:ext>
          </a:extLst>
        </xdr:cNvPr>
        <xdr:cNvSpPr/>
      </xdr:nvSpPr>
      <xdr:spPr>
        <a:xfrm>
          <a:off x="3518830" y="19587855"/>
          <a:ext cx="1443035" cy="399270"/>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 VOUT  3_229</a:t>
          </a:r>
        </a:p>
      </xdr:txBody>
    </xdr:sp>
    <xdr:clientData/>
  </xdr:twoCellAnchor>
  <xdr:twoCellAnchor>
    <xdr:from>
      <xdr:col>12</xdr:col>
      <xdr:colOff>2456</xdr:colOff>
      <xdr:row>50</xdr:row>
      <xdr:rowOff>66681</xdr:rowOff>
    </xdr:from>
    <xdr:to>
      <xdr:col>13</xdr:col>
      <xdr:colOff>86376</xdr:colOff>
      <xdr:row>51</xdr:row>
      <xdr:rowOff>140863</xdr:rowOff>
    </xdr:to>
    <xdr:sp macro="" textlink="">
      <xdr:nvSpPr>
        <xdr:cNvPr id="175" name="正方形/長方形 174">
          <a:extLst>
            <a:ext uri="{FF2B5EF4-FFF2-40B4-BE49-F238E27FC236}">
              <a16:creationId xmlns:a16="http://schemas.microsoft.com/office/drawing/2014/main" id="{938C7AC1-EBD2-4CC5-B496-CD479D35FA09}"/>
            </a:ext>
          </a:extLst>
        </xdr:cNvPr>
        <xdr:cNvSpPr/>
      </xdr:nvSpPr>
      <xdr:spPr>
        <a:xfrm>
          <a:off x="8232056" y="16351710"/>
          <a:ext cx="769720" cy="31366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a:solidFill>
                <a:schemeClr val="tx1"/>
              </a:solidFill>
            </a:rPr>
            <a:t>AWG 8</a:t>
          </a:r>
        </a:p>
      </xdr:txBody>
    </xdr:sp>
    <xdr:clientData/>
  </xdr:twoCellAnchor>
  <xdr:twoCellAnchor>
    <xdr:from>
      <xdr:col>11</xdr:col>
      <xdr:colOff>676688</xdr:colOff>
      <xdr:row>52</xdr:row>
      <xdr:rowOff>67337</xdr:rowOff>
    </xdr:from>
    <xdr:to>
      <xdr:col>12</xdr:col>
      <xdr:colOff>680959</xdr:colOff>
      <xdr:row>53</xdr:row>
      <xdr:rowOff>141520</xdr:rowOff>
    </xdr:to>
    <xdr:sp macro="" textlink="">
      <xdr:nvSpPr>
        <xdr:cNvPr id="176" name="正方形/長方形 175">
          <a:extLst>
            <a:ext uri="{FF2B5EF4-FFF2-40B4-BE49-F238E27FC236}">
              <a16:creationId xmlns:a16="http://schemas.microsoft.com/office/drawing/2014/main" id="{47BFEAFB-44DA-4C8D-B737-EE91DE1A067F}"/>
            </a:ext>
          </a:extLst>
        </xdr:cNvPr>
        <xdr:cNvSpPr/>
      </xdr:nvSpPr>
      <xdr:spPr>
        <a:xfrm>
          <a:off x="8220488" y="16831337"/>
          <a:ext cx="690071" cy="31366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a:solidFill>
                <a:schemeClr val="tx1"/>
              </a:solidFill>
            </a:rPr>
            <a:t>AWG 9</a:t>
          </a:r>
        </a:p>
      </xdr:txBody>
    </xdr:sp>
    <xdr:clientData/>
  </xdr:twoCellAnchor>
  <xdr:twoCellAnchor>
    <xdr:from>
      <xdr:col>11</xdr:col>
      <xdr:colOff>682131</xdr:colOff>
      <xdr:row>54</xdr:row>
      <xdr:rowOff>73250</xdr:rowOff>
    </xdr:from>
    <xdr:to>
      <xdr:col>13</xdr:col>
      <xdr:colOff>43542</xdr:colOff>
      <xdr:row>55</xdr:row>
      <xdr:rowOff>147432</xdr:rowOff>
    </xdr:to>
    <xdr:sp macro="" textlink="">
      <xdr:nvSpPr>
        <xdr:cNvPr id="177" name="正方形/長方形 176">
          <a:extLst>
            <a:ext uri="{FF2B5EF4-FFF2-40B4-BE49-F238E27FC236}">
              <a16:creationId xmlns:a16="http://schemas.microsoft.com/office/drawing/2014/main" id="{8B159496-6080-4EFD-830F-88882A2A516C}"/>
            </a:ext>
          </a:extLst>
        </xdr:cNvPr>
        <xdr:cNvSpPr/>
      </xdr:nvSpPr>
      <xdr:spPr>
        <a:xfrm>
          <a:off x="8225931" y="17316221"/>
          <a:ext cx="733011" cy="31366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a:solidFill>
                <a:schemeClr val="tx1"/>
              </a:solidFill>
            </a:rPr>
            <a:t>AWG 10</a:t>
          </a:r>
        </a:p>
      </xdr:txBody>
    </xdr:sp>
    <xdr:clientData/>
  </xdr:twoCellAnchor>
  <xdr:twoCellAnchor>
    <xdr:from>
      <xdr:col>12</xdr:col>
      <xdr:colOff>1094</xdr:colOff>
      <xdr:row>56</xdr:row>
      <xdr:rowOff>56451</xdr:rowOff>
    </xdr:from>
    <xdr:to>
      <xdr:col>13</xdr:col>
      <xdr:colOff>163286</xdr:colOff>
      <xdr:row>57</xdr:row>
      <xdr:rowOff>130635</xdr:rowOff>
    </xdr:to>
    <xdr:sp macro="" textlink="">
      <xdr:nvSpPr>
        <xdr:cNvPr id="178" name="正方形/長方形 177">
          <a:extLst>
            <a:ext uri="{FF2B5EF4-FFF2-40B4-BE49-F238E27FC236}">
              <a16:creationId xmlns:a16="http://schemas.microsoft.com/office/drawing/2014/main" id="{2104A181-8026-4D61-ABBD-44F4D6F27DB1}"/>
            </a:ext>
          </a:extLst>
        </xdr:cNvPr>
        <xdr:cNvSpPr/>
      </xdr:nvSpPr>
      <xdr:spPr>
        <a:xfrm>
          <a:off x="8230694" y="17778394"/>
          <a:ext cx="847992" cy="31367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a:solidFill>
                <a:schemeClr val="tx1"/>
              </a:solidFill>
            </a:rPr>
            <a:t>AWG 11</a:t>
          </a:r>
        </a:p>
      </xdr:txBody>
    </xdr:sp>
    <xdr:clientData/>
  </xdr:twoCellAnchor>
  <xdr:twoCellAnchor>
    <xdr:from>
      <xdr:col>11</xdr:col>
      <xdr:colOff>684854</xdr:colOff>
      <xdr:row>58</xdr:row>
      <xdr:rowOff>101403</xdr:rowOff>
    </xdr:from>
    <xdr:to>
      <xdr:col>13</xdr:col>
      <xdr:colOff>87086</xdr:colOff>
      <xdr:row>59</xdr:row>
      <xdr:rowOff>175586</xdr:rowOff>
    </xdr:to>
    <xdr:sp macro="" textlink="">
      <xdr:nvSpPr>
        <xdr:cNvPr id="179" name="正方形/長方形 178">
          <a:extLst>
            <a:ext uri="{FF2B5EF4-FFF2-40B4-BE49-F238E27FC236}">
              <a16:creationId xmlns:a16="http://schemas.microsoft.com/office/drawing/2014/main" id="{DF4844BA-0838-4306-BB88-C1A432862005}"/>
            </a:ext>
          </a:extLst>
        </xdr:cNvPr>
        <xdr:cNvSpPr/>
      </xdr:nvSpPr>
      <xdr:spPr>
        <a:xfrm>
          <a:off x="8228654" y="18302317"/>
          <a:ext cx="773832" cy="31366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a:solidFill>
                <a:schemeClr val="tx1"/>
              </a:solidFill>
            </a:rPr>
            <a:t>AWG 12</a:t>
          </a:r>
        </a:p>
      </xdr:txBody>
    </xdr:sp>
    <xdr:clientData/>
  </xdr:twoCellAnchor>
  <xdr:twoCellAnchor>
    <xdr:from>
      <xdr:col>11</xdr:col>
      <xdr:colOff>680771</xdr:colOff>
      <xdr:row>60</xdr:row>
      <xdr:rowOff>88920</xdr:rowOff>
    </xdr:from>
    <xdr:to>
      <xdr:col>13</xdr:col>
      <xdr:colOff>29130</xdr:colOff>
      <xdr:row>61</xdr:row>
      <xdr:rowOff>163105</xdr:rowOff>
    </xdr:to>
    <xdr:sp macro="" textlink="">
      <xdr:nvSpPr>
        <xdr:cNvPr id="180" name="正方形/長方形 179">
          <a:extLst>
            <a:ext uri="{FF2B5EF4-FFF2-40B4-BE49-F238E27FC236}">
              <a16:creationId xmlns:a16="http://schemas.microsoft.com/office/drawing/2014/main" id="{DDA12CDB-BA1B-48A5-8489-9D1A2D78406F}"/>
            </a:ext>
          </a:extLst>
        </xdr:cNvPr>
        <xdr:cNvSpPr/>
      </xdr:nvSpPr>
      <xdr:spPr>
        <a:xfrm>
          <a:off x="8224571" y="18768806"/>
          <a:ext cx="719959" cy="31367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a:solidFill>
                <a:schemeClr val="tx1"/>
              </a:solidFill>
            </a:rPr>
            <a:t>AWG 13</a:t>
          </a:r>
        </a:p>
      </xdr:txBody>
    </xdr:sp>
    <xdr:clientData/>
  </xdr:twoCellAnchor>
  <xdr:twoCellAnchor>
    <xdr:from>
      <xdr:col>11</xdr:col>
      <xdr:colOff>679411</xdr:colOff>
      <xdr:row>62</xdr:row>
      <xdr:rowOff>114540</xdr:rowOff>
    </xdr:from>
    <xdr:to>
      <xdr:col>13</xdr:col>
      <xdr:colOff>18245</xdr:colOff>
      <xdr:row>63</xdr:row>
      <xdr:rowOff>188724</xdr:rowOff>
    </xdr:to>
    <xdr:sp macro="" textlink="">
      <xdr:nvSpPr>
        <xdr:cNvPr id="181" name="正方形/長方形 180">
          <a:extLst>
            <a:ext uri="{FF2B5EF4-FFF2-40B4-BE49-F238E27FC236}">
              <a16:creationId xmlns:a16="http://schemas.microsoft.com/office/drawing/2014/main" id="{4106C43A-A4AD-41C8-995C-36710EAEDA43}"/>
            </a:ext>
          </a:extLst>
        </xdr:cNvPr>
        <xdr:cNvSpPr/>
      </xdr:nvSpPr>
      <xdr:spPr>
        <a:xfrm>
          <a:off x="8223211" y="19273397"/>
          <a:ext cx="710434" cy="31367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a:solidFill>
                <a:schemeClr val="tx1"/>
              </a:solidFill>
            </a:rPr>
            <a:t>AWG 14</a:t>
          </a:r>
        </a:p>
      </xdr:txBody>
    </xdr:sp>
    <xdr:clientData/>
  </xdr:twoCellAnchor>
  <xdr:twoCellAnchor>
    <xdr:from>
      <xdr:col>11</xdr:col>
      <xdr:colOff>680771</xdr:colOff>
      <xdr:row>64</xdr:row>
      <xdr:rowOff>100416</xdr:rowOff>
    </xdr:from>
    <xdr:to>
      <xdr:col>13</xdr:col>
      <xdr:colOff>30444</xdr:colOff>
      <xdr:row>65</xdr:row>
      <xdr:rowOff>176243</xdr:rowOff>
    </xdr:to>
    <xdr:sp macro="" textlink="">
      <xdr:nvSpPr>
        <xdr:cNvPr id="182" name="正方形/長方形 181">
          <a:extLst>
            <a:ext uri="{FF2B5EF4-FFF2-40B4-BE49-F238E27FC236}">
              <a16:creationId xmlns:a16="http://schemas.microsoft.com/office/drawing/2014/main" id="{B85F7D36-7829-4ED9-BC30-3BC465EC6ABB}"/>
            </a:ext>
          </a:extLst>
        </xdr:cNvPr>
        <xdr:cNvSpPr/>
      </xdr:nvSpPr>
      <xdr:spPr>
        <a:xfrm>
          <a:off x="8224571" y="19738245"/>
          <a:ext cx="721273" cy="31531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a:solidFill>
                <a:schemeClr val="tx1"/>
              </a:solidFill>
            </a:rPr>
            <a:t>AWG 15</a:t>
          </a:r>
        </a:p>
      </xdr:txBody>
    </xdr:sp>
    <xdr:clientData/>
  </xdr:twoCellAnchor>
  <xdr:twoCellAnchor>
    <xdr:from>
      <xdr:col>7</xdr:col>
      <xdr:colOff>403395</xdr:colOff>
      <xdr:row>50</xdr:row>
      <xdr:rowOff>33787</xdr:rowOff>
    </xdr:from>
    <xdr:to>
      <xdr:col>9</xdr:col>
      <xdr:colOff>321494</xdr:colOff>
      <xdr:row>66</xdr:row>
      <xdr:rowOff>69273</xdr:rowOff>
    </xdr:to>
    <xdr:sp macro="" textlink="">
      <xdr:nvSpPr>
        <xdr:cNvPr id="125" name="正方形/長方形 124">
          <a:extLst>
            <a:ext uri="{FF2B5EF4-FFF2-40B4-BE49-F238E27FC236}">
              <a16:creationId xmlns:a16="http://schemas.microsoft.com/office/drawing/2014/main" id="{C334299C-97C6-4859-8332-8E096A4CA697}"/>
            </a:ext>
          </a:extLst>
        </xdr:cNvPr>
        <xdr:cNvSpPr/>
      </xdr:nvSpPr>
      <xdr:spPr>
        <a:xfrm>
          <a:off x="5237333" y="16226287"/>
          <a:ext cx="1299224" cy="3845486"/>
        </a:xfrm>
        <a:prstGeom prst="rect">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オシロスコープ</a:t>
          </a:r>
        </a:p>
      </xdr:txBody>
    </xdr:sp>
    <xdr:clientData/>
  </xdr:twoCellAnchor>
  <xdr:twoCellAnchor>
    <xdr:from>
      <xdr:col>3</xdr:col>
      <xdr:colOff>617285</xdr:colOff>
      <xdr:row>67</xdr:row>
      <xdr:rowOff>77568</xdr:rowOff>
    </xdr:from>
    <xdr:to>
      <xdr:col>5</xdr:col>
      <xdr:colOff>15405</xdr:colOff>
      <xdr:row>68</xdr:row>
      <xdr:rowOff>151750</xdr:rowOff>
    </xdr:to>
    <xdr:sp macro="" textlink="">
      <xdr:nvSpPr>
        <xdr:cNvPr id="42" name="正方形/長方形 41">
          <a:extLst>
            <a:ext uri="{FF2B5EF4-FFF2-40B4-BE49-F238E27FC236}">
              <a16:creationId xmlns:a16="http://schemas.microsoft.com/office/drawing/2014/main" id="{C6C62455-6C8C-4375-835B-698F0011D92D}"/>
            </a:ext>
          </a:extLst>
        </xdr:cNvPr>
        <xdr:cNvSpPr/>
      </xdr:nvSpPr>
      <xdr:spPr>
        <a:xfrm>
          <a:off x="2683477" y="20629587"/>
          <a:ext cx="775582" cy="31597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200">
              <a:solidFill>
                <a:schemeClr val="tx1"/>
              </a:solidFill>
            </a:rPr>
            <a:t>AWG 0</a:t>
          </a:r>
        </a:p>
      </xdr:txBody>
    </xdr:sp>
    <xdr:clientData/>
  </xdr:twoCellAnchor>
  <xdr:twoCellAnchor>
    <xdr:from>
      <xdr:col>4</xdr:col>
      <xdr:colOff>12448</xdr:colOff>
      <xdr:row>69</xdr:row>
      <xdr:rowOff>78224</xdr:rowOff>
    </xdr:from>
    <xdr:to>
      <xdr:col>5</xdr:col>
      <xdr:colOff>16719</xdr:colOff>
      <xdr:row>70</xdr:row>
      <xdr:rowOff>152407</xdr:rowOff>
    </xdr:to>
    <xdr:sp macro="" textlink="">
      <xdr:nvSpPr>
        <xdr:cNvPr id="43" name="正方形/長方形 42">
          <a:extLst>
            <a:ext uri="{FF2B5EF4-FFF2-40B4-BE49-F238E27FC236}">
              <a16:creationId xmlns:a16="http://schemas.microsoft.com/office/drawing/2014/main" id="{BDBDD19E-F2B7-4F29-838B-FB2ABD4734B6}"/>
            </a:ext>
          </a:extLst>
        </xdr:cNvPr>
        <xdr:cNvSpPr/>
      </xdr:nvSpPr>
      <xdr:spPr>
        <a:xfrm>
          <a:off x="2767371" y="21113820"/>
          <a:ext cx="693002" cy="31597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200">
              <a:solidFill>
                <a:schemeClr val="tx1"/>
              </a:solidFill>
            </a:rPr>
            <a:t>AWG 1</a:t>
          </a:r>
        </a:p>
      </xdr:txBody>
    </xdr:sp>
    <xdr:clientData/>
  </xdr:twoCellAnchor>
  <xdr:twoCellAnchor>
    <xdr:from>
      <xdr:col>4</xdr:col>
      <xdr:colOff>12449</xdr:colOff>
      <xdr:row>71</xdr:row>
      <xdr:rowOff>84137</xdr:rowOff>
    </xdr:from>
    <xdr:to>
      <xdr:col>5</xdr:col>
      <xdr:colOff>23289</xdr:colOff>
      <xdr:row>72</xdr:row>
      <xdr:rowOff>158319</xdr:rowOff>
    </xdr:to>
    <xdr:sp macro="" textlink="">
      <xdr:nvSpPr>
        <xdr:cNvPr id="44" name="正方形/長方形 43">
          <a:extLst>
            <a:ext uri="{FF2B5EF4-FFF2-40B4-BE49-F238E27FC236}">
              <a16:creationId xmlns:a16="http://schemas.microsoft.com/office/drawing/2014/main" id="{B5FDA6F4-66DE-4A73-90F4-DB5C93FF9D95}"/>
            </a:ext>
          </a:extLst>
        </xdr:cNvPr>
        <xdr:cNvSpPr/>
      </xdr:nvSpPr>
      <xdr:spPr>
        <a:xfrm>
          <a:off x="2767372" y="21603310"/>
          <a:ext cx="699571" cy="31597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200">
              <a:solidFill>
                <a:schemeClr val="tx1"/>
              </a:solidFill>
            </a:rPr>
            <a:t>AWG 2</a:t>
          </a:r>
        </a:p>
      </xdr:txBody>
    </xdr:sp>
    <xdr:clientData/>
  </xdr:twoCellAnchor>
  <xdr:twoCellAnchor>
    <xdr:from>
      <xdr:col>4</xdr:col>
      <xdr:colOff>55312</xdr:colOff>
      <xdr:row>73</xdr:row>
      <xdr:rowOff>78224</xdr:rowOff>
    </xdr:from>
    <xdr:to>
      <xdr:col>5</xdr:col>
      <xdr:colOff>24603</xdr:colOff>
      <xdr:row>74</xdr:row>
      <xdr:rowOff>152409</xdr:rowOff>
    </xdr:to>
    <xdr:sp macro="" textlink="">
      <xdr:nvSpPr>
        <xdr:cNvPr id="45" name="正方形/長方形 44">
          <a:extLst>
            <a:ext uri="{FF2B5EF4-FFF2-40B4-BE49-F238E27FC236}">
              <a16:creationId xmlns:a16="http://schemas.microsoft.com/office/drawing/2014/main" id="{56551E36-DA30-43D4-80A5-AC2A38ED091C}"/>
            </a:ext>
          </a:extLst>
        </xdr:cNvPr>
        <xdr:cNvSpPr/>
      </xdr:nvSpPr>
      <xdr:spPr>
        <a:xfrm>
          <a:off x="2810235" y="22080974"/>
          <a:ext cx="658022" cy="31597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200">
              <a:solidFill>
                <a:schemeClr val="tx1"/>
              </a:solidFill>
            </a:rPr>
            <a:t>AWG 3</a:t>
          </a:r>
        </a:p>
      </xdr:txBody>
    </xdr:sp>
    <xdr:clientData/>
  </xdr:twoCellAnchor>
  <xdr:twoCellAnchor>
    <xdr:from>
      <xdr:col>3</xdr:col>
      <xdr:colOff>682130</xdr:colOff>
      <xdr:row>75</xdr:row>
      <xdr:rowOff>95961</xdr:rowOff>
    </xdr:from>
    <xdr:to>
      <xdr:col>5</xdr:col>
      <xdr:colOff>16719</xdr:colOff>
      <xdr:row>76</xdr:row>
      <xdr:rowOff>170145</xdr:rowOff>
    </xdr:to>
    <xdr:sp macro="" textlink="">
      <xdr:nvSpPr>
        <xdr:cNvPr id="46" name="正方形/長方形 45">
          <a:extLst>
            <a:ext uri="{FF2B5EF4-FFF2-40B4-BE49-F238E27FC236}">
              <a16:creationId xmlns:a16="http://schemas.microsoft.com/office/drawing/2014/main" id="{302879A1-3DD4-4C8D-B8E9-34C0503354AB}"/>
            </a:ext>
          </a:extLst>
        </xdr:cNvPr>
        <xdr:cNvSpPr/>
      </xdr:nvSpPr>
      <xdr:spPr>
        <a:xfrm>
          <a:off x="2748322" y="22582288"/>
          <a:ext cx="712051" cy="31597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200">
              <a:solidFill>
                <a:schemeClr val="tx1"/>
              </a:solidFill>
            </a:rPr>
            <a:t>AWG 4</a:t>
          </a:r>
        </a:p>
      </xdr:txBody>
    </xdr:sp>
    <xdr:clientData/>
  </xdr:twoCellAnchor>
  <xdr:twoCellAnchor>
    <xdr:from>
      <xdr:col>3</xdr:col>
      <xdr:colOff>672604</xdr:colOff>
      <xdr:row>77</xdr:row>
      <xdr:rowOff>83478</xdr:rowOff>
    </xdr:from>
    <xdr:to>
      <xdr:col>5</xdr:col>
      <xdr:colOff>18032</xdr:colOff>
      <xdr:row>78</xdr:row>
      <xdr:rowOff>157663</xdr:rowOff>
    </xdr:to>
    <xdr:sp macro="" textlink="">
      <xdr:nvSpPr>
        <xdr:cNvPr id="47" name="正方形/長方形 46">
          <a:extLst>
            <a:ext uri="{FF2B5EF4-FFF2-40B4-BE49-F238E27FC236}">
              <a16:creationId xmlns:a16="http://schemas.microsoft.com/office/drawing/2014/main" id="{5703FAA6-DC25-4275-A343-192680DED7AF}"/>
            </a:ext>
          </a:extLst>
        </xdr:cNvPr>
        <xdr:cNvSpPr/>
      </xdr:nvSpPr>
      <xdr:spPr>
        <a:xfrm>
          <a:off x="2738796" y="23053382"/>
          <a:ext cx="722890" cy="31597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200">
              <a:solidFill>
                <a:schemeClr val="tx1"/>
              </a:solidFill>
            </a:rPr>
            <a:t>AWG 5</a:t>
          </a:r>
        </a:p>
      </xdr:txBody>
    </xdr:sp>
    <xdr:clientData/>
  </xdr:twoCellAnchor>
  <xdr:twoCellAnchor>
    <xdr:from>
      <xdr:col>3</xdr:col>
      <xdr:colOff>682130</xdr:colOff>
      <xdr:row>79</xdr:row>
      <xdr:rowOff>109098</xdr:rowOff>
    </xdr:from>
    <xdr:to>
      <xdr:col>5</xdr:col>
      <xdr:colOff>18033</xdr:colOff>
      <xdr:row>80</xdr:row>
      <xdr:rowOff>183282</xdr:rowOff>
    </xdr:to>
    <xdr:sp macro="" textlink="">
      <xdr:nvSpPr>
        <xdr:cNvPr id="48" name="正方形/長方形 47">
          <a:extLst>
            <a:ext uri="{FF2B5EF4-FFF2-40B4-BE49-F238E27FC236}">
              <a16:creationId xmlns:a16="http://schemas.microsoft.com/office/drawing/2014/main" id="{CA91CA7C-FA94-4E73-AB76-F0FF8F20E370}"/>
            </a:ext>
          </a:extLst>
        </xdr:cNvPr>
        <xdr:cNvSpPr/>
      </xdr:nvSpPr>
      <xdr:spPr>
        <a:xfrm>
          <a:off x="2748322" y="23562579"/>
          <a:ext cx="713365" cy="31597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200">
              <a:solidFill>
                <a:schemeClr val="tx1"/>
              </a:solidFill>
            </a:rPr>
            <a:t>AWG 6</a:t>
          </a:r>
        </a:p>
      </xdr:txBody>
    </xdr:sp>
    <xdr:clientData/>
  </xdr:twoCellAnchor>
  <xdr:twoCellAnchor>
    <xdr:from>
      <xdr:col>3</xdr:col>
      <xdr:colOff>672604</xdr:colOff>
      <xdr:row>81</xdr:row>
      <xdr:rowOff>94974</xdr:rowOff>
    </xdr:from>
    <xdr:to>
      <xdr:col>5</xdr:col>
      <xdr:colOff>19346</xdr:colOff>
      <xdr:row>82</xdr:row>
      <xdr:rowOff>170801</xdr:rowOff>
    </xdr:to>
    <xdr:sp macro="" textlink="">
      <xdr:nvSpPr>
        <xdr:cNvPr id="49" name="正方形/長方形 48">
          <a:extLst>
            <a:ext uri="{FF2B5EF4-FFF2-40B4-BE49-F238E27FC236}">
              <a16:creationId xmlns:a16="http://schemas.microsoft.com/office/drawing/2014/main" id="{FC2AB734-3598-4ADD-AF3B-DD017924EF20}"/>
            </a:ext>
          </a:extLst>
        </xdr:cNvPr>
        <xdr:cNvSpPr/>
      </xdr:nvSpPr>
      <xdr:spPr>
        <a:xfrm>
          <a:off x="2738796" y="24032032"/>
          <a:ext cx="724204" cy="31761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200">
              <a:solidFill>
                <a:schemeClr val="tx1"/>
              </a:solidFill>
            </a:rPr>
            <a:t>AWG 7</a:t>
          </a:r>
        </a:p>
      </xdr:txBody>
    </xdr:sp>
    <xdr:clientData/>
  </xdr:twoCellAnchor>
  <xdr:twoCellAnchor>
    <xdr:from>
      <xdr:col>7</xdr:col>
      <xdr:colOff>35850</xdr:colOff>
      <xdr:row>68</xdr:row>
      <xdr:rowOff>5453</xdr:rowOff>
    </xdr:from>
    <xdr:to>
      <xdr:col>7</xdr:col>
      <xdr:colOff>354981</xdr:colOff>
      <xdr:row>68</xdr:row>
      <xdr:rowOff>5453</xdr:rowOff>
    </xdr:to>
    <xdr:cxnSp macro="">
      <xdr:nvCxnSpPr>
        <xdr:cNvPr id="50" name="直線コネクタ 49">
          <a:extLst>
            <a:ext uri="{FF2B5EF4-FFF2-40B4-BE49-F238E27FC236}">
              <a16:creationId xmlns:a16="http://schemas.microsoft.com/office/drawing/2014/main" id="{1EB625AB-C213-4277-9116-8F1AE2493092}"/>
            </a:ext>
          </a:extLst>
        </xdr:cNvPr>
        <xdr:cNvCxnSpPr/>
      </xdr:nvCxnSpPr>
      <xdr:spPr>
        <a:xfrm>
          <a:off x="4856965" y="20799261"/>
          <a:ext cx="319131"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24964</xdr:colOff>
      <xdr:row>70</xdr:row>
      <xdr:rowOff>12046</xdr:rowOff>
    </xdr:from>
    <xdr:to>
      <xdr:col>7</xdr:col>
      <xdr:colOff>360842</xdr:colOff>
      <xdr:row>70</xdr:row>
      <xdr:rowOff>12046</xdr:rowOff>
    </xdr:to>
    <xdr:cxnSp macro="">
      <xdr:nvCxnSpPr>
        <xdr:cNvPr id="51" name="直線コネクタ 50">
          <a:extLst>
            <a:ext uri="{FF2B5EF4-FFF2-40B4-BE49-F238E27FC236}">
              <a16:creationId xmlns:a16="http://schemas.microsoft.com/office/drawing/2014/main" id="{C4449B4A-CB87-4BC0-A7A2-141ADB268C1C}"/>
            </a:ext>
          </a:extLst>
        </xdr:cNvPr>
        <xdr:cNvCxnSpPr/>
      </xdr:nvCxnSpPr>
      <xdr:spPr>
        <a:xfrm>
          <a:off x="4846079" y="21289431"/>
          <a:ext cx="335878"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8636</xdr:colOff>
      <xdr:row>72</xdr:row>
      <xdr:rowOff>1789</xdr:rowOff>
    </xdr:from>
    <xdr:to>
      <xdr:col>7</xdr:col>
      <xdr:colOff>360843</xdr:colOff>
      <xdr:row>72</xdr:row>
      <xdr:rowOff>1789</xdr:rowOff>
    </xdr:to>
    <xdr:cxnSp macro="">
      <xdr:nvCxnSpPr>
        <xdr:cNvPr id="52" name="直線コネクタ 51">
          <a:extLst>
            <a:ext uri="{FF2B5EF4-FFF2-40B4-BE49-F238E27FC236}">
              <a16:creationId xmlns:a16="http://schemas.microsoft.com/office/drawing/2014/main" id="{F4A38E57-D468-42C7-9B0D-F82CB62764EE}"/>
            </a:ext>
          </a:extLst>
        </xdr:cNvPr>
        <xdr:cNvCxnSpPr/>
      </xdr:nvCxnSpPr>
      <xdr:spPr>
        <a:xfrm>
          <a:off x="4829751" y="21762751"/>
          <a:ext cx="352207"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14078</xdr:colOff>
      <xdr:row>74</xdr:row>
      <xdr:rowOff>4720</xdr:rowOff>
    </xdr:from>
    <xdr:to>
      <xdr:col>7</xdr:col>
      <xdr:colOff>366704</xdr:colOff>
      <xdr:row>74</xdr:row>
      <xdr:rowOff>4720</xdr:rowOff>
    </xdr:to>
    <xdr:cxnSp macro="">
      <xdr:nvCxnSpPr>
        <xdr:cNvPr id="53" name="直線コネクタ 52">
          <a:extLst>
            <a:ext uri="{FF2B5EF4-FFF2-40B4-BE49-F238E27FC236}">
              <a16:creationId xmlns:a16="http://schemas.microsoft.com/office/drawing/2014/main" id="{B4990635-D112-4528-8972-6DD3EFC773E4}"/>
            </a:ext>
          </a:extLst>
        </xdr:cNvPr>
        <xdr:cNvCxnSpPr/>
      </xdr:nvCxnSpPr>
      <xdr:spPr>
        <a:xfrm>
          <a:off x="4835193" y="22249258"/>
          <a:ext cx="352626"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30407</xdr:colOff>
      <xdr:row>76</xdr:row>
      <xdr:rowOff>9117</xdr:rowOff>
    </xdr:from>
    <xdr:to>
      <xdr:col>7</xdr:col>
      <xdr:colOff>352050</xdr:colOff>
      <xdr:row>76</xdr:row>
      <xdr:rowOff>9117</xdr:rowOff>
    </xdr:to>
    <xdr:cxnSp macro="">
      <xdr:nvCxnSpPr>
        <xdr:cNvPr id="54" name="直線コネクタ 53">
          <a:extLst>
            <a:ext uri="{FF2B5EF4-FFF2-40B4-BE49-F238E27FC236}">
              <a16:creationId xmlns:a16="http://schemas.microsoft.com/office/drawing/2014/main" id="{0602A7CF-B957-42C8-B0ED-D3FB00C6AC4A}"/>
            </a:ext>
          </a:extLst>
        </xdr:cNvPr>
        <xdr:cNvCxnSpPr/>
      </xdr:nvCxnSpPr>
      <xdr:spPr>
        <a:xfrm>
          <a:off x="4851522" y="22737232"/>
          <a:ext cx="321643"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35850</xdr:colOff>
      <xdr:row>78</xdr:row>
      <xdr:rowOff>12047</xdr:rowOff>
    </xdr:from>
    <xdr:to>
      <xdr:col>7</xdr:col>
      <xdr:colOff>357911</xdr:colOff>
      <xdr:row>78</xdr:row>
      <xdr:rowOff>12047</xdr:rowOff>
    </xdr:to>
    <xdr:cxnSp macro="">
      <xdr:nvCxnSpPr>
        <xdr:cNvPr id="55" name="直線コネクタ 54">
          <a:extLst>
            <a:ext uri="{FF2B5EF4-FFF2-40B4-BE49-F238E27FC236}">
              <a16:creationId xmlns:a16="http://schemas.microsoft.com/office/drawing/2014/main" id="{2E8EFBEE-8050-4B45-BEFD-8F7B3FE9B331}"/>
            </a:ext>
          </a:extLst>
        </xdr:cNvPr>
        <xdr:cNvCxnSpPr/>
      </xdr:nvCxnSpPr>
      <xdr:spPr>
        <a:xfrm>
          <a:off x="4856965" y="23223739"/>
          <a:ext cx="322061"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19521</xdr:colOff>
      <xdr:row>80</xdr:row>
      <xdr:rowOff>31098</xdr:rowOff>
    </xdr:from>
    <xdr:to>
      <xdr:col>7</xdr:col>
      <xdr:colOff>357911</xdr:colOff>
      <xdr:row>80</xdr:row>
      <xdr:rowOff>31098</xdr:rowOff>
    </xdr:to>
    <xdr:cxnSp macro="">
      <xdr:nvCxnSpPr>
        <xdr:cNvPr id="56" name="直線コネクタ 55">
          <a:extLst>
            <a:ext uri="{FF2B5EF4-FFF2-40B4-BE49-F238E27FC236}">
              <a16:creationId xmlns:a16="http://schemas.microsoft.com/office/drawing/2014/main" id="{EC9E5E22-6632-4CCA-8B51-6C3F0E4ECA38}"/>
            </a:ext>
          </a:extLst>
        </xdr:cNvPr>
        <xdr:cNvCxnSpPr/>
      </xdr:nvCxnSpPr>
      <xdr:spPr>
        <a:xfrm>
          <a:off x="4840636" y="23726367"/>
          <a:ext cx="338390"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24964</xdr:colOff>
      <xdr:row>82</xdr:row>
      <xdr:rowOff>34028</xdr:rowOff>
    </xdr:from>
    <xdr:to>
      <xdr:col>7</xdr:col>
      <xdr:colOff>363772</xdr:colOff>
      <xdr:row>82</xdr:row>
      <xdr:rowOff>34028</xdr:rowOff>
    </xdr:to>
    <xdr:cxnSp macro="">
      <xdr:nvCxnSpPr>
        <xdr:cNvPr id="57" name="直線コネクタ 56">
          <a:extLst>
            <a:ext uri="{FF2B5EF4-FFF2-40B4-BE49-F238E27FC236}">
              <a16:creationId xmlns:a16="http://schemas.microsoft.com/office/drawing/2014/main" id="{606CCB64-16FF-4014-B218-DA92AE19B90A}"/>
            </a:ext>
          </a:extLst>
        </xdr:cNvPr>
        <xdr:cNvCxnSpPr/>
      </xdr:nvCxnSpPr>
      <xdr:spPr>
        <a:xfrm>
          <a:off x="4846079" y="24212874"/>
          <a:ext cx="338808"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268892</xdr:colOff>
      <xdr:row>67</xdr:row>
      <xdr:rowOff>225259</xdr:rowOff>
    </xdr:from>
    <xdr:to>
      <xdr:col>9</xdr:col>
      <xdr:colOff>618236</xdr:colOff>
      <xdr:row>67</xdr:row>
      <xdr:rowOff>225259</xdr:rowOff>
    </xdr:to>
    <xdr:cxnSp macro="">
      <xdr:nvCxnSpPr>
        <xdr:cNvPr id="58" name="直線コネクタ 57">
          <a:extLst>
            <a:ext uri="{FF2B5EF4-FFF2-40B4-BE49-F238E27FC236}">
              <a16:creationId xmlns:a16="http://schemas.microsoft.com/office/drawing/2014/main" id="{B03162DE-9BB4-490F-A5BF-A3A5A9F9D004}"/>
            </a:ext>
          </a:extLst>
        </xdr:cNvPr>
        <xdr:cNvCxnSpPr/>
      </xdr:nvCxnSpPr>
      <xdr:spPr>
        <a:xfrm>
          <a:off x="6467469" y="20777278"/>
          <a:ext cx="349344"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274753</xdr:colOff>
      <xdr:row>69</xdr:row>
      <xdr:rowOff>231853</xdr:rowOff>
    </xdr:from>
    <xdr:to>
      <xdr:col>9</xdr:col>
      <xdr:colOff>591021</xdr:colOff>
      <xdr:row>69</xdr:row>
      <xdr:rowOff>231853</xdr:rowOff>
    </xdr:to>
    <xdr:cxnSp macro="">
      <xdr:nvCxnSpPr>
        <xdr:cNvPr id="59" name="直線コネクタ 58">
          <a:extLst>
            <a:ext uri="{FF2B5EF4-FFF2-40B4-BE49-F238E27FC236}">
              <a16:creationId xmlns:a16="http://schemas.microsoft.com/office/drawing/2014/main" id="{89CF48D1-FAC7-4E07-9BC1-686AE9E4CDD4}"/>
            </a:ext>
          </a:extLst>
        </xdr:cNvPr>
        <xdr:cNvCxnSpPr/>
      </xdr:nvCxnSpPr>
      <xdr:spPr>
        <a:xfrm>
          <a:off x="6473330" y="21267449"/>
          <a:ext cx="316268"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274754</xdr:colOff>
      <xdr:row>71</xdr:row>
      <xdr:rowOff>221596</xdr:rowOff>
    </xdr:from>
    <xdr:to>
      <xdr:col>9</xdr:col>
      <xdr:colOff>634564</xdr:colOff>
      <xdr:row>71</xdr:row>
      <xdr:rowOff>221596</xdr:rowOff>
    </xdr:to>
    <xdr:cxnSp macro="">
      <xdr:nvCxnSpPr>
        <xdr:cNvPr id="60" name="直線コネクタ 59">
          <a:extLst>
            <a:ext uri="{FF2B5EF4-FFF2-40B4-BE49-F238E27FC236}">
              <a16:creationId xmlns:a16="http://schemas.microsoft.com/office/drawing/2014/main" id="{44C1C0D3-E696-4272-A515-EC10E08784AB}"/>
            </a:ext>
          </a:extLst>
        </xdr:cNvPr>
        <xdr:cNvCxnSpPr/>
      </xdr:nvCxnSpPr>
      <xdr:spPr>
        <a:xfrm>
          <a:off x="6473331" y="21740769"/>
          <a:ext cx="359810"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280615</xdr:colOff>
      <xdr:row>73</xdr:row>
      <xdr:rowOff>224526</xdr:rowOff>
    </xdr:from>
    <xdr:to>
      <xdr:col>9</xdr:col>
      <xdr:colOff>612793</xdr:colOff>
      <xdr:row>73</xdr:row>
      <xdr:rowOff>224526</xdr:rowOff>
    </xdr:to>
    <xdr:cxnSp macro="">
      <xdr:nvCxnSpPr>
        <xdr:cNvPr id="61" name="直線コネクタ 60">
          <a:extLst>
            <a:ext uri="{FF2B5EF4-FFF2-40B4-BE49-F238E27FC236}">
              <a16:creationId xmlns:a16="http://schemas.microsoft.com/office/drawing/2014/main" id="{BAFF0374-5EA3-4D16-82DC-0753E06502E7}"/>
            </a:ext>
          </a:extLst>
        </xdr:cNvPr>
        <xdr:cNvCxnSpPr/>
      </xdr:nvCxnSpPr>
      <xdr:spPr>
        <a:xfrm>
          <a:off x="6479192" y="22227276"/>
          <a:ext cx="332178"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265961</xdr:colOff>
      <xdr:row>75</xdr:row>
      <xdr:rowOff>228923</xdr:rowOff>
    </xdr:from>
    <xdr:to>
      <xdr:col>9</xdr:col>
      <xdr:colOff>642938</xdr:colOff>
      <xdr:row>75</xdr:row>
      <xdr:rowOff>228923</xdr:rowOff>
    </xdr:to>
    <xdr:cxnSp macro="">
      <xdr:nvCxnSpPr>
        <xdr:cNvPr id="62" name="直線コネクタ 61">
          <a:extLst>
            <a:ext uri="{FF2B5EF4-FFF2-40B4-BE49-F238E27FC236}">
              <a16:creationId xmlns:a16="http://schemas.microsoft.com/office/drawing/2014/main" id="{F9F3D8CF-D391-48B4-BBB4-F6F9271FD617}"/>
            </a:ext>
          </a:extLst>
        </xdr:cNvPr>
        <xdr:cNvCxnSpPr/>
      </xdr:nvCxnSpPr>
      <xdr:spPr>
        <a:xfrm>
          <a:off x="6464538" y="22715250"/>
          <a:ext cx="376977"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271822</xdr:colOff>
      <xdr:row>77</xdr:row>
      <xdr:rowOff>231853</xdr:rowOff>
    </xdr:from>
    <xdr:to>
      <xdr:col>10</xdr:col>
      <xdr:colOff>35850</xdr:colOff>
      <xdr:row>77</xdr:row>
      <xdr:rowOff>231853</xdr:rowOff>
    </xdr:to>
    <xdr:cxnSp macro="">
      <xdr:nvCxnSpPr>
        <xdr:cNvPr id="63" name="直線コネクタ 62">
          <a:extLst>
            <a:ext uri="{FF2B5EF4-FFF2-40B4-BE49-F238E27FC236}">
              <a16:creationId xmlns:a16="http://schemas.microsoft.com/office/drawing/2014/main" id="{8170F80D-6F96-4748-BE1D-DF01C777E6D6}"/>
            </a:ext>
          </a:extLst>
        </xdr:cNvPr>
        <xdr:cNvCxnSpPr/>
      </xdr:nvCxnSpPr>
      <xdr:spPr>
        <a:xfrm>
          <a:off x="6470399" y="23201757"/>
          <a:ext cx="452759"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271822</xdr:colOff>
      <xdr:row>80</xdr:row>
      <xdr:rowOff>11419</xdr:rowOff>
    </xdr:from>
    <xdr:to>
      <xdr:col>9</xdr:col>
      <xdr:colOff>612793</xdr:colOff>
      <xdr:row>80</xdr:row>
      <xdr:rowOff>11419</xdr:rowOff>
    </xdr:to>
    <xdr:cxnSp macro="">
      <xdr:nvCxnSpPr>
        <xdr:cNvPr id="64" name="直線コネクタ 63">
          <a:extLst>
            <a:ext uri="{FF2B5EF4-FFF2-40B4-BE49-F238E27FC236}">
              <a16:creationId xmlns:a16="http://schemas.microsoft.com/office/drawing/2014/main" id="{0DEB936F-9AE1-4427-A020-BBDD701CEAA9}"/>
            </a:ext>
          </a:extLst>
        </xdr:cNvPr>
        <xdr:cNvCxnSpPr/>
      </xdr:nvCxnSpPr>
      <xdr:spPr>
        <a:xfrm>
          <a:off x="6470399" y="23706688"/>
          <a:ext cx="340971"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277683</xdr:colOff>
      <xdr:row>82</xdr:row>
      <xdr:rowOff>14349</xdr:rowOff>
    </xdr:from>
    <xdr:to>
      <xdr:col>9</xdr:col>
      <xdr:colOff>629121</xdr:colOff>
      <xdr:row>82</xdr:row>
      <xdr:rowOff>14349</xdr:rowOff>
    </xdr:to>
    <xdr:cxnSp macro="">
      <xdr:nvCxnSpPr>
        <xdr:cNvPr id="65" name="直線コネクタ 64">
          <a:extLst>
            <a:ext uri="{FF2B5EF4-FFF2-40B4-BE49-F238E27FC236}">
              <a16:creationId xmlns:a16="http://schemas.microsoft.com/office/drawing/2014/main" id="{0AABB8EF-1FB3-4D4A-9CF5-9181A765C937}"/>
            </a:ext>
          </a:extLst>
        </xdr:cNvPr>
        <xdr:cNvCxnSpPr/>
      </xdr:nvCxnSpPr>
      <xdr:spPr>
        <a:xfrm>
          <a:off x="6476260" y="24193195"/>
          <a:ext cx="351438"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573111</xdr:colOff>
      <xdr:row>67</xdr:row>
      <xdr:rowOff>34774</xdr:rowOff>
    </xdr:from>
    <xdr:to>
      <xdr:col>11</xdr:col>
      <xdr:colOff>635021</xdr:colOff>
      <xdr:row>68</xdr:row>
      <xdr:rowOff>185900</xdr:rowOff>
    </xdr:to>
    <xdr:sp macro="" textlink="">
      <xdr:nvSpPr>
        <xdr:cNvPr id="66" name="正方形/長方形 65">
          <a:extLst>
            <a:ext uri="{FF2B5EF4-FFF2-40B4-BE49-F238E27FC236}">
              <a16:creationId xmlns:a16="http://schemas.microsoft.com/office/drawing/2014/main" id="{AEEBDCB3-9CC3-499D-BFD0-57913668E47F}"/>
            </a:ext>
          </a:extLst>
        </xdr:cNvPr>
        <xdr:cNvSpPr/>
      </xdr:nvSpPr>
      <xdr:spPr>
        <a:xfrm>
          <a:off x="6771688" y="20586793"/>
          <a:ext cx="1439371" cy="392915"/>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 VOUT  0_230</a:t>
          </a:r>
          <a:endParaRPr kumimoji="1" lang="ja-JP" altLang="en-US" sz="1100">
            <a:solidFill>
              <a:schemeClr val="tx1"/>
            </a:solidFill>
          </a:endParaRPr>
        </a:p>
      </xdr:txBody>
    </xdr:sp>
    <xdr:clientData/>
  </xdr:twoCellAnchor>
  <xdr:twoCellAnchor>
    <xdr:from>
      <xdr:col>9</xdr:col>
      <xdr:colOff>566265</xdr:colOff>
      <xdr:row>69</xdr:row>
      <xdr:rowOff>32394</xdr:rowOff>
    </xdr:from>
    <xdr:to>
      <xdr:col>11</xdr:col>
      <xdr:colOff>628175</xdr:colOff>
      <xdr:row>70</xdr:row>
      <xdr:rowOff>185541</xdr:rowOff>
    </xdr:to>
    <xdr:sp macro="" textlink="">
      <xdr:nvSpPr>
        <xdr:cNvPr id="67" name="正方形/長方形 66">
          <a:extLst>
            <a:ext uri="{FF2B5EF4-FFF2-40B4-BE49-F238E27FC236}">
              <a16:creationId xmlns:a16="http://schemas.microsoft.com/office/drawing/2014/main" id="{3382F78D-2E49-46A7-B2AD-9C7FA7607F00}"/>
            </a:ext>
          </a:extLst>
        </xdr:cNvPr>
        <xdr:cNvSpPr/>
      </xdr:nvSpPr>
      <xdr:spPr>
        <a:xfrm>
          <a:off x="6764842" y="21067990"/>
          <a:ext cx="1439371" cy="394936"/>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 VOUT  1_230</a:t>
          </a:r>
        </a:p>
      </xdr:txBody>
    </xdr:sp>
    <xdr:clientData/>
  </xdr:twoCellAnchor>
  <xdr:twoCellAnchor>
    <xdr:from>
      <xdr:col>9</xdr:col>
      <xdr:colOff>572507</xdr:colOff>
      <xdr:row>71</xdr:row>
      <xdr:rowOff>38484</xdr:rowOff>
    </xdr:from>
    <xdr:to>
      <xdr:col>11</xdr:col>
      <xdr:colOff>634417</xdr:colOff>
      <xdr:row>72</xdr:row>
      <xdr:rowOff>189611</xdr:rowOff>
    </xdr:to>
    <xdr:sp macro="" textlink="">
      <xdr:nvSpPr>
        <xdr:cNvPr id="68" name="正方形/長方形 67">
          <a:extLst>
            <a:ext uri="{FF2B5EF4-FFF2-40B4-BE49-F238E27FC236}">
              <a16:creationId xmlns:a16="http://schemas.microsoft.com/office/drawing/2014/main" id="{07BF9F28-7E40-42C0-8466-6DFD397CE486}"/>
            </a:ext>
          </a:extLst>
        </xdr:cNvPr>
        <xdr:cNvSpPr/>
      </xdr:nvSpPr>
      <xdr:spPr>
        <a:xfrm>
          <a:off x="6771084" y="21557657"/>
          <a:ext cx="1439371" cy="392916"/>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 VOUT  2_230</a:t>
          </a:r>
        </a:p>
      </xdr:txBody>
    </xdr:sp>
    <xdr:clientData/>
  </xdr:twoCellAnchor>
  <xdr:twoCellAnchor>
    <xdr:from>
      <xdr:col>9</xdr:col>
      <xdr:colOff>572230</xdr:colOff>
      <xdr:row>73</xdr:row>
      <xdr:rowOff>41514</xdr:rowOff>
    </xdr:from>
    <xdr:to>
      <xdr:col>11</xdr:col>
      <xdr:colOff>634140</xdr:colOff>
      <xdr:row>74</xdr:row>
      <xdr:rowOff>193519</xdr:rowOff>
    </xdr:to>
    <xdr:sp macro="" textlink="">
      <xdr:nvSpPr>
        <xdr:cNvPr id="69" name="正方形/長方形 68">
          <a:extLst>
            <a:ext uri="{FF2B5EF4-FFF2-40B4-BE49-F238E27FC236}">
              <a16:creationId xmlns:a16="http://schemas.microsoft.com/office/drawing/2014/main" id="{4364C698-58E9-404B-8C2E-7DA4D0E200DB}"/>
            </a:ext>
          </a:extLst>
        </xdr:cNvPr>
        <xdr:cNvSpPr/>
      </xdr:nvSpPr>
      <xdr:spPr>
        <a:xfrm>
          <a:off x="6770807" y="22044264"/>
          <a:ext cx="1439371" cy="393793"/>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 VOUT  3_230</a:t>
          </a:r>
        </a:p>
      </xdr:txBody>
    </xdr:sp>
    <xdr:clientData/>
  </xdr:twoCellAnchor>
  <xdr:twoCellAnchor>
    <xdr:from>
      <xdr:col>9</xdr:col>
      <xdr:colOff>572454</xdr:colOff>
      <xdr:row>75</xdr:row>
      <xdr:rowOff>52839</xdr:rowOff>
    </xdr:from>
    <xdr:to>
      <xdr:col>11</xdr:col>
      <xdr:colOff>634364</xdr:colOff>
      <xdr:row>76</xdr:row>
      <xdr:rowOff>212831</xdr:rowOff>
    </xdr:to>
    <xdr:sp macro="" textlink="">
      <xdr:nvSpPr>
        <xdr:cNvPr id="70" name="正方形/長方形 69">
          <a:extLst>
            <a:ext uri="{FF2B5EF4-FFF2-40B4-BE49-F238E27FC236}">
              <a16:creationId xmlns:a16="http://schemas.microsoft.com/office/drawing/2014/main" id="{D57A0436-CF81-4F73-926B-ED33C69F1887}"/>
            </a:ext>
          </a:extLst>
        </xdr:cNvPr>
        <xdr:cNvSpPr/>
      </xdr:nvSpPr>
      <xdr:spPr>
        <a:xfrm>
          <a:off x="6771031" y="22539166"/>
          <a:ext cx="1439371" cy="401780"/>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 VOUT  0_231</a:t>
          </a:r>
        </a:p>
      </xdr:txBody>
    </xdr:sp>
    <xdr:clientData/>
  </xdr:twoCellAnchor>
  <xdr:twoCellAnchor>
    <xdr:from>
      <xdr:col>9</xdr:col>
      <xdr:colOff>572177</xdr:colOff>
      <xdr:row>77</xdr:row>
      <xdr:rowOff>50457</xdr:rowOff>
    </xdr:from>
    <xdr:to>
      <xdr:col>11</xdr:col>
      <xdr:colOff>634087</xdr:colOff>
      <xdr:row>78</xdr:row>
      <xdr:rowOff>212470</xdr:rowOff>
    </xdr:to>
    <xdr:sp macro="" textlink="">
      <xdr:nvSpPr>
        <xdr:cNvPr id="71" name="正方形/長方形 70">
          <a:extLst>
            <a:ext uri="{FF2B5EF4-FFF2-40B4-BE49-F238E27FC236}">
              <a16:creationId xmlns:a16="http://schemas.microsoft.com/office/drawing/2014/main" id="{D17FB639-B1F2-4FA8-8019-111C818244DA}"/>
            </a:ext>
          </a:extLst>
        </xdr:cNvPr>
        <xdr:cNvSpPr/>
      </xdr:nvSpPr>
      <xdr:spPr>
        <a:xfrm>
          <a:off x="6770754" y="23020361"/>
          <a:ext cx="1439371" cy="403801"/>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 VOUT  1_231</a:t>
          </a:r>
        </a:p>
      </xdr:txBody>
    </xdr:sp>
    <xdr:clientData/>
  </xdr:twoCellAnchor>
  <xdr:twoCellAnchor>
    <xdr:from>
      <xdr:col>9</xdr:col>
      <xdr:colOff>565281</xdr:colOff>
      <xdr:row>79</xdr:row>
      <xdr:rowOff>56548</xdr:rowOff>
    </xdr:from>
    <xdr:to>
      <xdr:col>11</xdr:col>
      <xdr:colOff>627191</xdr:colOff>
      <xdr:row>80</xdr:row>
      <xdr:rowOff>216539</xdr:rowOff>
    </xdr:to>
    <xdr:sp macro="" textlink="">
      <xdr:nvSpPr>
        <xdr:cNvPr id="72" name="正方形/長方形 71">
          <a:extLst>
            <a:ext uri="{FF2B5EF4-FFF2-40B4-BE49-F238E27FC236}">
              <a16:creationId xmlns:a16="http://schemas.microsoft.com/office/drawing/2014/main" id="{561727FA-9867-485C-9760-0A3847D9628B}"/>
            </a:ext>
          </a:extLst>
        </xdr:cNvPr>
        <xdr:cNvSpPr/>
      </xdr:nvSpPr>
      <xdr:spPr>
        <a:xfrm>
          <a:off x="6763858" y="23510029"/>
          <a:ext cx="1439371" cy="401779"/>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 VOUT  2_231</a:t>
          </a:r>
        </a:p>
      </xdr:txBody>
    </xdr:sp>
    <xdr:clientData/>
  </xdr:twoCellAnchor>
  <xdr:twoCellAnchor>
    <xdr:from>
      <xdr:col>9</xdr:col>
      <xdr:colOff>571573</xdr:colOff>
      <xdr:row>81</xdr:row>
      <xdr:rowOff>63907</xdr:rowOff>
    </xdr:from>
    <xdr:to>
      <xdr:col>11</xdr:col>
      <xdr:colOff>633483</xdr:colOff>
      <xdr:row>82</xdr:row>
      <xdr:rowOff>222749</xdr:rowOff>
    </xdr:to>
    <xdr:sp macro="" textlink="">
      <xdr:nvSpPr>
        <xdr:cNvPr id="73" name="正方形/長方形 72">
          <a:extLst>
            <a:ext uri="{FF2B5EF4-FFF2-40B4-BE49-F238E27FC236}">
              <a16:creationId xmlns:a16="http://schemas.microsoft.com/office/drawing/2014/main" id="{1D480708-DBEB-43EC-B00A-28343A23ACAF}"/>
            </a:ext>
          </a:extLst>
        </xdr:cNvPr>
        <xdr:cNvSpPr/>
      </xdr:nvSpPr>
      <xdr:spPr>
        <a:xfrm>
          <a:off x="6770150" y="24000965"/>
          <a:ext cx="1439371" cy="400630"/>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 VOUT  3_231</a:t>
          </a:r>
        </a:p>
      </xdr:txBody>
    </xdr:sp>
    <xdr:clientData/>
  </xdr:twoCellAnchor>
  <xdr:twoCellAnchor>
    <xdr:from>
      <xdr:col>5</xdr:col>
      <xdr:colOff>21762</xdr:colOff>
      <xdr:row>67</xdr:row>
      <xdr:rowOff>32472</xdr:rowOff>
    </xdr:from>
    <xdr:to>
      <xdr:col>7</xdr:col>
      <xdr:colOff>83672</xdr:colOff>
      <xdr:row>68</xdr:row>
      <xdr:rowOff>183598</xdr:rowOff>
    </xdr:to>
    <xdr:sp macro="" textlink="">
      <xdr:nvSpPr>
        <xdr:cNvPr id="74" name="正方形/長方形 73">
          <a:extLst>
            <a:ext uri="{FF2B5EF4-FFF2-40B4-BE49-F238E27FC236}">
              <a16:creationId xmlns:a16="http://schemas.microsoft.com/office/drawing/2014/main" id="{5A7DF343-F24C-4BC3-9AD6-12D0B9A8B9A8}"/>
            </a:ext>
          </a:extLst>
        </xdr:cNvPr>
        <xdr:cNvSpPr/>
      </xdr:nvSpPr>
      <xdr:spPr>
        <a:xfrm>
          <a:off x="3465416" y="20584491"/>
          <a:ext cx="1439371" cy="392915"/>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 VOUT  0_228</a:t>
          </a:r>
          <a:endParaRPr kumimoji="1" lang="ja-JP" altLang="en-US" sz="1100">
            <a:solidFill>
              <a:schemeClr val="tx1"/>
            </a:solidFill>
          </a:endParaRPr>
        </a:p>
      </xdr:txBody>
    </xdr:sp>
    <xdr:clientData/>
  </xdr:twoCellAnchor>
  <xdr:twoCellAnchor>
    <xdr:from>
      <xdr:col>5</xdr:col>
      <xdr:colOff>14916</xdr:colOff>
      <xdr:row>69</xdr:row>
      <xdr:rowOff>30092</xdr:rowOff>
    </xdr:from>
    <xdr:to>
      <xdr:col>7</xdr:col>
      <xdr:colOff>76826</xdr:colOff>
      <xdr:row>70</xdr:row>
      <xdr:rowOff>183239</xdr:rowOff>
    </xdr:to>
    <xdr:sp macro="" textlink="">
      <xdr:nvSpPr>
        <xdr:cNvPr id="75" name="正方形/長方形 74">
          <a:extLst>
            <a:ext uri="{FF2B5EF4-FFF2-40B4-BE49-F238E27FC236}">
              <a16:creationId xmlns:a16="http://schemas.microsoft.com/office/drawing/2014/main" id="{F78C7EDC-569B-4FD8-A9D4-E4F80D505A5F}"/>
            </a:ext>
          </a:extLst>
        </xdr:cNvPr>
        <xdr:cNvSpPr/>
      </xdr:nvSpPr>
      <xdr:spPr>
        <a:xfrm>
          <a:off x="3458570" y="21065688"/>
          <a:ext cx="1439371" cy="394936"/>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 VOUT  1_228</a:t>
          </a:r>
        </a:p>
      </xdr:txBody>
    </xdr:sp>
    <xdr:clientData/>
  </xdr:twoCellAnchor>
  <xdr:twoCellAnchor>
    <xdr:from>
      <xdr:col>5</xdr:col>
      <xdr:colOff>21158</xdr:colOff>
      <xdr:row>71</xdr:row>
      <xdr:rowOff>36182</xdr:rowOff>
    </xdr:from>
    <xdr:to>
      <xdr:col>7</xdr:col>
      <xdr:colOff>83068</xdr:colOff>
      <xdr:row>72</xdr:row>
      <xdr:rowOff>187309</xdr:rowOff>
    </xdr:to>
    <xdr:sp macro="" textlink="">
      <xdr:nvSpPr>
        <xdr:cNvPr id="76" name="正方形/長方形 75">
          <a:extLst>
            <a:ext uri="{FF2B5EF4-FFF2-40B4-BE49-F238E27FC236}">
              <a16:creationId xmlns:a16="http://schemas.microsoft.com/office/drawing/2014/main" id="{A1B23C63-6046-4195-8FD8-163873C7F754}"/>
            </a:ext>
          </a:extLst>
        </xdr:cNvPr>
        <xdr:cNvSpPr/>
      </xdr:nvSpPr>
      <xdr:spPr>
        <a:xfrm>
          <a:off x="3464812" y="21555355"/>
          <a:ext cx="1439371" cy="392916"/>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 VOUT  2_228</a:t>
          </a:r>
        </a:p>
      </xdr:txBody>
    </xdr:sp>
    <xdr:clientData/>
  </xdr:twoCellAnchor>
  <xdr:twoCellAnchor>
    <xdr:from>
      <xdr:col>5</xdr:col>
      <xdr:colOff>20881</xdr:colOff>
      <xdr:row>73</xdr:row>
      <xdr:rowOff>39212</xdr:rowOff>
    </xdr:from>
    <xdr:to>
      <xdr:col>7</xdr:col>
      <xdr:colOff>82791</xdr:colOff>
      <xdr:row>74</xdr:row>
      <xdr:rowOff>193520</xdr:rowOff>
    </xdr:to>
    <xdr:sp macro="" textlink="">
      <xdr:nvSpPr>
        <xdr:cNvPr id="77" name="正方形/長方形 76">
          <a:extLst>
            <a:ext uri="{FF2B5EF4-FFF2-40B4-BE49-F238E27FC236}">
              <a16:creationId xmlns:a16="http://schemas.microsoft.com/office/drawing/2014/main" id="{D7180035-1DCE-4F64-9EC7-9F9DC7B9FE73}"/>
            </a:ext>
          </a:extLst>
        </xdr:cNvPr>
        <xdr:cNvSpPr/>
      </xdr:nvSpPr>
      <xdr:spPr>
        <a:xfrm>
          <a:off x="3464535" y="22041962"/>
          <a:ext cx="1439371" cy="396096"/>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 VOUT  3_228</a:t>
          </a:r>
        </a:p>
      </xdr:txBody>
    </xdr:sp>
    <xdr:clientData/>
  </xdr:twoCellAnchor>
  <xdr:twoCellAnchor>
    <xdr:from>
      <xdr:col>5</xdr:col>
      <xdr:colOff>21105</xdr:colOff>
      <xdr:row>75</xdr:row>
      <xdr:rowOff>50537</xdr:rowOff>
    </xdr:from>
    <xdr:to>
      <xdr:col>7</xdr:col>
      <xdr:colOff>83015</xdr:colOff>
      <xdr:row>76</xdr:row>
      <xdr:rowOff>212831</xdr:rowOff>
    </xdr:to>
    <xdr:sp macro="" textlink="">
      <xdr:nvSpPr>
        <xdr:cNvPr id="78" name="正方形/長方形 77">
          <a:extLst>
            <a:ext uri="{FF2B5EF4-FFF2-40B4-BE49-F238E27FC236}">
              <a16:creationId xmlns:a16="http://schemas.microsoft.com/office/drawing/2014/main" id="{2DD1572E-A700-4F7A-85E8-E4E245147A16}"/>
            </a:ext>
          </a:extLst>
        </xdr:cNvPr>
        <xdr:cNvSpPr/>
      </xdr:nvSpPr>
      <xdr:spPr>
        <a:xfrm>
          <a:off x="3464759" y="22536864"/>
          <a:ext cx="1439371" cy="404082"/>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 VOUT  0_229</a:t>
          </a:r>
        </a:p>
      </xdr:txBody>
    </xdr:sp>
    <xdr:clientData/>
  </xdr:twoCellAnchor>
  <xdr:twoCellAnchor>
    <xdr:from>
      <xdr:col>5</xdr:col>
      <xdr:colOff>20828</xdr:colOff>
      <xdr:row>77</xdr:row>
      <xdr:rowOff>48155</xdr:rowOff>
    </xdr:from>
    <xdr:to>
      <xdr:col>7</xdr:col>
      <xdr:colOff>82738</xdr:colOff>
      <xdr:row>78</xdr:row>
      <xdr:rowOff>212471</xdr:rowOff>
    </xdr:to>
    <xdr:sp macro="" textlink="">
      <xdr:nvSpPr>
        <xdr:cNvPr id="79" name="正方形/長方形 78">
          <a:extLst>
            <a:ext uri="{FF2B5EF4-FFF2-40B4-BE49-F238E27FC236}">
              <a16:creationId xmlns:a16="http://schemas.microsoft.com/office/drawing/2014/main" id="{AC291CFB-CAE6-40DD-AA04-E2EF376FF0EB}"/>
            </a:ext>
          </a:extLst>
        </xdr:cNvPr>
        <xdr:cNvSpPr/>
      </xdr:nvSpPr>
      <xdr:spPr>
        <a:xfrm>
          <a:off x="3464482" y="23018059"/>
          <a:ext cx="1439371" cy="406104"/>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 VOUT  1_229</a:t>
          </a:r>
        </a:p>
      </xdr:txBody>
    </xdr:sp>
    <xdr:clientData/>
  </xdr:twoCellAnchor>
  <xdr:twoCellAnchor>
    <xdr:from>
      <xdr:col>5</xdr:col>
      <xdr:colOff>13932</xdr:colOff>
      <xdr:row>79</xdr:row>
      <xdr:rowOff>54246</xdr:rowOff>
    </xdr:from>
    <xdr:to>
      <xdr:col>7</xdr:col>
      <xdr:colOff>75842</xdr:colOff>
      <xdr:row>80</xdr:row>
      <xdr:rowOff>216540</xdr:rowOff>
    </xdr:to>
    <xdr:sp macro="" textlink="">
      <xdr:nvSpPr>
        <xdr:cNvPr id="80" name="正方形/長方形 79">
          <a:extLst>
            <a:ext uri="{FF2B5EF4-FFF2-40B4-BE49-F238E27FC236}">
              <a16:creationId xmlns:a16="http://schemas.microsoft.com/office/drawing/2014/main" id="{54F0811E-D82B-4BB6-84C9-1883B66C74AB}"/>
            </a:ext>
          </a:extLst>
        </xdr:cNvPr>
        <xdr:cNvSpPr/>
      </xdr:nvSpPr>
      <xdr:spPr>
        <a:xfrm>
          <a:off x="3457586" y="23507727"/>
          <a:ext cx="1439371" cy="404082"/>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 VOUT  2_229</a:t>
          </a:r>
        </a:p>
      </xdr:txBody>
    </xdr:sp>
    <xdr:clientData/>
  </xdr:twoCellAnchor>
  <xdr:twoCellAnchor>
    <xdr:from>
      <xdr:col>5</xdr:col>
      <xdr:colOff>20224</xdr:colOff>
      <xdr:row>81</xdr:row>
      <xdr:rowOff>61605</xdr:rowOff>
    </xdr:from>
    <xdr:to>
      <xdr:col>7</xdr:col>
      <xdr:colOff>82134</xdr:colOff>
      <xdr:row>82</xdr:row>
      <xdr:rowOff>222750</xdr:rowOff>
    </xdr:to>
    <xdr:sp macro="" textlink="">
      <xdr:nvSpPr>
        <xdr:cNvPr id="81" name="正方形/長方形 80">
          <a:extLst>
            <a:ext uri="{FF2B5EF4-FFF2-40B4-BE49-F238E27FC236}">
              <a16:creationId xmlns:a16="http://schemas.microsoft.com/office/drawing/2014/main" id="{D8C98F1B-5F72-404A-9A61-557145782B02}"/>
            </a:ext>
          </a:extLst>
        </xdr:cNvPr>
        <xdr:cNvSpPr/>
      </xdr:nvSpPr>
      <xdr:spPr>
        <a:xfrm>
          <a:off x="3463878" y="23998663"/>
          <a:ext cx="1439371" cy="402933"/>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 VOUT  3_229</a:t>
          </a:r>
        </a:p>
      </xdr:txBody>
    </xdr:sp>
    <xdr:clientData/>
  </xdr:twoCellAnchor>
  <xdr:twoCellAnchor>
    <xdr:from>
      <xdr:col>11</xdr:col>
      <xdr:colOff>645394</xdr:colOff>
      <xdr:row>67</xdr:row>
      <xdr:rowOff>66681</xdr:rowOff>
    </xdr:from>
    <xdr:to>
      <xdr:col>13</xdr:col>
      <xdr:colOff>40583</xdr:colOff>
      <xdr:row>68</xdr:row>
      <xdr:rowOff>140863</xdr:rowOff>
    </xdr:to>
    <xdr:sp macro="" textlink="">
      <xdr:nvSpPr>
        <xdr:cNvPr id="82" name="正方形/長方形 81">
          <a:extLst>
            <a:ext uri="{FF2B5EF4-FFF2-40B4-BE49-F238E27FC236}">
              <a16:creationId xmlns:a16="http://schemas.microsoft.com/office/drawing/2014/main" id="{33298389-7488-4F62-A189-7C9707C891CB}"/>
            </a:ext>
          </a:extLst>
        </xdr:cNvPr>
        <xdr:cNvSpPr/>
      </xdr:nvSpPr>
      <xdr:spPr>
        <a:xfrm>
          <a:off x="8221432" y="20618700"/>
          <a:ext cx="772651" cy="31597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a:solidFill>
                <a:schemeClr val="tx1"/>
              </a:solidFill>
            </a:rPr>
            <a:t>AWG 8</a:t>
          </a:r>
        </a:p>
      </xdr:txBody>
    </xdr:sp>
    <xdr:clientData/>
  </xdr:twoCellAnchor>
  <xdr:twoCellAnchor>
    <xdr:from>
      <xdr:col>11</xdr:col>
      <xdr:colOff>630895</xdr:colOff>
      <xdr:row>69</xdr:row>
      <xdr:rowOff>67337</xdr:rowOff>
    </xdr:from>
    <xdr:to>
      <xdr:col>12</xdr:col>
      <xdr:colOff>635166</xdr:colOff>
      <xdr:row>70</xdr:row>
      <xdr:rowOff>141520</xdr:rowOff>
    </xdr:to>
    <xdr:sp macro="" textlink="">
      <xdr:nvSpPr>
        <xdr:cNvPr id="83" name="正方形/長方形 82">
          <a:extLst>
            <a:ext uri="{FF2B5EF4-FFF2-40B4-BE49-F238E27FC236}">
              <a16:creationId xmlns:a16="http://schemas.microsoft.com/office/drawing/2014/main" id="{F11B7254-687D-4DB0-B167-EC83E7F709BA}"/>
            </a:ext>
          </a:extLst>
        </xdr:cNvPr>
        <xdr:cNvSpPr/>
      </xdr:nvSpPr>
      <xdr:spPr>
        <a:xfrm>
          <a:off x="8206933" y="21102933"/>
          <a:ext cx="693002" cy="31597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a:solidFill>
                <a:schemeClr val="tx1"/>
              </a:solidFill>
            </a:rPr>
            <a:t>AWG 9</a:t>
          </a:r>
        </a:p>
      </xdr:txBody>
    </xdr:sp>
    <xdr:clientData/>
  </xdr:twoCellAnchor>
  <xdr:twoCellAnchor>
    <xdr:from>
      <xdr:col>11</xdr:col>
      <xdr:colOff>636338</xdr:colOff>
      <xdr:row>71</xdr:row>
      <xdr:rowOff>73250</xdr:rowOff>
    </xdr:from>
    <xdr:to>
      <xdr:col>12</xdr:col>
      <xdr:colOff>686480</xdr:colOff>
      <xdr:row>72</xdr:row>
      <xdr:rowOff>147432</xdr:rowOff>
    </xdr:to>
    <xdr:sp macro="" textlink="">
      <xdr:nvSpPr>
        <xdr:cNvPr id="84" name="正方形/長方形 83">
          <a:extLst>
            <a:ext uri="{FF2B5EF4-FFF2-40B4-BE49-F238E27FC236}">
              <a16:creationId xmlns:a16="http://schemas.microsoft.com/office/drawing/2014/main" id="{9A3A74E1-2234-40F7-A786-2FFC43BEA7F4}"/>
            </a:ext>
          </a:extLst>
        </xdr:cNvPr>
        <xdr:cNvSpPr/>
      </xdr:nvSpPr>
      <xdr:spPr>
        <a:xfrm>
          <a:off x="8212376" y="21592423"/>
          <a:ext cx="738873" cy="31597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a:solidFill>
                <a:schemeClr val="tx1"/>
              </a:solidFill>
            </a:rPr>
            <a:t>AWG 10</a:t>
          </a:r>
        </a:p>
      </xdr:txBody>
    </xdr:sp>
    <xdr:clientData/>
  </xdr:twoCellAnchor>
  <xdr:twoCellAnchor>
    <xdr:from>
      <xdr:col>11</xdr:col>
      <xdr:colOff>644032</xdr:colOff>
      <xdr:row>73</xdr:row>
      <xdr:rowOff>56451</xdr:rowOff>
    </xdr:from>
    <xdr:to>
      <xdr:col>13</xdr:col>
      <xdr:colOff>117493</xdr:colOff>
      <xdr:row>74</xdr:row>
      <xdr:rowOff>130636</xdr:rowOff>
    </xdr:to>
    <xdr:sp macro="" textlink="">
      <xdr:nvSpPr>
        <xdr:cNvPr id="86" name="正方形/長方形 85">
          <a:extLst>
            <a:ext uri="{FF2B5EF4-FFF2-40B4-BE49-F238E27FC236}">
              <a16:creationId xmlns:a16="http://schemas.microsoft.com/office/drawing/2014/main" id="{721A6662-EE1F-4A92-9B15-BF024B2128F5}"/>
            </a:ext>
          </a:extLst>
        </xdr:cNvPr>
        <xdr:cNvSpPr/>
      </xdr:nvSpPr>
      <xdr:spPr>
        <a:xfrm>
          <a:off x="8220070" y="22059201"/>
          <a:ext cx="850923" cy="31597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a:solidFill>
                <a:schemeClr val="tx1"/>
              </a:solidFill>
            </a:rPr>
            <a:t>AWG 11</a:t>
          </a:r>
        </a:p>
      </xdr:txBody>
    </xdr:sp>
    <xdr:clientData/>
  </xdr:twoCellAnchor>
  <xdr:twoCellAnchor>
    <xdr:from>
      <xdr:col>11</xdr:col>
      <xdr:colOff>639061</xdr:colOff>
      <xdr:row>75</xdr:row>
      <xdr:rowOff>101403</xdr:rowOff>
    </xdr:from>
    <xdr:to>
      <xdr:col>13</xdr:col>
      <xdr:colOff>41293</xdr:colOff>
      <xdr:row>76</xdr:row>
      <xdr:rowOff>175587</xdr:rowOff>
    </xdr:to>
    <xdr:sp macro="" textlink="">
      <xdr:nvSpPr>
        <xdr:cNvPr id="88" name="正方形/長方形 87">
          <a:extLst>
            <a:ext uri="{FF2B5EF4-FFF2-40B4-BE49-F238E27FC236}">
              <a16:creationId xmlns:a16="http://schemas.microsoft.com/office/drawing/2014/main" id="{3CEEE350-AFD7-4DA0-8EB7-A29BA210BB1B}"/>
            </a:ext>
          </a:extLst>
        </xdr:cNvPr>
        <xdr:cNvSpPr/>
      </xdr:nvSpPr>
      <xdr:spPr>
        <a:xfrm>
          <a:off x="8215099" y="22587730"/>
          <a:ext cx="779694" cy="31597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a:solidFill>
                <a:schemeClr val="tx1"/>
              </a:solidFill>
            </a:rPr>
            <a:t>AWG 12</a:t>
          </a:r>
        </a:p>
      </xdr:txBody>
    </xdr:sp>
    <xdr:clientData/>
  </xdr:twoCellAnchor>
  <xdr:twoCellAnchor>
    <xdr:from>
      <xdr:col>11</xdr:col>
      <xdr:colOff>634978</xdr:colOff>
      <xdr:row>77</xdr:row>
      <xdr:rowOff>88920</xdr:rowOff>
    </xdr:from>
    <xdr:to>
      <xdr:col>12</xdr:col>
      <xdr:colOff>672068</xdr:colOff>
      <xdr:row>78</xdr:row>
      <xdr:rowOff>163105</xdr:rowOff>
    </xdr:to>
    <xdr:sp macro="" textlink="">
      <xdr:nvSpPr>
        <xdr:cNvPr id="89" name="正方形/長方形 88">
          <a:extLst>
            <a:ext uri="{FF2B5EF4-FFF2-40B4-BE49-F238E27FC236}">
              <a16:creationId xmlns:a16="http://schemas.microsoft.com/office/drawing/2014/main" id="{E30BF65D-6EBA-4BEC-B350-A4D8F2C2E986}"/>
            </a:ext>
          </a:extLst>
        </xdr:cNvPr>
        <xdr:cNvSpPr/>
      </xdr:nvSpPr>
      <xdr:spPr>
        <a:xfrm>
          <a:off x="8211016" y="23058824"/>
          <a:ext cx="725821" cy="31597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a:solidFill>
                <a:schemeClr val="tx1"/>
              </a:solidFill>
            </a:rPr>
            <a:t>AWG 13</a:t>
          </a:r>
        </a:p>
      </xdr:txBody>
    </xdr:sp>
    <xdr:clientData/>
  </xdr:twoCellAnchor>
  <xdr:twoCellAnchor>
    <xdr:from>
      <xdr:col>11</xdr:col>
      <xdr:colOff>633618</xdr:colOff>
      <xdr:row>79</xdr:row>
      <xdr:rowOff>114540</xdr:rowOff>
    </xdr:from>
    <xdr:to>
      <xdr:col>12</xdr:col>
      <xdr:colOff>661183</xdr:colOff>
      <xdr:row>80</xdr:row>
      <xdr:rowOff>188724</xdr:rowOff>
    </xdr:to>
    <xdr:sp macro="" textlink="">
      <xdr:nvSpPr>
        <xdr:cNvPr id="90" name="正方形/長方形 89">
          <a:extLst>
            <a:ext uri="{FF2B5EF4-FFF2-40B4-BE49-F238E27FC236}">
              <a16:creationId xmlns:a16="http://schemas.microsoft.com/office/drawing/2014/main" id="{6CAF53F3-5B3A-4C82-8724-4FAE173B0C88}"/>
            </a:ext>
          </a:extLst>
        </xdr:cNvPr>
        <xdr:cNvSpPr/>
      </xdr:nvSpPr>
      <xdr:spPr>
        <a:xfrm>
          <a:off x="8209656" y="23568021"/>
          <a:ext cx="716296" cy="31597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a:solidFill>
                <a:schemeClr val="tx1"/>
              </a:solidFill>
            </a:rPr>
            <a:t>AWG 14</a:t>
          </a:r>
        </a:p>
      </xdr:txBody>
    </xdr:sp>
    <xdr:clientData/>
  </xdr:twoCellAnchor>
  <xdr:twoCellAnchor>
    <xdr:from>
      <xdr:col>11</xdr:col>
      <xdr:colOff>634978</xdr:colOff>
      <xdr:row>81</xdr:row>
      <xdr:rowOff>100416</xdr:rowOff>
    </xdr:from>
    <xdr:to>
      <xdr:col>12</xdr:col>
      <xdr:colOff>673382</xdr:colOff>
      <xdr:row>82</xdr:row>
      <xdr:rowOff>176243</xdr:rowOff>
    </xdr:to>
    <xdr:sp macro="" textlink="">
      <xdr:nvSpPr>
        <xdr:cNvPr id="91" name="正方形/長方形 90">
          <a:extLst>
            <a:ext uri="{FF2B5EF4-FFF2-40B4-BE49-F238E27FC236}">
              <a16:creationId xmlns:a16="http://schemas.microsoft.com/office/drawing/2014/main" id="{875EEAEA-9BCD-4393-94E0-67010211D998}"/>
            </a:ext>
          </a:extLst>
        </xdr:cNvPr>
        <xdr:cNvSpPr/>
      </xdr:nvSpPr>
      <xdr:spPr>
        <a:xfrm>
          <a:off x="8211016" y="24037474"/>
          <a:ext cx="727135" cy="31761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a:solidFill>
                <a:schemeClr val="tx1"/>
              </a:solidFill>
            </a:rPr>
            <a:t>AWG 15</a:t>
          </a:r>
        </a:p>
      </xdr:txBody>
    </xdr:sp>
    <xdr:clientData/>
  </xdr:twoCellAnchor>
  <xdr:twoCellAnchor>
    <xdr:from>
      <xdr:col>7</xdr:col>
      <xdr:colOff>357602</xdr:colOff>
      <xdr:row>67</xdr:row>
      <xdr:rowOff>29308</xdr:rowOff>
    </xdr:from>
    <xdr:to>
      <xdr:col>9</xdr:col>
      <xdr:colOff>275701</xdr:colOff>
      <xdr:row>85</xdr:row>
      <xdr:rowOff>7326</xdr:rowOff>
    </xdr:to>
    <xdr:sp macro="" textlink="">
      <xdr:nvSpPr>
        <xdr:cNvPr id="94" name="正方形/長方形 93">
          <a:extLst>
            <a:ext uri="{FF2B5EF4-FFF2-40B4-BE49-F238E27FC236}">
              <a16:creationId xmlns:a16="http://schemas.microsoft.com/office/drawing/2014/main" id="{ED837EB8-2E50-458C-B43C-76824B117CBC}"/>
            </a:ext>
          </a:extLst>
        </xdr:cNvPr>
        <xdr:cNvSpPr/>
      </xdr:nvSpPr>
      <xdr:spPr>
        <a:xfrm>
          <a:off x="5178717" y="20581327"/>
          <a:ext cx="1295561" cy="4330211"/>
        </a:xfrm>
        <a:prstGeom prst="rect">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オシロスコープ</a:t>
          </a:r>
        </a:p>
      </xdr:txBody>
    </xdr:sp>
    <xdr:clientData/>
  </xdr:twoCellAnchor>
  <xdr:twoCellAnchor>
    <xdr:from>
      <xdr:col>16</xdr:col>
      <xdr:colOff>386114</xdr:colOff>
      <xdr:row>54</xdr:row>
      <xdr:rowOff>67223</xdr:rowOff>
    </xdr:from>
    <xdr:to>
      <xdr:col>17</xdr:col>
      <xdr:colOff>447205</xdr:colOff>
      <xdr:row>56</xdr:row>
      <xdr:rowOff>5986</xdr:rowOff>
    </xdr:to>
    <xdr:sp macro="" textlink="">
      <xdr:nvSpPr>
        <xdr:cNvPr id="98" name="正方形/長方形 97">
          <a:extLst>
            <a:ext uri="{FF2B5EF4-FFF2-40B4-BE49-F238E27FC236}">
              <a16:creationId xmlns:a16="http://schemas.microsoft.com/office/drawing/2014/main" id="{03AA65D7-E58C-4F2C-BC72-9AC1A51F070E}"/>
            </a:ext>
          </a:extLst>
        </xdr:cNvPr>
        <xdr:cNvSpPr/>
      </xdr:nvSpPr>
      <xdr:spPr>
        <a:xfrm>
          <a:off x="11323055" y="17010517"/>
          <a:ext cx="744650" cy="409410"/>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PMOD 0</a:t>
          </a:r>
          <a:endParaRPr kumimoji="1" lang="ja-JP" altLang="en-US" sz="1100">
            <a:solidFill>
              <a:schemeClr val="tx1"/>
            </a:solidFill>
          </a:endParaRPr>
        </a:p>
      </xdr:txBody>
    </xdr:sp>
    <xdr:clientData/>
  </xdr:twoCellAnchor>
  <xdr:twoCellAnchor>
    <xdr:from>
      <xdr:col>13</xdr:col>
      <xdr:colOff>573607</xdr:colOff>
      <xdr:row>54</xdr:row>
      <xdr:rowOff>103551</xdr:rowOff>
    </xdr:from>
    <xdr:to>
      <xdr:col>16</xdr:col>
      <xdr:colOff>399768</xdr:colOff>
      <xdr:row>55</xdr:row>
      <xdr:rowOff>171496</xdr:rowOff>
    </xdr:to>
    <xdr:sp macro="" textlink="">
      <xdr:nvSpPr>
        <xdr:cNvPr id="99" name="正方形/長方形 98">
          <a:extLst>
            <a:ext uri="{FF2B5EF4-FFF2-40B4-BE49-F238E27FC236}">
              <a16:creationId xmlns:a16="http://schemas.microsoft.com/office/drawing/2014/main" id="{E1E73B25-81CD-4638-9C8D-2A23266006EB}"/>
            </a:ext>
          </a:extLst>
        </xdr:cNvPr>
        <xdr:cNvSpPr/>
      </xdr:nvSpPr>
      <xdr:spPr>
        <a:xfrm>
          <a:off x="9459872" y="17046845"/>
          <a:ext cx="1876837" cy="30326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ja-JP" altLang="en-US" sz="1000">
              <a:solidFill>
                <a:schemeClr val="tx1"/>
              </a:solidFill>
            </a:rPr>
            <a:t>ディジタル出力モジュール </a:t>
          </a:r>
          <a:r>
            <a:rPr kumimoji="1" lang="en-US" altLang="ja-JP" sz="1000">
              <a:solidFill>
                <a:schemeClr val="tx1"/>
              </a:solidFill>
            </a:rPr>
            <a:t>0</a:t>
          </a:r>
        </a:p>
      </xdr:txBody>
    </xdr:sp>
    <xdr:clientData/>
  </xdr:twoCellAnchor>
  <xdr:twoCellAnchor>
    <xdr:from>
      <xdr:col>17</xdr:col>
      <xdr:colOff>441342</xdr:colOff>
      <xdr:row>55</xdr:row>
      <xdr:rowOff>40234</xdr:rowOff>
    </xdr:from>
    <xdr:to>
      <xdr:col>18</xdr:col>
      <xdr:colOff>31799</xdr:colOff>
      <xdr:row>55</xdr:row>
      <xdr:rowOff>40234</xdr:rowOff>
    </xdr:to>
    <xdr:cxnSp macro="">
      <xdr:nvCxnSpPr>
        <xdr:cNvPr id="100" name="直線コネクタ 99">
          <a:extLst>
            <a:ext uri="{FF2B5EF4-FFF2-40B4-BE49-F238E27FC236}">
              <a16:creationId xmlns:a16="http://schemas.microsoft.com/office/drawing/2014/main" id="{F106D1CA-ABAA-4022-A18A-5E58BCA1AC82}"/>
            </a:ext>
          </a:extLst>
        </xdr:cNvPr>
        <xdr:cNvCxnSpPr/>
      </xdr:nvCxnSpPr>
      <xdr:spPr>
        <a:xfrm>
          <a:off x="12061842" y="17218852"/>
          <a:ext cx="274016"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293567</xdr:colOff>
      <xdr:row>50</xdr:row>
      <xdr:rowOff>48456</xdr:rowOff>
    </xdr:from>
    <xdr:to>
      <xdr:col>15</xdr:col>
      <xdr:colOff>384415</xdr:colOff>
      <xdr:row>51</xdr:row>
      <xdr:rowOff>122638</xdr:rowOff>
    </xdr:to>
    <xdr:sp macro="" textlink="">
      <xdr:nvSpPr>
        <xdr:cNvPr id="101" name="正方形/長方形 100">
          <a:extLst>
            <a:ext uri="{FF2B5EF4-FFF2-40B4-BE49-F238E27FC236}">
              <a16:creationId xmlns:a16="http://schemas.microsoft.com/office/drawing/2014/main" id="{9888FF8D-83BB-4B84-B32A-C6F280DC7518}"/>
            </a:ext>
          </a:extLst>
        </xdr:cNvPr>
        <xdr:cNvSpPr/>
      </xdr:nvSpPr>
      <xdr:spPr>
        <a:xfrm>
          <a:off x="9863391" y="16050456"/>
          <a:ext cx="774406" cy="30950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200">
              <a:solidFill>
                <a:schemeClr val="tx1"/>
              </a:solidFill>
            </a:rPr>
            <a:t>AWG 0</a:t>
          </a:r>
        </a:p>
      </xdr:txBody>
    </xdr:sp>
    <xdr:clientData/>
  </xdr:twoCellAnchor>
  <xdr:twoCellAnchor>
    <xdr:from>
      <xdr:col>17</xdr:col>
      <xdr:colOff>404860</xdr:colOff>
      <xdr:row>50</xdr:row>
      <xdr:rowOff>218796</xdr:rowOff>
    </xdr:from>
    <xdr:to>
      <xdr:col>18</xdr:col>
      <xdr:colOff>31264</xdr:colOff>
      <xdr:row>50</xdr:row>
      <xdr:rowOff>218796</xdr:rowOff>
    </xdr:to>
    <xdr:cxnSp macro="">
      <xdr:nvCxnSpPr>
        <xdr:cNvPr id="147" name="直線コネクタ 146">
          <a:extLst>
            <a:ext uri="{FF2B5EF4-FFF2-40B4-BE49-F238E27FC236}">
              <a16:creationId xmlns:a16="http://schemas.microsoft.com/office/drawing/2014/main" id="{AF02DB86-D236-41AD-97BE-D8A966B565C6}"/>
            </a:ext>
          </a:extLst>
        </xdr:cNvPr>
        <xdr:cNvCxnSpPr/>
      </xdr:nvCxnSpPr>
      <xdr:spPr>
        <a:xfrm>
          <a:off x="12025360" y="16220796"/>
          <a:ext cx="309963"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390772</xdr:colOff>
      <xdr:row>50</xdr:row>
      <xdr:rowOff>10491</xdr:rowOff>
    </xdr:from>
    <xdr:to>
      <xdr:col>17</xdr:col>
      <xdr:colOff>452682</xdr:colOff>
      <xdr:row>51</xdr:row>
      <xdr:rowOff>154486</xdr:rowOff>
    </xdr:to>
    <xdr:sp macro="" textlink="">
      <xdr:nvSpPr>
        <xdr:cNvPr id="171" name="正方形/長方形 170">
          <a:extLst>
            <a:ext uri="{FF2B5EF4-FFF2-40B4-BE49-F238E27FC236}">
              <a16:creationId xmlns:a16="http://schemas.microsoft.com/office/drawing/2014/main" id="{24FAED31-053E-474B-814F-ABAE6C3C9908}"/>
            </a:ext>
          </a:extLst>
        </xdr:cNvPr>
        <xdr:cNvSpPr/>
      </xdr:nvSpPr>
      <xdr:spPr>
        <a:xfrm>
          <a:off x="10644154" y="16012491"/>
          <a:ext cx="1429028" cy="379319"/>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 VOUT  0_228</a:t>
          </a:r>
          <a:endParaRPr kumimoji="1" lang="ja-JP" altLang="en-US" sz="1100">
            <a:solidFill>
              <a:schemeClr val="tx1"/>
            </a:solidFill>
          </a:endParaRPr>
        </a:p>
      </xdr:txBody>
    </xdr:sp>
    <xdr:clientData/>
  </xdr:twoCellAnchor>
  <xdr:twoCellAnchor>
    <xdr:from>
      <xdr:col>14</xdr:col>
      <xdr:colOff>377608</xdr:colOff>
      <xdr:row>52</xdr:row>
      <xdr:rowOff>72621</xdr:rowOff>
    </xdr:from>
    <xdr:to>
      <xdr:col>15</xdr:col>
      <xdr:colOff>381880</xdr:colOff>
      <xdr:row>53</xdr:row>
      <xdr:rowOff>146804</xdr:rowOff>
    </xdr:to>
    <xdr:sp macro="" textlink="">
      <xdr:nvSpPr>
        <xdr:cNvPr id="97" name="正方形/長方形 96">
          <a:extLst>
            <a:ext uri="{FF2B5EF4-FFF2-40B4-BE49-F238E27FC236}">
              <a16:creationId xmlns:a16="http://schemas.microsoft.com/office/drawing/2014/main" id="{E4147F08-F187-49F2-A9FF-C5283E1BE80C}"/>
            </a:ext>
          </a:extLst>
        </xdr:cNvPr>
        <xdr:cNvSpPr/>
      </xdr:nvSpPr>
      <xdr:spPr>
        <a:xfrm>
          <a:off x="9947432" y="16545268"/>
          <a:ext cx="687830" cy="30950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200">
              <a:solidFill>
                <a:schemeClr val="tx1"/>
              </a:solidFill>
            </a:rPr>
            <a:t>AWG 1</a:t>
          </a:r>
        </a:p>
      </xdr:txBody>
    </xdr:sp>
    <xdr:clientData/>
  </xdr:twoCellAnchor>
  <xdr:twoCellAnchor>
    <xdr:from>
      <xdr:col>17</xdr:col>
      <xdr:colOff>390125</xdr:colOff>
      <xdr:row>53</xdr:row>
      <xdr:rowOff>6443</xdr:rowOff>
    </xdr:from>
    <xdr:to>
      <xdr:col>18</xdr:col>
      <xdr:colOff>42444</xdr:colOff>
      <xdr:row>53</xdr:row>
      <xdr:rowOff>6443</xdr:rowOff>
    </xdr:to>
    <xdr:cxnSp macro="">
      <xdr:nvCxnSpPr>
        <xdr:cNvPr id="107" name="直線コネクタ 106">
          <a:extLst>
            <a:ext uri="{FF2B5EF4-FFF2-40B4-BE49-F238E27FC236}">
              <a16:creationId xmlns:a16="http://schemas.microsoft.com/office/drawing/2014/main" id="{14C53744-2C83-4CFD-A157-0325707B2D3A}"/>
            </a:ext>
          </a:extLst>
        </xdr:cNvPr>
        <xdr:cNvCxnSpPr/>
      </xdr:nvCxnSpPr>
      <xdr:spPr>
        <a:xfrm>
          <a:off x="12010625" y="16714414"/>
          <a:ext cx="335878"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380077</xdr:colOff>
      <xdr:row>52</xdr:row>
      <xdr:rowOff>24489</xdr:rowOff>
    </xdr:from>
    <xdr:to>
      <xdr:col>17</xdr:col>
      <xdr:colOff>441987</xdr:colOff>
      <xdr:row>53</xdr:row>
      <xdr:rowOff>177636</xdr:rowOff>
    </xdr:to>
    <xdr:sp macro="" textlink="">
      <xdr:nvSpPr>
        <xdr:cNvPr id="109" name="正方形/長方形 108">
          <a:extLst>
            <a:ext uri="{FF2B5EF4-FFF2-40B4-BE49-F238E27FC236}">
              <a16:creationId xmlns:a16="http://schemas.microsoft.com/office/drawing/2014/main" id="{23BED7BE-B016-47D4-BD7F-73CFD81477A5}"/>
            </a:ext>
          </a:extLst>
        </xdr:cNvPr>
        <xdr:cNvSpPr/>
      </xdr:nvSpPr>
      <xdr:spPr>
        <a:xfrm>
          <a:off x="10633459" y="16497136"/>
          <a:ext cx="1429028" cy="388471"/>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 VOUT  1_228</a:t>
          </a:r>
        </a:p>
      </xdr:txBody>
    </xdr:sp>
    <xdr:clientData/>
  </xdr:twoCellAnchor>
  <xdr:twoCellAnchor>
    <xdr:from>
      <xdr:col>18</xdr:col>
      <xdr:colOff>33885</xdr:colOff>
      <xdr:row>50</xdr:row>
      <xdr:rowOff>7327</xdr:rowOff>
    </xdr:from>
    <xdr:to>
      <xdr:col>19</xdr:col>
      <xdr:colOff>644710</xdr:colOff>
      <xdr:row>56</xdr:row>
      <xdr:rowOff>22412</xdr:rowOff>
    </xdr:to>
    <xdr:sp macro="" textlink="">
      <xdr:nvSpPr>
        <xdr:cNvPr id="195" name="正方形/長方形 194">
          <a:extLst>
            <a:ext uri="{FF2B5EF4-FFF2-40B4-BE49-F238E27FC236}">
              <a16:creationId xmlns:a16="http://schemas.microsoft.com/office/drawing/2014/main" id="{565341DE-B04E-4D74-8376-C2EF7DE7715B}"/>
            </a:ext>
          </a:extLst>
        </xdr:cNvPr>
        <xdr:cNvSpPr/>
      </xdr:nvSpPr>
      <xdr:spPr>
        <a:xfrm>
          <a:off x="12337944" y="16009327"/>
          <a:ext cx="1294384" cy="1427026"/>
        </a:xfrm>
        <a:prstGeom prst="rect">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オシロスコープ</a:t>
          </a:r>
        </a:p>
      </xdr:txBody>
    </xdr:sp>
    <xdr:clientData/>
  </xdr:twoCellAnchor>
  <xdr:twoCellAnchor editAs="oneCell">
    <xdr:from>
      <xdr:col>14</xdr:col>
      <xdr:colOff>0</xdr:colOff>
      <xdr:row>60</xdr:row>
      <xdr:rowOff>0</xdr:rowOff>
    </xdr:from>
    <xdr:to>
      <xdr:col>23</xdr:col>
      <xdr:colOff>601043</xdr:colOff>
      <xdr:row>77</xdr:row>
      <xdr:rowOff>231638</xdr:rowOff>
    </xdr:to>
    <xdr:pic>
      <xdr:nvPicPr>
        <xdr:cNvPr id="142" name="図 141">
          <a:extLst>
            <a:ext uri="{FF2B5EF4-FFF2-40B4-BE49-F238E27FC236}">
              <a16:creationId xmlns:a16="http://schemas.microsoft.com/office/drawing/2014/main" id="{C128B698-614F-0CEC-DC1D-8C924B44F699}"/>
            </a:ext>
          </a:extLst>
        </xdr:cNvPr>
        <xdr:cNvPicPr>
          <a:picLocks noChangeAspect="1"/>
        </xdr:cNvPicPr>
      </xdr:nvPicPr>
      <xdr:blipFill>
        <a:blip xmlns:r="http://schemas.openxmlformats.org/officeDocument/2006/relationships" r:embed="rId5"/>
        <a:stretch>
          <a:fillRect/>
        </a:stretch>
      </xdr:blipFill>
      <xdr:spPr>
        <a:xfrm>
          <a:off x="9601200" y="18573750"/>
          <a:ext cx="6773243" cy="427976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6</xdr:col>
      <xdr:colOff>266700</xdr:colOff>
      <xdr:row>75</xdr:row>
      <xdr:rowOff>0</xdr:rowOff>
    </xdr:from>
    <xdr:to>
      <xdr:col>8</xdr:col>
      <xdr:colOff>108697</xdr:colOff>
      <xdr:row>75</xdr:row>
      <xdr:rowOff>0</xdr:rowOff>
    </xdr:to>
    <xdr:sp macro="" textlink="">
      <xdr:nvSpPr>
        <xdr:cNvPr id="9" name="正方形/長方形 8">
          <a:extLst>
            <a:ext uri="{FF2B5EF4-FFF2-40B4-BE49-F238E27FC236}">
              <a16:creationId xmlns:a16="http://schemas.microsoft.com/office/drawing/2014/main" id="{D244BE82-A99B-4107-9825-7C31C6F4209F}"/>
            </a:ext>
          </a:extLst>
        </xdr:cNvPr>
        <xdr:cNvSpPr/>
      </xdr:nvSpPr>
      <xdr:spPr>
        <a:xfrm>
          <a:off x="1924050" y="24041100"/>
          <a:ext cx="394447"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57</xdr:col>
      <xdr:colOff>153761</xdr:colOff>
      <xdr:row>119</xdr:row>
      <xdr:rowOff>43543</xdr:rowOff>
    </xdr:from>
    <xdr:to>
      <xdr:col>58</xdr:col>
      <xdr:colOff>271983</xdr:colOff>
      <xdr:row>119</xdr:row>
      <xdr:rowOff>195943</xdr:rowOff>
    </xdr:to>
    <xdr:sp macro="" textlink="">
      <xdr:nvSpPr>
        <xdr:cNvPr id="18" name="正方形/長方形 17">
          <a:extLst>
            <a:ext uri="{FF2B5EF4-FFF2-40B4-BE49-F238E27FC236}">
              <a16:creationId xmlns:a16="http://schemas.microsoft.com/office/drawing/2014/main" id="{A0D39E67-E480-416B-9EB3-FACFCE9DE5FC}"/>
            </a:ext>
          </a:extLst>
        </xdr:cNvPr>
        <xdr:cNvSpPr/>
      </xdr:nvSpPr>
      <xdr:spPr>
        <a:xfrm>
          <a:off x="15898586" y="61708393"/>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1361</xdr:colOff>
      <xdr:row>2</xdr:row>
      <xdr:rowOff>37729</xdr:rowOff>
    </xdr:from>
    <xdr:to>
      <xdr:col>8</xdr:col>
      <xdr:colOff>119583</xdr:colOff>
      <xdr:row>2</xdr:row>
      <xdr:rowOff>190129</xdr:rowOff>
    </xdr:to>
    <xdr:sp macro="" textlink="">
      <xdr:nvSpPr>
        <xdr:cNvPr id="21" name="正方形/長方形 20">
          <a:extLst>
            <a:ext uri="{FF2B5EF4-FFF2-40B4-BE49-F238E27FC236}">
              <a16:creationId xmlns:a16="http://schemas.microsoft.com/office/drawing/2014/main" id="{DC5511A4-2E63-4DEA-B0D0-C266F51F0B52}"/>
            </a:ext>
          </a:extLst>
        </xdr:cNvPr>
        <xdr:cNvSpPr/>
      </xdr:nvSpPr>
      <xdr:spPr>
        <a:xfrm>
          <a:off x="1934936" y="6228979"/>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xdr:colOff>
      <xdr:row>2</xdr:row>
      <xdr:rowOff>113929</xdr:rowOff>
    </xdr:from>
    <xdr:to>
      <xdr:col>7</xdr:col>
      <xdr:colOff>1362</xdr:colOff>
      <xdr:row>119</xdr:row>
      <xdr:rowOff>76200</xdr:rowOff>
    </xdr:to>
    <xdr:cxnSp macro="">
      <xdr:nvCxnSpPr>
        <xdr:cNvPr id="22" name="コネクタ: カギ線 21">
          <a:extLst>
            <a:ext uri="{FF2B5EF4-FFF2-40B4-BE49-F238E27FC236}">
              <a16:creationId xmlns:a16="http://schemas.microsoft.com/office/drawing/2014/main" id="{EDF53D9E-FFCD-433D-81EF-9EA9A337F36A}"/>
            </a:ext>
          </a:extLst>
        </xdr:cNvPr>
        <xdr:cNvCxnSpPr>
          <a:stCxn id="21" idx="1"/>
          <a:endCxn id="23" idx="1"/>
        </xdr:cNvCxnSpPr>
      </xdr:nvCxnSpPr>
      <xdr:spPr>
        <a:xfrm rot="10800000" flipV="1">
          <a:off x="1933576" y="6305179"/>
          <a:ext cx="1361" cy="55435871"/>
        </a:xfrm>
        <a:prstGeom prst="bentConnector3">
          <a:avLst>
            <a:gd name="adj1" fmla="val 39848935"/>
          </a:avLst>
        </a:prstGeom>
        <a:ln>
          <a:solidFill>
            <a:schemeClr val="tx1"/>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119</xdr:row>
      <xdr:rowOff>0</xdr:rowOff>
    </xdr:from>
    <xdr:to>
      <xdr:col>8</xdr:col>
      <xdr:colOff>118222</xdr:colOff>
      <xdr:row>119</xdr:row>
      <xdr:rowOff>152400</xdr:rowOff>
    </xdr:to>
    <xdr:sp macro="" textlink="">
      <xdr:nvSpPr>
        <xdr:cNvPr id="23" name="正方形/長方形 22">
          <a:extLst>
            <a:ext uri="{FF2B5EF4-FFF2-40B4-BE49-F238E27FC236}">
              <a16:creationId xmlns:a16="http://schemas.microsoft.com/office/drawing/2014/main" id="{8C30D397-D030-4391-A12A-C782A5C73EF0}"/>
            </a:ext>
          </a:extLst>
        </xdr:cNvPr>
        <xdr:cNvSpPr/>
      </xdr:nvSpPr>
      <xdr:spPr>
        <a:xfrm>
          <a:off x="1933575" y="61664850"/>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57</xdr:col>
      <xdr:colOff>153761</xdr:colOff>
      <xdr:row>147</xdr:row>
      <xdr:rowOff>43543</xdr:rowOff>
    </xdr:from>
    <xdr:to>
      <xdr:col>58</xdr:col>
      <xdr:colOff>271983</xdr:colOff>
      <xdr:row>147</xdr:row>
      <xdr:rowOff>195943</xdr:rowOff>
    </xdr:to>
    <xdr:sp macro="" textlink="">
      <xdr:nvSpPr>
        <xdr:cNvPr id="24" name="正方形/長方形 23">
          <a:extLst>
            <a:ext uri="{FF2B5EF4-FFF2-40B4-BE49-F238E27FC236}">
              <a16:creationId xmlns:a16="http://schemas.microsoft.com/office/drawing/2014/main" id="{01215634-5B8F-4F80-8087-0A086B5DDB4B}"/>
            </a:ext>
          </a:extLst>
        </xdr:cNvPr>
        <xdr:cNvSpPr/>
      </xdr:nvSpPr>
      <xdr:spPr>
        <a:xfrm>
          <a:off x="15898586" y="68375893"/>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0</xdr:colOff>
      <xdr:row>147</xdr:row>
      <xdr:rowOff>0</xdr:rowOff>
    </xdr:from>
    <xdr:to>
      <xdr:col>8</xdr:col>
      <xdr:colOff>118222</xdr:colOff>
      <xdr:row>147</xdr:row>
      <xdr:rowOff>152400</xdr:rowOff>
    </xdr:to>
    <xdr:sp macro="" textlink="">
      <xdr:nvSpPr>
        <xdr:cNvPr id="25" name="正方形/長方形 24">
          <a:extLst>
            <a:ext uri="{FF2B5EF4-FFF2-40B4-BE49-F238E27FC236}">
              <a16:creationId xmlns:a16="http://schemas.microsoft.com/office/drawing/2014/main" id="{936140F0-65DC-4AE3-84BE-57BED4493C83}"/>
            </a:ext>
          </a:extLst>
        </xdr:cNvPr>
        <xdr:cNvSpPr/>
      </xdr:nvSpPr>
      <xdr:spPr>
        <a:xfrm>
          <a:off x="1933575" y="68332350"/>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252350</xdr:colOff>
      <xdr:row>147</xdr:row>
      <xdr:rowOff>49479</xdr:rowOff>
    </xdr:from>
    <xdr:to>
      <xdr:col>8</xdr:col>
      <xdr:colOff>98429</xdr:colOff>
      <xdr:row>147</xdr:row>
      <xdr:rowOff>201879</xdr:rowOff>
    </xdr:to>
    <xdr:sp macro="" textlink="">
      <xdr:nvSpPr>
        <xdr:cNvPr id="26" name="正方形/長方形 25">
          <a:extLst>
            <a:ext uri="{FF2B5EF4-FFF2-40B4-BE49-F238E27FC236}">
              <a16:creationId xmlns:a16="http://schemas.microsoft.com/office/drawing/2014/main" id="{034DDB07-EDF7-493E-B0CE-23D4A7073E56}"/>
            </a:ext>
          </a:extLst>
        </xdr:cNvPr>
        <xdr:cNvSpPr/>
      </xdr:nvSpPr>
      <xdr:spPr>
        <a:xfrm>
          <a:off x="1909700" y="68381829"/>
          <a:ext cx="398529"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252351</xdr:colOff>
      <xdr:row>40</xdr:row>
      <xdr:rowOff>79292</xdr:rowOff>
    </xdr:from>
    <xdr:to>
      <xdr:col>6</xdr:col>
      <xdr:colOff>253712</xdr:colOff>
      <xdr:row>147</xdr:row>
      <xdr:rowOff>125678</xdr:rowOff>
    </xdr:to>
    <xdr:cxnSp macro="">
      <xdr:nvCxnSpPr>
        <xdr:cNvPr id="27" name="コネクタ: カギ線 26">
          <a:extLst>
            <a:ext uri="{FF2B5EF4-FFF2-40B4-BE49-F238E27FC236}">
              <a16:creationId xmlns:a16="http://schemas.microsoft.com/office/drawing/2014/main" id="{636075FB-6FDF-44DC-8CBE-9094BF9A1514}"/>
            </a:ext>
          </a:extLst>
        </xdr:cNvPr>
        <xdr:cNvCxnSpPr>
          <a:stCxn id="28" idx="1"/>
          <a:endCxn id="26" idx="1"/>
        </xdr:cNvCxnSpPr>
      </xdr:nvCxnSpPr>
      <xdr:spPr>
        <a:xfrm rot="10800000" flipV="1">
          <a:off x="1909701" y="15309767"/>
          <a:ext cx="1361" cy="53148261"/>
        </a:xfrm>
        <a:prstGeom prst="bentConnector3">
          <a:avLst>
            <a:gd name="adj1" fmla="val 57487950"/>
          </a:avLst>
        </a:prstGeom>
        <a:ln>
          <a:solidFill>
            <a:schemeClr val="tx1"/>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253711</xdr:colOff>
      <xdr:row>40</xdr:row>
      <xdr:rowOff>3093</xdr:rowOff>
    </xdr:from>
    <xdr:to>
      <xdr:col>8</xdr:col>
      <xdr:colOff>99790</xdr:colOff>
      <xdr:row>40</xdr:row>
      <xdr:rowOff>155493</xdr:rowOff>
    </xdr:to>
    <xdr:sp macro="" textlink="">
      <xdr:nvSpPr>
        <xdr:cNvPr id="28" name="正方形/長方形 27">
          <a:extLst>
            <a:ext uri="{FF2B5EF4-FFF2-40B4-BE49-F238E27FC236}">
              <a16:creationId xmlns:a16="http://schemas.microsoft.com/office/drawing/2014/main" id="{F0DBD3ED-7F26-4815-85F4-1E1A23436294}"/>
            </a:ext>
          </a:extLst>
        </xdr:cNvPr>
        <xdr:cNvSpPr/>
      </xdr:nvSpPr>
      <xdr:spPr>
        <a:xfrm>
          <a:off x="1911061" y="15233568"/>
          <a:ext cx="398529"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1361</xdr:colOff>
      <xdr:row>1</xdr:row>
      <xdr:rowOff>37729</xdr:rowOff>
    </xdr:from>
    <xdr:to>
      <xdr:col>8</xdr:col>
      <xdr:colOff>119583</xdr:colOff>
      <xdr:row>1</xdr:row>
      <xdr:rowOff>190129</xdr:rowOff>
    </xdr:to>
    <xdr:sp macro="" textlink="">
      <xdr:nvSpPr>
        <xdr:cNvPr id="29" name="正方形/長方形 28">
          <a:extLst>
            <a:ext uri="{FF2B5EF4-FFF2-40B4-BE49-F238E27FC236}">
              <a16:creationId xmlns:a16="http://schemas.microsoft.com/office/drawing/2014/main" id="{6EC1D971-6B9E-4436-AEC4-FBD68E4E3C62}"/>
            </a:ext>
          </a:extLst>
        </xdr:cNvPr>
        <xdr:cNvSpPr/>
      </xdr:nvSpPr>
      <xdr:spPr>
        <a:xfrm>
          <a:off x="1934936" y="5990854"/>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0</xdr:colOff>
      <xdr:row>77</xdr:row>
      <xdr:rowOff>47625</xdr:rowOff>
    </xdr:from>
    <xdr:to>
      <xdr:col>8</xdr:col>
      <xdr:colOff>118222</xdr:colOff>
      <xdr:row>77</xdr:row>
      <xdr:rowOff>200025</xdr:rowOff>
    </xdr:to>
    <xdr:sp macro="" textlink="">
      <xdr:nvSpPr>
        <xdr:cNvPr id="30" name="正方形/長方形 29">
          <a:extLst>
            <a:ext uri="{FF2B5EF4-FFF2-40B4-BE49-F238E27FC236}">
              <a16:creationId xmlns:a16="http://schemas.microsoft.com/office/drawing/2014/main" id="{A6EC08D3-375B-44F6-80BE-203449A0B167}"/>
            </a:ext>
          </a:extLst>
        </xdr:cNvPr>
        <xdr:cNvSpPr/>
      </xdr:nvSpPr>
      <xdr:spPr>
        <a:xfrm>
          <a:off x="1933575" y="51711225"/>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xdr:colOff>
      <xdr:row>1</xdr:row>
      <xdr:rowOff>113929</xdr:rowOff>
    </xdr:from>
    <xdr:to>
      <xdr:col>7</xdr:col>
      <xdr:colOff>1362</xdr:colOff>
      <xdr:row>77</xdr:row>
      <xdr:rowOff>123825</xdr:rowOff>
    </xdr:to>
    <xdr:cxnSp macro="">
      <xdr:nvCxnSpPr>
        <xdr:cNvPr id="31" name="コネクタ: カギ線 30">
          <a:extLst>
            <a:ext uri="{FF2B5EF4-FFF2-40B4-BE49-F238E27FC236}">
              <a16:creationId xmlns:a16="http://schemas.microsoft.com/office/drawing/2014/main" id="{A28EF64C-242D-4828-9DFD-C3DDBAE6CFC8}"/>
            </a:ext>
          </a:extLst>
        </xdr:cNvPr>
        <xdr:cNvCxnSpPr>
          <a:stCxn id="29" idx="1"/>
          <a:endCxn id="30" idx="1"/>
        </xdr:cNvCxnSpPr>
      </xdr:nvCxnSpPr>
      <xdr:spPr>
        <a:xfrm rot="10800000" flipV="1">
          <a:off x="1933576" y="6067054"/>
          <a:ext cx="1361" cy="45720371"/>
        </a:xfrm>
        <a:prstGeom prst="bentConnector3">
          <a:avLst>
            <a:gd name="adj1" fmla="val 21366128"/>
          </a:avLst>
        </a:prstGeom>
        <a:ln>
          <a:solidFill>
            <a:schemeClr val="tx1"/>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253711</xdr:colOff>
      <xdr:row>42</xdr:row>
      <xdr:rowOff>3093</xdr:rowOff>
    </xdr:from>
    <xdr:to>
      <xdr:col>8</xdr:col>
      <xdr:colOff>99790</xdr:colOff>
      <xdr:row>42</xdr:row>
      <xdr:rowOff>155493</xdr:rowOff>
    </xdr:to>
    <xdr:sp macro="" textlink="">
      <xdr:nvSpPr>
        <xdr:cNvPr id="32" name="正方形/長方形 31">
          <a:extLst>
            <a:ext uri="{FF2B5EF4-FFF2-40B4-BE49-F238E27FC236}">
              <a16:creationId xmlns:a16="http://schemas.microsoft.com/office/drawing/2014/main" id="{0ED3D642-A92B-4924-A4F1-BFD2F0FCA3E7}"/>
            </a:ext>
          </a:extLst>
        </xdr:cNvPr>
        <xdr:cNvSpPr/>
      </xdr:nvSpPr>
      <xdr:spPr>
        <a:xfrm>
          <a:off x="1911061" y="15709818"/>
          <a:ext cx="398529"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253711</xdr:colOff>
      <xdr:row>44</xdr:row>
      <xdr:rowOff>3093</xdr:rowOff>
    </xdr:from>
    <xdr:to>
      <xdr:col>8</xdr:col>
      <xdr:colOff>99790</xdr:colOff>
      <xdr:row>44</xdr:row>
      <xdr:rowOff>155493</xdr:rowOff>
    </xdr:to>
    <xdr:sp macro="" textlink="">
      <xdr:nvSpPr>
        <xdr:cNvPr id="33" name="正方形/長方形 32">
          <a:extLst>
            <a:ext uri="{FF2B5EF4-FFF2-40B4-BE49-F238E27FC236}">
              <a16:creationId xmlns:a16="http://schemas.microsoft.com/office/drawing/2014/main" id="{2A3DAB57-A244-46A1-A557-D6B786683430}"/>
            </a:ext>
          </a:extLst>
        </xdr:cNvPr>
        <xdr:cNvSpPr/>
      </xdr:nvSpPr>
      <xdr:spPr>
        <a:xfrm>
          <a:off x="1911061" y="16186068"/>
          <a:ext cx="398529"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253711</xdr:colOff>
      <xdr:row>46</xdr:row>
      <xdr:rowOff>3093</xdr:rowOff>
    </xdr:from>
    <xdr:to>
      <xdr:col>8</xdr:col>
      <xdr:colOff>99790</xdr:colOff>
      <xdr:row>46</xdr:row>
      <xdr:rowOff>155493</xdr:rowOff>
    </xdr:to>
    <xdr:sp macro="" textlink="">
      <xdr:nvSpPr>
        <xdr:cNvPr id="34" name="正方形/長方形 33">
          <a:extLst>
            <a:ext uri="{FF2B5EF4-FFF2-40B4-BE49-F238E27FC236}">
              <a16:creationId xmlns:a16="http://schemas.microsoft.com/office/drawing/2014/main" id="{281DAFD8-F032-4EE4-9ACB-B56D97D7A661}"/>
            </a:ext>
          </a:extLst>
        </xdr:cNvPr>
        <xdr:cNvSpPr/>
      </xdr:nvSpPr>
      <xdr:spPr>
        <a:xfrm>
          <a:off x="1911061" y="16662318"/>
          <a:ext cx="398529"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253711</xdr:colOff>
      <xdr:row>48</xdr:row>
      <xdr:rowOff>3093</xdr:rowOff>
    </xdr:from>
    <xdr:to>
      <xdr:col>8</xdr:col>
      <xdr:colOff>99790</xdr:colOff>
      <xdr:row>48</xdr:row>
      <xdr:rowOff>155493</xdr:rowOff>
    </xdr:to>
    <xdr:sp macro="" textlink="">
      <xdr:nvSpPr>
        <xdr:cNvPr id="35" name="正方形/長方形 34">
          <a:extLst>
            <a:ext uri="{FF2B5EF4-FFF2-40B4-BE49-F238E27FC236}">
              <a16:creationId xmlns:a16="http://schemas.microsoft.com/office/drawing/2014/main" id="{B5006034-149F-4F94-A5B6-D513A3B93550}"/>
            </a:ext>
          </a:extLst>
        </xdr:cNvPr>
        <xdr:cNvSpPr/>
      </xdr:nvSpPr>
      <xdr:spPr>
        <a:xfrm>
          <a:off x="1911061" y="17138568"/>
          <a:ext cx="398529"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253711</xdr:colOff>
      <xdr:row>50</xdr:row>
      <xdr:rowOff>3093</xdr:rowOff>
    </xdr:from>
    <xdr:to>
      <xdr:col>8</xdr:col>
      <xdr:colOff>99790</xdr:colOff>
      <xdr:row>50</xdr:row>
      <xdr:rowOff>155493</xdr:rowOff>
    </xdr:to>
    <xdr:sp macro="" textlink="">
      <xdr:nvSpPr>
        <xdr:cNvPr id="36" name="正方形/長方形 35">
          <a:extLst>
            <a:ext uri="{FF2B5EF4-FFF2-40B4-BE49-F238E27FC236}">
              <a16:creationId xmlns:a16="http://schemas.microsoft.com/office/drawing/2014/main" id="{5535BA33-16F9-4CCD-9301-FE0AF548A474}"/>
            </a:ext>
          </a:extLst>
        </xdr:cNvPr>
        <xdr:cNvSpPr/>
      </xdr:nvSpPr>
      <xdr:spPr>
        <a:xfrm>
          <a:off x="1911061" y="17614818"/>
          <a:ext cx="398529"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253711</xdr:colOff>
      <xdr:row>52</xdr:row>
      <xdr:rowOff>3093</xdr:rowOff>
    </xdr:from>
    <xdr:to>
      <xdr:col>8</xdr:col>
      <xdr:colOff>99790</xdr:colOff>
      <xdr:row>52</xdr:row>
      <xdr:rowOff>155493</xdr:rowOff>
    </xdr:to>
    <xdr:sp macro="" textlink="">
      <xdr:nvSpPr>
        <xdr:cNvPr id="37" name="正方形/長方形 36">
          <a:extLst>
            <a:ext uri="{FF2B5EF4-FFF2-40B4-BE49-F238E27FC236}">
              <a16:creationId xmlns:a16="http://schemas.microsoft.com/office/drawing/2014/main" id="{AD1AFBD5-6D1B-4163-9048-EA073468ACD1}"/>
            </a:ext>
          </a:extLst>
        </xdr:cNvPr>
        <xdr:cNvSpPr/>
      </xdr:nvSpPr>
      <xdr:spPr>
        <a:xfrm>
          <a:off x="1911061" y="18091068"/>
          <a:ext cx="398529"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253711</xdr:colOff>
      <xdr:row>54</xdr:row>
      <xdr:rowOff>3093</xdr:rowOff>
    </xdr:from>
    <xdr:to>
      <xdr:col>8</xdr:col>
      <xdr:colOff>99790</xdr:colOff>
      <xdr:row>54</xdr:row>
      <xdr:rowOff>155493</xdr:rowOff>
    </xdr:to>
    <xdr:sp macro="" textlink="">
      <xdr:nvSpPr>
        <xdr:cNvPr id="38" name="正方形/長方形 37">
          <a:extLst>
            <a:ext uri="{FF2B5EF4-FFF2-40B4-BE49-F238E27FC236}">
              <a16:creationId xmlns:a16="http://schemas.microsoft.com/office/drawing/2014/main" id="{627376EC-2275-4324-9330-5AE19193A746}"/>
            </a:ext>
          </a:extLst>
        </xdr:cNvPr>
        <xdr:cNvSpPr/>
      </xdr:nvSpPr>
      <xdr:spPr>
        <a:xfrm>
          <a:off x="1911061" y="18567318"/>
          <a:ext cx="398529"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1361</xdr:colOff>
      <xdr:row>4</xdr:row>
      <xdr:rowOff>37729</xdr:rowOff>
    </xdr:from>
    <xdr:to>
      <xdr:col>8</xdr:col>
      <xdr:colOff>119583</xdr:colOff>
      <xdr:row>4</xdr:row>
      <xdr:rowOff>190129</xdr:rowOff>
    </xdr:to>
    <xdr:sp macro="" textlink="">
      <xdr:nvSpPr>
        <xdr:cNvPr id="39" name="正方形/長方形 38">
          <a:extLst>
            <a:ext uri="{FF2B5EF4-FFF2-40B4-BE49-F238E27FC236}">
              <a16:creationId xmlns:a16="http://schemas.microsoft.com/office/drawing/2014/main" id="{9CA1476D-9F81-4AEC-8E3A-051B1B8EF1AB}"/>
            </a:ext>
          </a:extLst>
        </xdr:cNvPr>
        <xdr:cNvSpPr/>
      </xdr:nvSpPr>
      <xdr:spPr>
        <a:xfrm>
          <a:off x="1934936" y="6705229"/>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1361</xdr:colOff>
      <xdr:row>6</xdr:row>
      <xdr:rowOff>37729</xdr:rowOff>
    </xdr:from>
    <xdr:to>
      <xdr:col>8</xdr:col>
      <xdr:colOff>119583</xdr:colOff>
      <xdr:row>6</xdr:row>
      <xdr:rowOff>190129</xdr:rowOff>
    </xdr:to>
    <xdr:sp macro="" textlink="">
      <xdr:nvSpPr>
        <xdr:cNvPr id="40" name="正方形/長方形 39">
          <a:extLst>
            <a:ext uri="{FF2B5EF4-FFF2-40B4-BE49-F238E27FC236}">
              <a16:creationId xmlns:a16="http://schemas.microsoft.com/office/drawing/2014/main" id="{F9302D7C-E118-4E01-B929-22200BF02BE3}"/>
            </a:ext>
          </a:extLst>
        </xdr:cNvPr>
        <xdr:cNvSpPr/>
      </xdr:nvSpPr>
      <xdr:spPr>
        <a:xfrm>
          <a:off x="1934936" y="7181479"/>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1361</xdr:colOff>
      <xdr:row>8</xdr:row>
      <xdr:rowOff>37729</xdr:rowOff>
    </xdr:from>
    <xdr:to>
      <xdr:col>8</xdr:col>
      <xdr:colOff>119583</xdr:colOff>
      <xdr:row>8</xdr:row>
      <xdr:rowOff>190129</xdr:rowOff>
    </xdr:to>
    <xdr:sp macro="" textlink="">
      <xdr:nvSpPr>
        <xdr:cNvPr id="41" name="正方形/長方形 40">
          <a:extLst>
            <a:ext uri="{FF2B5EF4-FFF2-40B4-BE49-F238E27FC236}">
              <a16:creationId xmlns:a16="http://schemas.microsoft.com/office/drawing/2014/main" id="{C17B1288-D5C3-4C34-95C3-2F066B632425}"/>
            </a:ext>
          </a:extLst>
        </xdr:cNvPr>
        <xdr:cNvSpPr/>
      </xdr:nvSpPr>
      <xdr:spPr>
        <a:xfrm>
          <a:off x="1934936" y="7657729"/>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1361</xdr:colOff>
      <xdr:row>10</xdr:row>
      <xdr:rowOff>37729</xdr:rowOff>
    </xdr:from>
    <xdr:to>
      <xdr:col>8</xdr:col>
      <xdr:colOff>119583</xdr:colOff>
      <xdr:row>10</xdr:row>
      <xdr:rowOff>190129</xdr:rowOff>
    </xdr:to>
    <xdr:sp macro="" textlink="">
      <xdr:nvSpPr>
        <xdr:cNvPr id="42" name="正方形/長方形 41">
          <a:extLst>
            <a:ext uri="{FF2B5EF4-FFF2-40B4-BE49-F238E27FC236}">
              <a16:creationId xmlns:a16="http://schemas.microsoft.com/office/drawing/2014/main" id="{FB5D1AED-2787-4E16-B058-8BB433C4A674}"/>
            </a:ext>
          </a:extLst>
        </xdr:cNvPr>
        <xdr:cNvSpPr/>
      </xdr:nvSpPr>
      <xdr:spPr>
        <a:xfrm>
          <a:off x="1934936" y="8133979"/>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1361</xdr:colOff>
      <xdr:row>12</xdr:row>
      <xdr:rowOff>37729</xdr:rowOff>
    </xdr:from>
    <xdr:to>
      <xdr:col>8</xdr:col>
      <xdr:colOff>119583</xdr:colOff>
      <xdr:row>12</xdr:row>
      <xdr:rowOff>190129</xdr:rowOff>
    </xdr:to>
    <xdr:sp macro="" textlink="">
      <xdr:nvSpPr>
        <xdr:cNvPr id="43" name="正方形/長方形 42">
          <a:extLst>
            <a:ext uri="{FF2B5EF4-FFF2-40B4-BE49-F238E27FC236}">
              <a16:creationId xmlns:a16="http://schemas.microsoft.com/office/drawing/2014/main" id="{4BA5421D-C034-491A-81AC-A7E231BF10AE}"/>
            </a:ext>
          </a:extLst>
        </xdr:cNvPr>
        <xdr:cNvSpPr/>
      </xdr:nvSpPr>
      <xdr:spPr>
        <a:xfrm>
          <a:off x="1934936" y="8610229"/>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1361</xdr:colOff>
      <xdr:row>14</xdr:row>
      <xdr:rowOff>37729</xdr:rowOff>
    </xdr:from>
    <xdr:to>
      <xdr:col>8</xdr:col>
      <xdr:colOff>119583</xdr:colOff>
      <xdr:row>14</xdr:row>
      <xdr:rowOff>190129</xdr:rowOff>
    </xdr:to>
    <xdr:sp macro="" textlink="">
      <xdr:nvSpPr>
        <xdr:cNvPr id="44" name="正方形/長方形 43">
          <a:extLst>
            <a:ext uri="{FF2B5EF4-FFF2-40B4-BE49-F238E27FC236}">
              <a16:creationId xmlns:a16="http://schemas.microsoft.com/office/drawing/2014/main" id="{0AE9C685-961E-41D2-BBF1-992838DC1862}"/>
            </a:ext>
          </a:extLst>
        </xdr:cNvPr>
        <xdr:cNvSpPr/>
      </xdr:nvSpPr>
      <xdr:spPr>
        <a:xfrm>
          <a:off x="1934936" y="9086479"/>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1361</xdr:colOff>
      <xdr:row>16</xdr:row>
      <xdr:rowOff>37729</xdr:rowOff>
    </xdr:from>
    <xdr:to>
      <xdr:col>8</xdr:col>
      <xdr:colOff>119583</xdr:colOff>
      <xdr:row>16</xdr:row>
      <xdr:rowOff>190129</xdr:rowOff>
    </xdr:to>
    <xdr:sp macro="" textlink="">
      <xdr:nvSpPr>
        <xdr:cNvPr id="45" name="正方形/長方形 44">
          <a:extLst>
            <a:ext uri="{FF2B5EF4-FFF2-40B4-BE49-F238E27FC236}">
              <a16:creationId xmlns:a16="http://schemas.microsoft.com/office/drawing/2014/main" id="{EC4DD2A2-F816-4AB6-8C3A-479600726CB1}"/>
            </a:ext>
          </a:extLst>
        </xdr:cNvPr>
        <xdr:cNvSpPr/>
      </xdr:nvSpPr>
      <xdr:spPr>
        <a:xfrm>
          <a:off x="1934936" y="9562729"/>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1361</xdr:colOff>
      <xdr:row>19</xdr:row>
      <xdr:rowOff>37729</xdr:rowOff>
    </xdr:from>
    <xdr:to>
      <xdr:col>8</xdr:col>
      <xdr:colOff>119583</xdr:colOff>
      <xdr:row>19</xdr:row>
      <xdr:rowOff>190129</xdr:rowOff>
    </xdr:to>
    <xdr:sp macro="" textlink="">
      <xdr:nvSpPr>
        <xdr:cNvPr id="46" name="正方形/長方形 45">
          <a:extLst>
            <a:ext uri="{FF2B5EF4-FFF2-40B4-BE49-F238E27FC236}">
              <a16:creationId xmlns:a16="http://schemas.microsoft.com/office/drawing/2014/main" id="{55E71464-4602-41D9-A4D8-42D982DFC144}"/>
            </a:ext>
          </a:extLst>
        </xdr:cNvPr>
        <xdr:cNvSpPr/>
      </xdr:nvSpPr>
      <xdr:spPr>
        <a:xfrm>
          <a:off x="1934936" y="10277104"/>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1361</xdr:colOff>
      <xdr:row>21</xdr:row>
      <xdr:rowOff>37729</xdr:rowOff>
    </xdr:from>
    <xdr:to>
      <xdr:col>8</xdr:col>
      <xdr:colOff>119583</xdr:colOff>
      <xdr:row>21</xdr:row>
      <xdr:rowOff>190129</xdr:rowOff>
    </xdr:to>
    <xdr:sp macro="" textlink="">
      <xdr:nvSpPr>
        <xdr:cNvPr id="47" name="正方形/長方形 46">
          <a:extLst>
            <a:ext uri="{FF2B5EF4-FFF2-40B4-BE49-F238E27FC236}">
              <a16:creationId xmlns:a16="http://schemas.microsoft.com/office/drawing/2014/main" id="{2A59DCC4-9E0F-4835-B1DD-C2A4E538F76B}"/>
            </a:ext>
          </a:extLst>
        </xdr:cNvPr>
        <xdr:cNvSpPr/>
      </xdr:nvSpPr>
      <xdr:spPr>
        <a:xfrm>
          <a:off x="1934936" y="10753354"/>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1361</xdr:colOff>
      <xdr:row>23</xdr:row>
      <xdr:rowOff>37729</xdr:rowOff>
    </xdr:from>
    <xdr:to>
      <xdr:col>8</xdr:col>
      <xdr:colOff>119583</xdr:colOff>
      <xdr:row>23</xdr:row>
      <xdr:rowOff>190129</xdr:rowOff>
    </xdr:to>
    <xdr:sp macro="" textlink="">
      <xdr:nvSpPr>
        <xdr:cNvPr id="48" name="正方形/長方形 47">
          <a:extLst>
            <a:ext uri="{FF2B5EF4-FFF2-40B4-BE49-F238E27FC236}">
              <a16:creationId xmlns:a16="http://schemas.microsoft.com/office/drawing/2014/main" id="{3F68259F-B7E4-49C6-B70E-2096F8337B61}"/>
            </a:ext>
          </a:extLst>
        </xdr:cNvPr>
        <xdr:cNvSpPr/>
      </xdr:nvSpPr>
      <xdr:spPr>
        <a:xfrm>
          <a:off x="1934936" y="11229604"/>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1361</xdr:colOff>
      <xdr:row>25</xdr:row>
      <xdr:rowOff>37729</xdr:rowOff>
    </xdr:from>
    <xdr:to>
      <xdr:col>8</xdr:col>
      <xdr:colOff>119583</xdr:colOff>
      <xdr:row>25</xdr:row>
      <xdr:rowOff>190129</xdr:rowOff>
    </xdr:to>
    <xdr:sp macro="" textlink="">
      <xdr:nvSpPr>
        <xdr:cNvPr id="49" name="正方形/長方形 48">
          <a:extLst>
            <a:ext uri="{FF2B5EF4-FFF2-40B4-BE49-F238E27FC236}">
              <a16:creationId xmlns:a16="http://schemas.microsoft.com/office/drawing/2014/main" id="{422B5D29-7C92-4896-B2D3-83D59E726E2A}"/>
            </a:ext>
          </a:extLst>
        </xdr:cNvPr>
        <xdr:cNvSpPr/>
      </xdr:nvSpPr>
      <xdr:spPr>
        <a:xfrm>
          <a:off x="1934936" y="11705854"/>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1361</xdr:colOff>
      <xdr:row>27</xdr:row>
      <xdr:rowOff>37729</xdr:rowOff>
    </xdr:from>
    <xdr:to>
      <xdr:col>8</xdr:col>
      <xdr:colOff>119583</xdr:colOff>
      <xdr:row>27</xdr:row>
      <xdr:rowOff>190129</xdr:rowOff>
    </xdr:to>
    <xdr:sp macro="" textlink="">
      <xdr:nvSpPr>
        <xdr:cNvPr id="50" name="正方形/長方形 49">
          <a:extLst>
            <a:ext uri="{FF2B5EF4-FFF2-40B4-BE49-F238E27FC236}">
              <a16:creationId xmlns:a16="http://schemas.microsoft.com/office/drawing/2014/main" id="{4D32886E-E4E1-4633-A414-8D77AC704F30}"/>
            </a:ext>
          </a:extLst>
        </xdr:cNvPr>
        <xdr:cNvSpPr/>
      </xdr:nvSpPr>
      <xdr:spPr>
        <a:xfrm>
          <a:off x="1934936" y="12182104"/>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1361</xdr:colOff>
      <xdr:row>29</xdr:row>
      <xdr:rowOff>37729</xdr:rowOff>
    </xdr:from>
    <xdr:to>
      <xdr:col>8</xdr:col>
      <xdr:colOff>119583</xdr:colOff>
      <xdr:row>29</xdr:row>
      <xdr:rowOff>190129</xdr:rowOff>
    </xdr:to>
    <xdr:sp macro="" textlink="">
      <xdr:nvSpPr>
        <xdr:cNvPr id="51" name="正方形/長方形 50">
          <a:extLst>
            <a:ext uri="{FF2B5EF4-FFF2-40B4-BE49-F238E27FC236}">
              <a16:creationId xmlns:a16="http://schemas.microsoft.com/office/drawing/2014/main" id="{2A96B75E-9B67-4E98-985F-FFDB1863AC8F}"/>
            </a:ext>
          </a:extLst>
        </xdr:cNvPr>
        <xdr:cNvSpPr/>
      </xdr:nvSpPr>
      <xdr:spPr>
        <a:xfrm>
          <a:off x="1934936" y="12658354"/>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1361</xdr:colOff>
      <xdr:row>31</xdr:row>
      <xdr:rowOff>37729</xdr:rowOff>
    </xdr:from>
    <xdr:to>
      <xdr:col>8</xdr:col>
      <xdr:colOff>119583</xdr:colOff>
      <xdr:row>31</xdr:row>
      <xdr:rowOff>190129</xdr:rowOff>
    </xdr:to>
    <xdr:sp macro="" textlink="">
      <xdr:nvSpPr>
        <xdr:cNvPr id="52" name="正方形/長方形 51">
          <a:extLst>
            <a:ext uri="{FF2B5EF4-FFF2-40B4-BE49-F238E27FC236}">
              <a16:creationId xmlns:a16="http://schemas.microsoft.com/office/drawing/2014/main" id="{19B54E54-B257-4FBC-AA11-738E2405CC63}"/>
            </a:ext>
          </a:extLst>
        </xdr:cNvPr>
        <xdr:cNvSpPr/>
      </xdr:nvSpPr>
      <xdr:spPr>
        <a:xfrm>
          <a:off x="1934936" y="13134604"/>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1361</xdr:colOff>
      <xdr:row>34</xdr:row>
      <xdr:rowOff>37729</xdr:rowOff>
    </xdr:from>
    <xdr:to>
      <xdr:col>8</xdr:col>
      <xdr:colOff>119583</xdr:colOff>
      <xdr:row>34</xdr:row>
      <xdr:rowOff>190129</xdr:rowOff>
    </xdr:to>
    <xdr:sp macro="" textlink="">
      <xdr:nvSpPr>
        <xdr:cNvPr id="53" name="正方形/長方形 52">
          <a:extLst>
            <a:ext uri="{FF2B5EF4-FFF2-40B4-BE49-F238E27FC236}">
              <a16:creationId xmlns:a16="http://schemas.microsoft.com/office/drawing/2014/main" id="{0F3402A7-6962-444D-9D73-93BC08EB0627}"/>
            </a:ext>
          </a:extLst>
        </xdr:cNvPr>
        <xdr:cNvSpPr/>
      </xdr:nvSpPr>
      <xdr:spPr>
        <a:xfrm>
          <a:off x="1934936" y="13848979"/>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253711</xdr:colOff>
      <xdr:row>57</xdr:row>
      <xdr:rowOff>3093</xdr:rowOff>
    </xdr:from>
    <xdr:to>
      <xdr:col>8</xdr:col>
      <xdr:colOff>99790</xdr:colOff>
      <xdr:row>57</xdr:row>
      <xdr:rowOff>155493</xdr:rowOff>
    </xdr:to>
    <xdr:sp macro="" textlink="">
      <xdr:nvSpPr>
        <xdr:cNvPr id="54" name="正方形/長方形 53">
          <a:extLst>
            <a:ext uri="{FF2B5EF4-FFF2-40B4-BE49-F238E27FC236}">
              <a16:creationId xmlns:a16="http://schemas.microsoft.com/office/drawing/2014/main" id="{1B983585-31FB-4D50-9AB7-E7D18119D05A}"/>
            </a:ext>
          </a:extLst>
        </xdr:cNvPr>
        <xdr:cNvSpPr/>
      </xdr:nvSpPr>
      <xdr:spPr>
        <a:xfrm>
          <a:off x="1911061" y="19281693"/>
          <a:ext cx="398529"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253711</xdr:colOff>
      <xdr:row>59</xdr:row>
      <xdr:rowOff>3093</xdr:rowOff>
    </xdr:from>
    <xdr:to>
      <xdr:col>8</xdr:col>
      <xdr:colOff>99790</xdr:colOff>
      <xdr:row>59</xdr:row>
      <xdr:rowOff>155493</xdr:rowOff>
    </xdr:to>
    <xdr:sp macro="" textlink="">
      <xdr:nvSpPr>
        <xdr:cNvPr id="55" name="正方形/長方形 54">
          <a:extLst>
            <a:ext uri="{FF2B5EF4-FFF2-40B4-BE49-F238E27FC236}">
              <a16:creationId xmlns:a16="http://schemas.microsoft.com/office/drawing/2014/main" id="{538B9AE2-4907-4B62-B839-6B0C9AB1B326}"/>
            </a:ext>
          </a:extLst>
        </xdr:cNvPr>
        <xdr:cNvSpPr/>
      </xdr:nvSpPr>
      <xdr:spPr>
        <a:xfrm>
          <a:off x="1911061" y="19757943"/>
          <a:ext cx="398529"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253711</xdr:colOff>
      <xdr:row>61</xdr:row>
      <xdr:rowOff>3093</xdr:rowOff>
    </xdr:from>
    <xdr:to>
      <xdr:col>8</xdr:col>
      <xdr:colOff>99790</xdr:colOff>
      <xdr:row>61</xdr:row>
      <xdr:rowOff>155493</xdr:rowOff>
    </xdr:to>
    <xdr:sp macro="" textlink="">
      <xdr:nvSpPr>
        <xdr:cNvPr id="56" name="正方形/長方形 55">
          <a:extLst>
            <a:ext uri="{FF2B5EF4-FFF2-40B4-BE49-F238E27FC236}">
              <a16:creationId xmlns:a16="http://schemas.microsoft.com/office/drawing/2014/main" id="{3EB65F46-1357-452E-8C76-5D39BCA8E69C}"/>
            </a:ext>
          </a:extLst>
        </xdr:cNvPr>
        <xdr:cNvSpPr/>
      </xdr:nvSpPr>
      <xdr:spPr>
        <a:xfrm>
          <a:off x="1911061" y="20234193"/>
          <a:ext cx="398529"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253711</xdr:colOff>
      <xdr:row>63</xdr:row>
      <xdr:rowOff>3093</xdr:rowOff>
    </xdr:from>
    <xdr:to>
      <xdr:col>8</xdr:col>
      <xdr:colOff>99790</xdr:colOff>
      <xdr:row>63</xdr:row>
      <xdr:rowOff>155493</xdr:rowOff>
    </xdr:to>
    <xdr:sp macro="" textlink="">
      <xdr:nvSpPr>
        <xdr:cNvPr id="57" name="正方形/長方形 56">
          <a:extLst>
            <a:ext uri="{FF2B5EF4-FFF2-40B4-BE49-F238E27FC236}">
              <a16:creationId xmlns:a16="http://schemas.microsoft.com/office/drawing/2014/main" id="{0FA3DA7C-8702-408C-8D64-C2287FFEC16F}"/>
            </a:ext>
          </a:extLst>
        </xdr:cNvPr>
        <xdr:cNvSpPr/>
      </xdr:nvSpPr>
      <xdr:spPr>
        <a:xfrm>
          <a:off x="1911061" y="20710443"/>
          <a:ext cx="398529"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253711</xdr:colOff>
      <xdr:row>65</xdr:row>
      <xdr:rowOff>3093</xdr:rowOff>
    </xdr:from>
    <xdr:to>
      <xdr:col>8</xdr:col>
      <xdr:colOff>99790</xdr:colOff>
      <xdr:row>65</xdr:row>
      <xdr:rowOff>155493</xdr:rowOff>
    </xdr:to>
    <xdr:sp macro="" textlink="">
      <xdr:nvSpPr>
        <xdr:cNvPr id="58" name="正方形/長方形 57">
          <a:extLst>
            <a:ext uri="{FF2B5EF4-FFF2-40B4-BE49-F238E27FC236}">
              <a16:creationId xmlns:a16="http://schemas.microsoft.com/office/drawing/2014/main" id="{F3D78213-DDBF-40EF-9D55-11CCF1F95B5C}"/>
            </a:ext>
          </a:extLst>
        </xdr:cNvPr>
        <xdr:cNvSpPr/>
      </xdr:nvSpPr>
      <xdr:spPr>
        <a:xfrm>
          <a:off x="1911061" y="21186693"/>
          <a:ext cx="398529"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253711</xdr:colOff>
      <xdr:row>67</xdr:row>
      <xdr:rowOff>3093</xdr:rowOff>
    </xdr:from>
    <xdr:to>
      <xdr:col>8</xdr:col>
      <xdr:colOff>99790</xdr:colOff>
      <xdr:row>67</xdr:row>
      <xdr:rowOff>155493</xdr:rowOff>
    </xdr:to>
    <xdr:sp macro="" textlink="">
      <xdr:nvSpPr>
        <xdr:cNvPr id="59" name="正方形/長方形 58">
          <a:extLst>
            <a:ext uri="{FF2B5EF4-FFF2-40B4-BE49-F238E27FC236}">
              <a16:creationId xmlns:a16="http://schemas.microsoft.com/office/drawing/2014/main" id="{B306E5E6-7CF5-48F9-9CD2-8ADD27A63C8F}"/>
            </a:ext>
          </a:extLst>
        </xdr:cNvPr>
        <xdr:cNvSpPr/>
      </xdr:nvSpPr>
      <xdr:spPr>
        <a:xfrm>
          <a:off x="1911061" y="21662943"/>
          <a:ext cx="398529"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253711</xdr:colOff>
      <xdr:row>69</xdr:row>
      <xdr:rowOff>3093</xdr:rowOff>
    </xdr:from>
    <xdr:to>
      <xdr:col>8</xdr:col>
      <xdr:colOff>99790</xdr:colOff>
      <xdr:row>69</xdr:row>
      <xdr:rowOff>155493</xdr:rowOff>
    </xdr:to>
    <xdr:sp macro="" textlink="">
      <xdr:nvSpPr>
        <xdr:cNvPr id="60" name="正方形/長方形 59">
          <a:extLst>
            <a:ext uri="{FF2B5EF4-FFF2-40B4-BE49-F238E27FC236}">
              <a16:creationId xmlns:a16="http://schemas.microsoft.com/office/drawing/2014/main" id="{EFB604D5-BC96-4806-8F05-5B2652CE63C1}"/>
            </a:ext>
          </a:extLst>
        </xdr:cNvPr>
        <xdr:cNvSpPr/>
      </xdr:nvSpPr>
      <xdr:spPr>
        <a:xfrm>
          <a:off x="1911061" y="22139193"/>
          <a:ext cx="398529"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253711</xdr:colOff>
      <xdr:row>72</xdr:row>
      <xdr:rowOff>3093</xdr:rowOff>
    </xdr:from>
    <xdr:to>
      <xdr:col>8</xdr:col>
      <xdr:colOff>99790</xdr:colOff>
      <xdr:row>72</xdr:row>
      <xdr:rowOff>155493</xdr:rowOff>
    </xdr:to>
    <xdr:sp macro="" textlink="">
      <xdr:nvSpPr>
        <xdr:cNvPr id="61" name="正方形/長方形 60">
          <a:extLst>
            <a:ext uri="{FF2B5EF4-FFF2-40B4-BE49-F238E27FC236}">
              <a16:creationId xmlns:a16="http://schemas.microsoft.com/office/drawing/2014/main" id="{2EC6B4BB-0F1F-48EC-8F09-190BD9729DCF}"/>
            </a:ext>
          </a:extLst>
        </xdr:cNvPr>
        <xdr:cNvSpPr/>
      </xdr:nvSpPr>
      <xdr:spPr>
        <a:xfrm>
          <a:off x="1911061" y="22853568"/>
          <a:ext cx="398529"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7</xdr:col>
      <xdr:colOff>0</xdr:colOff>
      <xdr:row>2</xdr:row>
      <xdr:rowOff>123824</xdr:rowOff>
    </xdr:from>
    <xdr:to>
      <xdr:col>7</xdr:col>
      <xdr:colOff>12700</xdr:colOff>
      <xdr:row>42</xdr:row>
      <xdr:rowOff>123824</xdr:rowOff>
    </xdr:to>
    <xdr:cxnSp macro="">
      <xdr:nvCxnSpPr>
        <xdr:cNvPr id="2" name="コネクタ: カギ線 1">
          <a:extLst>
            <a:ext uri="{FF2B5EF4-FFF2-40B4-BE49-F238E27FC236}">
              <a16:creationId xmlns:a16="http://schemas.microsoft.com/office/drawing/2014/main" id="{6FE6DF07-F4E7-411C-9A21-0E8D25D7F457}"/>
            </a:ext>
          </a:extLst>
        </xdr:cNvPr>
        <xdr:cNvCxnSpPr>
          <a:stCxn id="3" idx="1"/>
          <a:endCxn id="5" idx="1"/>
        </xdr:cNvCxnSpPr>
      </xdr:nvCxnSpPr>
      <xdr:spPr>
        <a:xfrm rot="10800000" flipV="1">
          <a:off x="1933575" y="600074"/>
          <a:ext cx="12700" cy="8334375"/>
        </a:xfrm>
        <a:prstGeom prst="bentConnector3">
          <a:avLst>
            <a:gd name="adj1" fmla="val 2282142"/>
          </a:avLst>
        </a:prstGeom>
        <a:ln>
          <a:solidFill>
            <a:schemeClr val="tx1"/>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2</xdr:row>
      <xdr:rowOff>47625</xdr:rowOff>
    </xdr:from>
    <xdr:to>
      <xdr:col>8</xdr:col>
      <xdr:colOff>118222</xdr:colOff>
      <xdr:row>2</xdr:row>
      <xdr:rowOff>200025</xdr:rowOff>
    </xdr:to>
    <xdr:sp macro="" textlink="">
      <xdr:nvSpPr>
        <xdr:cNvPr id="3" name="正方形/長方形 2">
          <a:extLst>
            <a:ext uri="{FF2B5EF4-FFF2-40B4-BE49-F238E27FC236}">
              <a16:creationId xmlns:a16="http://schemas.microsoft.com/office/drawing/2014/main" id="{45E2D6CE-E4F1-4AD3-A058-9C776DDA6C19}"/>
            </a:ext>
          </a:extLst>
        </xdr:cNvPr>
        <xdr:cNvSpPr/>
      </xdr:nvSpPr>
      <xdr:spPr>
        <a:xfrm>
          <a:off x="1933575" y="523875"/>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0</xdr:colOff>
      <xdr:row>3</xdr:row>
      <xdr:rowOff>44823</xdr:rowOff>
    </xdr:from>
    <xdr:to>
      <xdr:col>8</xdr:col>
      <xdr:colOff>118222</xdr:colOff>
      <xdr:row>3</xdr:row>
      <xdr:rowOff>197223</xdr:rowOff>
    </xdr:to>
    <xdr:sp macro="" textlink="">
      <xdr:nvSpPr>
        <xdr:cNvPr id="4" name="正方形/長方形 3">
          <a:extLst>
            <a:ext uri="{FF2B5EF4-FFF2-40B4-BE49-F238E27FC236}">
              <a16:creationId xmlns:a16="http://schemas.microsoft.com/office/drawing/2014/main" id="{3BBCA5BF-CDD6-491A-889F-33644A670041}"/>
            </a:ext>
          </a:extLst>
        </xdr:cNvPr>
        <xdr:cNvSpPr/>
      </xdr:nvSpPr>
      <xdr:spPr>
        <a:xfrm>
          <a:off x="1933575" y="759198"/>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0</xdr:colOff>
      <xdr:row>42</xdr:row>
      <xdr:rowOff>47625</xdr:rowOff>
    </xdr:from>
    <xdr:to>
      <xdr:col>8</xdr:col>
      <xdr:colOff>118222</xdr:colOff>
      <xdr:row>42</xdr:row>
      <xdr:rowOff>200025</xdr:rowOff>
    </xdr:to>
    <xdr:sp macro="" textlink="">
      <xdr:nvSpPr>
        <xdr:cNvPr id="5" name="正方形/長方形 4">
          <a:extLst>
            <a:ext uri="{FF2B5EF4-FFF2-40B4-BE49-F238E27FC236}">
              <a16:creationId xmlns:a16="http://schemas.microsoft.com/office/drawing/2014/main" id="{0BDB9607-0CE5-4216-8C19-CF0C5E1BC8F8}"/>
            </a:ext>
          </a:extLst>
        </xdr:cNvPr>
        <xdr:cNvSpPr/>
      </xdr:nvSpPr>
      <xdr:spPr>
        <a:xfrm>
          <a:off x="1933575" y="8858250"/>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0</xdr:colOff>
      <xdr:row>3</xdr:row>
      <xdr:rowOff>121023</xdr:rowOff>
    </xdr:from>
    <xdr:to>
      <xdr:col>7</xdr:col>
      <xdr:colOff>12700</xdr:colOff>
      <xdr:row>92</xdr:row>
      <xdr:rowOff>142875</xdr:rowOff>
    </xdr:to>
    <xdr:cxnSp macro="">
      <xdr:nvCxnSpPr>
        <xdr:cNvPr id="6" name="コネクタ: カギ線 5">
          <a:extLst>
            <a:ext uri="{FF2B5EF4-FFF2-40B4-BE49-F238E27FC236}">
              <a16:creationId xmlns:a16="http://schemas.microsoft.com/office/drawing/2014/main" id="{B055D70C-70D9-4B7F-A7BA-485085129018}"/>
            </a:ext>
          </a:extLst>
        </xdr:cNvPr>
        <xdr:cNvCxnSpPr>
          <a:stCxn id="4" idx="1"/>
          <a:endCxn id="7" idx="1"/>
        </xdr:cNvCxnSpPr>
      </xdr:nvCxnSpPr>
      <xdr:spPr>
        <a:xfrm rot="10800000" flipV="1">
          <a:off x="1933575" y="835398"/>
          <a:ext cx="12700" cy="18595602"/>
        </a:xfrm>
        <a:prstGeom prst="bentConnector3">
          <a:avLst>
            <a:gd name="adj1" fmla="val 4339283"/>
          </a:avLst>
        </a:prstGeom>
        <a:ln>
          <a:solidFill>
            <a:schemeClr val="tx1"/>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92</xdr:row>
      <xdr:rowOff>66675</xdr:rowOff>
    </xdr:from>
    <xdr:to>
      <xdr:col>8</xdr:col>
      <xdr:colOff>118222</xdr:colOff>
      <xdr:row>92</xdr:row>
      <xdr:rowOff>219075</xdr:rowOff>
    </xdr:to>
    <xdr:sp macro="" textlink="">
      <xdr:nvSpPr>
        <xdr:cNvPr id="7" name="正方形/長方形 6">
          <a:extLst>
            <a:ext uri="{FF2B5EF4-FFF2-40B4-BE49-F238E27FC236}">
              <a16:creationId xmlns:a16="http://schemas.microsoft.com/office/drawing/2014/main" id="{3DE06188-60C7-4422-84BE-2963B8753337}"/>
            </a:ext>
          </a:extLst>
        </xdr:cNvPr>
        <xdr:cNvSpPr/>
      </xdr:nvSpPr>
      <xdr:spPr>
        <a:xfrm>
          <a:off x="1933575" y="19354800"/>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149679</xdr:colOff>
      <xdr:row>14</xdr:row>
      <xdr:rowOff>51707</xdr:rowOff>
    </xdr:from>
    <xdr:to>
      <xdr:col>24</xdr:col>
      <xdr:colOff>267901</xdr:colOff>
      <xdr:row>14</xdr:row>
      <xdr:rowOff>204107</xdr:rowOff>
    </xdr:to>
    <xdr:sp macro="" textlink="">
      <xdr:nvSpPr>
        <xdr:cNvPr id="8" name="正方形/長方形 7">
          <a:extLst>
            <a:ext uri="{FF2B5EF4-FFF2-40B4-BE49-F238E27FC236}">
              <a16:creationId xmlns:a16="http://schemas.microsoft.com/office/drawing/2014/main" id="{5BB9CD43-732E-4E1A-8F48-E423C6BD9782}"/>
            </a:ext>
          </a:extLst>
        </xdr:cNvPr>
        <xdr:cNvSpPr/>
      </xdr:nvSpPr>
      <xdr:spPr>
        <a:xfrm>
          <a:off x="6502854" y="4576082"/>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266700</xdr:colOff>
      <xdr:row>42</xdr:row>
      <xdr:rowOff>0</xdr:rowOff>
    </xdr:from>
    <xdr:to>
      <xdr:col>8</xdr:col>
      <xdr:colOff>108697</xdr:colOff>
      <xdr:row>42</xdr:row>
      <xdr:rowOff>0</xdr:rowOff>
    </xdr:to>
    <xdr:sp macro="" textlink="">
      <xdr:nvSpPr>
        <xdr:cNvPr id="9" name="正方形/長方形 8">
          <a:extLst>
            <a:ext uri="{FF2B5EF4-FFF2-40B4-BE49-F238E27FC236}">
              <a16:creationId xmlns:a16="http://schemas.microsoft.com/office/drawing/2014/main" id="{9C2F447F-8FED-4AAB-AA88-66D972E3D7C8}"/>
            </a:ext>
          </a:extLst>
        </xdr:cNvPr>
        <xdr:cNvSpPr/>
      </xdr:nvSpPr>
      <xdr:spPr>
        <a:xfrm>
          <a:off x="1924050" y="8810625"/>
          <a:ext cx="394447"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57</xdr:col>
      <xdr:colOff>269261</xdr:colOff>
      <xdr:row>24</xdr:row>
      <xdr:rowOff>113308</xdr:rowOff>
    </xdr:from>
    <xdr:to>
      <xdr:col>57</xdr:col>
      <xdr:colOff>271983</xdr:colOff>
      <xdr:row>140</xdr:row>
      <xdr:rowOff>119743</xdr:rowOff>
    </xdr:to>
    <xdr:cxnSp macro="">
      <xdr:nvCxnSpPr>
        <xdr:cNvPr id="10" name="コネクタ: カギ線 9">
          <a:extLst>
            <a:ext uri="{FF2B5EF4-FFF2-40B4-BE49-F238E27FC236}">
              <a16:creationId xmlns:a16="http://schemas.microsoft.com/office/drawing/2014/main" id="{D847C70B-F2E4-4298-8EF1-3D7954A052E1}"/>
            </a:ext>
          </a:extLst>
        </xdr:cNvPr>
        <xdr:cNvCxnSpPr>
          <a:cxnSpLocks/>
          <a:stCxn id="16" idx="3"/>
          <a:endCxn id="13" idx="3"/>
        </xdr:cNvCxnSpPr>
      </xdr:nvCxnSpPr>
      <xdr:spPr>
        <a:xfrm>
          <a:off x="16063443" y="5932217"/>
          <a:ext cx="2722" cy="30313253"/>
        </a:xfrm>
        <a:prstGeom prst="bentConnector3">
          <a:avLst>
            <a:gd name="adj1" fmla="val 18041697"/>
          </a:avLst>
        </a:prstGeom>
        <a:ln>
          <a:solidFill>
            <a:schemeClr val="tx1"/>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137432</xdr:colOff>
      <xdr:row>125</xdr:row>
      <xdr:rowOff>27214</xdr:rowOff>
    </xdr:from>
    <xdr:to>
      <xdr:col>57</xdr:col>
      <xdr:colOff>255654</xdr:colOff>
      <xdr:row>125</xdr:row>
      <xdr:rowOff>179614</xdr:rowOff>
    </xdr:to>
    <xdr:sp macro="" textlink="">
      <xdr:nvSpPr>
        <xdr:cNvPr id="11" name="正方形/長方形 10">
          <a:extLst>
            <a:ext uri="{FF2B5EF4-FFF2-40B4-BE49-F238E27FC236}">
              <a16:creationId xmlns:a16="http://schemas.microsoft.com/office/drawing/2014/main" id="{619706C8-AAEF-4391-A8BA-D5BEE17F3C44}"/>
            </a:ext>
          </a:extLst>
        </xdr:cNvPr>
        <xdr:cNvSpPr/>
      </xdr:nvSpPr>
      <xdr:spPr>
        <a:xfrm>
          <a:off x="15606032" y="26220964"/>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57</xdr:col>
      <xdr:colOff>255654</xdr:colOff>
      <xdr:row>23</xdr:row>
      <xdr:rowOff>124194</xdr:rowOff>
    </xdr:from>
    <xdr:to>
      <xdr:col>57</xdr:col>
      <xdr:colOff>263818</xdr:colOff>
      <xdr:row>125</xdr:row>
      <xdr:rowOff>103414</xdr:rowOff>
    </xdr:to>
    <xdr:cxnSp macro="">
      <xdr:nvCxnSpPr>
        <xdr:cNvPr id="12" name="コネクタ: カギ線 11">
          <a:extLst>
            <a:ext uri="{FF2B5EF4-FFF2-40B4-BE49-F238E27FC236}">
              <a16:creationId xmlns:a16="http://schemas.microsoft.com/office/drawing/2014/main" id="{78DB750F-853A-4F51-9B19-16F8502EF6B5}"/>
            </a:ext>
          </a:extLst>
        </xdr:cNvPr>
        <xdr:cNvCxnSpPr>
          <a:cxnSpLocks/>
          <a:stCxn id="28" idx="3"/>
          <a:endCxn id="11" idx="3"/>
        </xdr:cNvCxnSpPr>
      </xdr:nvCxnSpPr>
      <xdr:spPr>
        <a:xfrm flipH="1">
          <a:off x="16049836" y="5700649"/>
          <a:ext cx="8164" cy="26891674"/>
        </a:xfrm>
        <a:prstGeom prst="bentConnector3">
          <a:avLst>
            <a:gd name="adj1" fmla="val -2800098"/>
          </a:avLst>
        </a:prstGeom>
        <a:ln>
          <a:solidFill>
            <a:schemeClr val="tx1"/>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153761</xdr:colOff>
      <xdr:row>140</xdr:row>
      <xdr:rowOff>43543</xdr:rowOff>
    </xdr:from>
    <xdr:to>
      <xdr:col>57</xdr:col>
      <xdr:colOff>271983</xdr:colOff>
      <xdr:row>140</xdr:row>
      <xdr:rowOff>195943</xdr:rowOff>
    </xdr:to>
    <xdr:sp macro="" textlink="">
      <xdr:nvSpPr>
        <xdr:cNvPr id="13" name="正方形/長方形 12">
          <a:extLst>
            <a:ext uri="{FF2B5EF4-FFF2-40B4-BE49-F238E27FC236}">
              <a16:creationId xmlns:a16="http://schemas.microsoft.com/office/drawing/2014/main" id="{9984B9B1-4C7A-404F-B78A-A8513226347A}"/>
            </a:ext>
          </a:extLst>
        </xdr:cNvPr>
        <xdr:cNvSpPr/>
      </xdr:nvSpPr>
      <xdr:spPr>
        <a:xfrm>
          <a:off x="15622361" y="29809168"/>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56</xdr:col>
      <xdr:colOff>151040</xdr:colOff>
      <xdr:row>24</xdr:row>
      <xdr:rowOff>37108</xdr:rowOff>
    </xdr:from>
    <xdr:to>
      <xdr:col>57</xdr:col>
      <xdr:colOff>269261</xdr:colOff>
      <xdr:row>24</xdr:row>
      <xdr:rowOff>189508</xdr:rowOff>
    </xdr:to>
    <xdr:sp macro="" textlink="">
      <xdr:nvSpPr>
        <xdr:cNvPr id="16" name="正方形/長方形 15">
          <a:extLst>
            <a:ext uri="{FF2B5EF4-FFF2-40B4-BE49-F238E27FC236}">
              <a16:creationId xmlns:a16="http://schemas.microsoft.com/office/drawing/2014/main" id="{4BB9E211-2A0C-4617-ABCB-2160889A7F32}"/>
            </a:ext>
          </a:extLst>
        </xdr:cNvPr>
        <xdr:cNvSpPr/>
      </xdr:nvSpPr>
      <xdr:spPr>
        <a:xfrm>
          <a:off x="15668131" y="5856017"/>
          <a:ext cx="395312"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267901</xdr:colOff>
      <xdr:row>22</xdr:row>
      <xdr:rowOff>120580</xdr:rowOff>
    </xdr:from>
    <xdr:to>
      <xdr:col>31</xdr:col>
      <xdr:colOff>0</xdr:colOff>
      <xdr:row>22</xdr:row>
      <xdr:rowOff>123825</xdr:rowOff>
    </xdr:to>
    <xdr:cxnSp macro="">
      <xdr:nvCxnSpPr>
        <xdr:cNvPr id="17" name="直線矢印コネクタ 16">
          <a:extLst>
            <a:ext uri="{FF2B5EF4-FFF2-40B4-BE49-F238E27FC236}">
              <a16:creationId xmlns:a16="http://schemas.microsoft.com/office/drawing/2014/main" id="{ADE584D6-C8EA-4145-9A0B-813FD5A27C00}"/>
            </a:ext>
          </a:extLst>
        </xdr:cNvPr>
        <xdr:cNvCxnSpPr>
          <a:cxnSpLocks/>
          <a:stCxn id="21" idx="3"/>
          <a:endCxn id="24" idx="1"/>
        </xdr:cNvCxnSpPr>
      </xdr:nvCxnSpPr>
      <xdr:spPr>
        <a:xfrm>
          <a:off x="6950055" y="5439926"/>
          <a:ext cx="1681060" cy="3245"/>
        </a:xfrm>
        <a:prstGeom prst="straightConnector1">
          <a:avLst/>
        </a:prstGeom>
        <a:ln>
          <a:solidFill>
            <a:schemeClr val="tx1"/>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98</xdr:col>
      <xdr:colOff>145597</xdr:colOff>
      <xdr:row>166</xdr:row>
      <xdr:rowOff>65315</xdr:rowOff>
    </xdr:from>
    <xdr:to>
      <xdr:col>99</xdr:col>
      <xdr:colOff>263818</xdr:colOff>
      <xdr:row>166</xdr:row>
      <xdr:rowOff>217715</xdr:rowOff>
    </xdr:to>
    <xdr:sp macro="" textlink="">
      <xdr:nvSpPr>
        <xdr:cNvPr id="19" name="正方形/長方形 18">
          <a:extLst>
            <a:ext uri="{FF2B5EF4-FFF2-40B4-BE49-F238E27FC236}">
              <a16:creationId xmlns:a16="http://schemas.microsoft.com/office/drawing/2014/main" id="{DE1CE454-DDAB-4A81-A8E5-222341341C42}"/>
            </a:ext>
          </a:extLst>
        </xdr:cNvPr>
        <xdr:cNvSpPr/>
      </xdr:nvSpPr>
      <xdr:spPr>
        <a:xfrm>
          <a:off x="15080797" y="4180115"/>
          <a:ext cx="384921"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98</xdr:col>
      <xdr:colOff>137433</xdr:colOff>
      <xdr:row>167</xdr:row>
      <xdr:rowOff>40822</xdr:rowOff>
    </xdr:from>
    <xdr:to>
      <xdr:col>99</xdr:col>
      <xdr:colOff>255654</xdr:colOff>
      <xdr:row>167</xdr:row>
      <xdr:rowOff>193222</xdr:rowOff>
    </xdr:to>
    <xdr:sp macro="" textlink="">
      <xdr:nvSpPr>
        <xdr:cNvPr id="20" name="正方形/長方形 19">
          <a:extLst>
            <a:ext uri="{FF2B5EF4-FFF2-40B4-BE49-F238E27FC236}">
              <a16:creationId xmlns:a16="http://schemas.microsoft.com/office/drawing/2014/main" id="{C7967CF7-EA5F-42C0-A08F-601404941A09}"/>
            </a:ext>
          </a:extLst>
        </xdr:cNvPr>
        <xdr:cNvSpPr/>
      </xdr:nvSpPr>
      <xdr:spPr>
        <a:xfrm>
          <a:off x="15072633" y="4384222"/>
          <a:ext cx="384921"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56</xdr:col>
      <xdr:colOff>145597</xdr:colOff>
      <xdr:row>23</xdr:row>
      <xdr:rowOff>47994</xdr:rowOff>
    </xdr:from>
    <xdr:to>
      <xdr:col>57</xdr:col>
      <xdr:colOff>263818</xdr:colOff>
      <xdr:row>23</xdr:row>
      <xdr:rowOff>200394</xdr:rowOff>
    </xdr:to>
    <xdr:sp macro="" textlink="">
      <xdr:nvSpPr>
        <xdr:cNvPr id="28" name="正方形/長方形 27">
          <a:extLst>
            <a:ext uri="{FF2B5EF4-FFF2-40B4-BE49-F238E27FC236}">
              <a16:creationId xmlns:a16="http://schemas.microsoft.com/office/drawing/2014/main" id="{6781E7E4-D93A-4691-9EBD-DACFC86E47DF}"/>
            </a:ext>
          </a:extLst>
        </xdr:cNvPr>
        <xdr:cNvSpPr/>
      </xdr:nvSpPr>
      <xdr:spPr>
        <a:xfrm>
          <a:off x="15662688" y="5624449"/>
          <a:ext cx="395312"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56</xdr:col>
      <xdr:colOff>137433</xdr:colOff>
      <xdr:row>24</xdr:row>
      <xdr:rowOff>23501</xdr:rowOff>
    </xdr:from>
    <xdr:to>
      <xdr:col>57</xdr:col>
      <xdr:colOff>255654</xdr:colOff>
      <xdr:row>24</xdr:row>
      <xdr:rowOff>175901</xdr:rowOff>
    </xdr:to>
    <xdr:sp macro="" textlink="">
      <xdr:nvSpPr>
        <xdr:cNvPr id="29" name="正方形/長方形 28">
          <a:extLst>
            <a:ext uri="{FF2B5EF4-FFF2-40B4-BE49-F238E27FC236}">
              <a16:creationId xmlns:a16="http://schemas.microsoft.com/office/drawing/2014/main" id="{55097C1B-E7FC-423D-A0D1-9E1FD2A18893}"/>
            </a:ext>
          </a:extLst>
        </xdr:cNvPr>
        <xdr:cNvSpPr/>
      </xdr:nvSpPr>
      <xdr:spPr>
        <a:xfrm>
          <a:off x="15654524" y="5842410"/>
          <a:ext cx="395312"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0</xdr:colOff>
      <xdr:row>2</xdr:row>
      <xdr:rowOff>47625</xdr:rowOff>
    </xdr:from>
    <xdr:to>
      <xdr:col>8</xdr:col>
      <xdr:colOff>118222</xdr:colOff>
      <xdr:row>2</xdr:row>
      <xdr:rowOff>200025</xdr:rowOff>
    </xdr:to>
    <xdr:sp macro="" textlink="">
      <xdr:nvSpPr>
        <xdr:cNvPr id="15" name="正方形/長方形 14">
          <a:extLst>
            <a:ext uri="{FF2B5EF4-FFF2-40B4-BE49-F238E27FC236}">
              <a16:creationId xmlns:a16="http://schemas.microsoft.com/office/drawing/2014/main" id="{B39B1BE4-B4A0-41D4-A3D1-E367AF348D08}"/>
            </a:ext>
          </a:extLst>
        </xdr:cNvPr>
        <xdr:cNvSpPr/>
      </xdr:nvSpPr>
      <xdr:spPr>
        <a:xfrm>
          <a:off x="1657350" y="523875"/>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0</xdr:colOff>
      <xdr:row>3</xdr:row>
      <xdr:rowOff>44823</xdr:rowOff>
    </xdr:from>
    <xdr:to>
      <xdr:col>8</xdr:col>
      <xdr:colOff>118222</xdr:colOff>
      <xdr:row>3</xdr:row>
      <xdr:rowOff>197223</xdr:rowOff>
    </xdr:to>
    <xdr:sp macro="" textlink="">
      <xdr:nvSpPr>
        <xdr:cNvPr id="18" name="正方形/長方形 17">
          <a:extLst>
            <a:ext uri="{FF2B5EF4-FFF2-40B4-BE49-F238E27FC236}">
              <a16:creationId xmlns:a16="http://schemas.microsoft.com/office/drawing/2014/main" id="{E9C431F0-04DC-4BFA-9F26-0B88FEEDF1D4}"/>
            </a:ext>
          </a:extLst>
        </xdr:cNvPr>
        <xdr:cNvSpPr/>
      </xdr:nvSpPr>
      <xdr:spPr>
        <a:xfrm>
          <a:off x="1657350" y="759198"/>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149679</xdr:colOff>
      <xdr:row>22</xdr:row>
      <xdr:rowOff>44380</xdr:rowOff>
    </xdr:from>
    <xdr:to>
      <xdr:col>24</xdr:col>
      <xdr:colOff>267901</xdr:colOff>
      <xdr:row>22</xdr:row>
      <xdr:rowOff>196780</xdr:rowOff>
    </xdr:to>
    <xdr:sp macro="" textlink="">
      <xdr:nvSpPr>
        <xdr:cNvPr id="21" name="正方形/長方形 20">
          <a:extLst>
            <a:ext uri="{FF2B5EF4-FFF2-40B4-BE49-F238E27FC236}">
              <a16:creationId xmlns:a16="http://schemas.microsoft.com/office/drawing/2014/main" id="{EEEC2D40-6739-4E63-84E7-51C7E04F39E9}"/>
            </a:ext>
          </a:extLst>
        </xdr:cNvPr>
        <xdr:cNvSpPr/>
      </xdr:nvSpPr>
      <xdr:spPr>
        <a:xfrm>
          <a:off x="6553410" y="5363726"/>
          <a:ext cx="396645"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56</xdr:col>
      <xdr:colOff>151040</xdr:colOff>
      <xdr:row>24</xdr:row>
      <xdr:rowOff>54429</xdr:rowOff>
    </xdr:from>
    <xdr:to>
      <xdr:col>57</xdr:col>
      <xdr:colOff>269261</xdr:colOff>
      <xdr:row>24</xdr:row>
      <xdr:rowOff>206829</xdr:rowOff>
    </xdr:to>
    <xdr:sp macro="" textlink="">
      <xdr:nvSpPr>
        <xdr:cNvPr id="23" name="正方形/長方形 22">
          <a:extLst>
            <a:ext uri="{FF2B5EF4-FFF2-40B4-BE49-F238E27FC236}">
              <a16:creationId xmlns:a16="http://schemas.microsoft.com/office/drawing/2014/main" id="{E7D1D8AC-53EB-4C68-8C4E-E13546C4123A}"/>
            </a:ext>
          </a:extLst>
        </xdr:cNvPr>
        <xdr:cNvSpPr/>
      </xdr:nvSpPr>
      <xdr:spPr>
        <a:xfrm>
          <a:off x="15668131" y="1509156"/>
          <a:ext cx="395312"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0</xdr:colOff>
      <xdr:row>22</xdr:row>
      <xdr:rowOff>47625</xdr:rowOff>
    </xdr:from>
    <xdr:to>
      <xdr:col>32</xdr:col>
      <xdr:colOff>118222</xdr:colOff>
      <xdr:row>22</xdr:row>
      <xdr:rowOff>200025</xdr:rowOff>
    </xdr:to>
    <xdr:sp macro="" textlink="">
      <xdr:nvSpPr>
        <xdr:cNvPr id="24" name="正方形/長方形 23">
          <a:extLst>
            <a:ext uri="{FF2B5EF4-FFF2-40B4-BE49-F238E27FC236}">
              <a16:creationId xmlns:a16="http://schemas.microsoft.com/office/drawing/2014/main" id="{1797B46A-6FA1-44EC-912A-1FCC937BAB3B}"/>
            </a:ext>
          </a:extLst>
        </xdr:cNvPr>
        <xdr:cNvSpPr/>
      </xdr:nvSpPr>
      <xdr:spPr>
        <a:xfrm>
          <a:off x="8589818" y="5381625"/>
          <a:ext cx="395313"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56</xdr:col>
      <xdr:colOff>145597</xdr:colOff>
      <xdr:row>23</xdr:row>
      <xdr:rowOff>65315</xdr:rowOff>
    </xdr:from>
    <xdr:to>
      <xdr:col>57</xdr:col>
      <xdr:colOff>263818</xdr:colOff>
      <xdr:row>23</xdr:row>
      <xdr:rowOff>217715</xdr:rowOff>
    </xdr:to>
    <xdr:sp macro="" textlink="">
      <xdr:nvSpPr>
        <xdr:cNvPr id="25" name="正方形/長方形 24">
          <a:extLst>
            <a:ext uri="{FF2B5EF4-FFF2-40B4-BE49-F238E27FC236}">
              <a16:creationId xmlns:a16="http://schemas.microsoft.com/office/drawing/2014/main" id="{A87B92C5-3FCB-4FD0-AEED-380E1E2A6DF9}"/>
            </a:ext>
          </a:extLst>
        </xdr:cNvPr>
        <xdr:cNvSpPr/>
      </xdr:nvSpPr>
      <xdr:spPr>
        <a:xfrm>
          <a:off x="15662688" y="1277588"/>
          <a:ext cx="395312"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56</xdr:col>
      <xdr:colOff>137433</xdr:colOff>
      <xdr:row>24</xdr:row>
      <xdr:rowOff>40822</xdr:rowOff>
    </xdr:from>
    <xdr:to>
      <xdr:col>57</xdr:col>
      <xdr:colOff>255654</xdr:colOff>
      <xdr:row>24</xdr:row>
      <xdr:rowOff>193222</xdr:rowOff>
    </xdr:to>
    <xdr:sp macro="" textlink="">
      <xdr:nvSpPr>
        <xdr:cNvPr id="26" name="正方形/長方形 25">
          <a:extLst>
            <a:ext uri="{FF2B5EF4-FFF2-40B4-BE49-F238E27FC236}">
              <a16:creationId xmlns:a16="http://schemas.microsoft.com/office/drawing/2014/main" id="{F067C391-BB07-4500-B6DA-8A1AAAEE9AD2}"/>
            </a:ext>
          </a:extLst>
        </xdr:cNvPr>
        <xdr:cNvSpPr/>
      </xdr:nvSpPr>
      <xdr:spPr>
        <a:xfrm>
          <a:off x="15654524" y="1495549"/>
          <a:ext cx="395312"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FB1AE-742C-4741-A546-7E275FA78293}">
  <sheetPr codeName="Sheet2"/>
  <dimension ref="S9:AI11"/>
  <sheetViews>
    <sheetView showGridLines="0" tabSelected="1" topLeftCell="A37" zoomScale="55" zoomScaleNormal="55" workbookViewId="0">
      <selection activeCell="AN44" sqref="AK44:AN78"/>
    </sheetView>
  </sheetViews>
  <sheetFormatPr defaultRowHeight="18.75" x14ac:dyDescent="0.4"/>
  <cols>
    <col min="1" max="331" width="3.625" customWidth="1"/>
  </cols>
  <sheetData>
    <row r="9" spans="19:35" x14ac:dyDescent="0.4">
      <c r="T9" s="28" t="s">
        <v>225</v>
      </c>
      <c r="U9" s="28" t="s">
        <v>225</v>
      </c>
      <c r="V9" s="38" t="s">
        <v>779</v>
      </c>
      <c r="W9" s="38" t="s">
        <v>779</v>
      </c>
      <c r="X9" s="38" t="s">
        <v>779</v>
      </c>
      <c r="Y9" s="38" t="s">
        <v>779</v>
      </c>
      <c r="AC9" s="28" t="s">
        <v>225</v>
      </c>
      <c r="AD9" s="28" t="s">
        <v>225</v>
      </c>
      <c r="AE9" s="28" t="s">
        <v>225</v>
      </c>
      <c r="AF9" s="28" t="s">
        <v>225</v>
      </c>
      <c r="AG9" s="28" t="s">
        <v>225</v>
      </c>
      <c r="AH9" s="28" t="s">
        <v>225</v>
      </c>
    </row>
    <row r="10" spans="19:35" x14ac:dyDescent="0.4">
      <c r="T10" s="29" t="s">
        <v>225</v>
      </c>
      <c r="U10" s="29" t="s">
        <v>225</v>
      </c>
      <c r="V10" s="38" t="s">
        <v>779</v>
      </c>
      <c r="W10" s="38" t="s">
        <v>779</v>
      </c>
      <c r="X10" s="38" t="s">
        <v>779</v>
      </c>
      <c r="Y10" s="38" t="s">
        <v>779</v>
      </c>
      <c r="AC10" s="29" t="s">
        <v>225</v>
      </c>
      <c r="AD10" s="29" t="s">
        <v>225</v>
      </c>
      <c r="AE10" s="28" t="s">
        <v>225</v>
      </c>
      <c r="AF10" s="28" t="s">
        <v>225</v>
      </c>
      <c r="AG10" s="28" t="s">
        <v>225</v>
      </c>
      <c r="AH10" s="28" t="s">
        <v>225</v>
      </c>
    </row>
    <row r="11" spans="19:35" x14ac:dyDescent="0.4">
      <c r="S11" s="19"/>
      <c r="T11" s="20"/>
      <c r="U11" s="20"/>
      <c r="V11" s="20"/>
      <c r="W11" s="20"/>
      <c r="X11" s="20"/>
      <c r="Y11" s="20"/>
      <c r="Z11" s="42" t="s">
        <v>226</v>
      </c>
      <c r="AA11" s="42"/>
      <c r="AB11" s="42"/>
      <c r="AC11" s="20"/>
      <c r="AD11" s="20"/>
      <c r="AE11" s="20"/>
      <c r="AF11" s="20"/>
      <c r="AG11" s="20"/>
      <c r="AH11" s="20"/>
      <c r="AI11" s="30"/>
    </row>
  </sheetData>
  <mergeCells count="1">
    <mergeCell ref="Z11:AB11"/>
  </mergeCells>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E2ED7-63EC-477B-B524-080019C1FAB2}">
  <sheetPr codeName="Sheet3"/>
  <dimension ref="A1"/>
  <sheetViews>
    <sheetView zoomScale="40" zoomScaleNormal="40" workbookViewId="0">
      <selection activeCell="B42" sqref="B42"/>
    </sheetView>
  </sheetViews>
  <sheetFormatPr defaultRowHeight="18.75" x14ac:dyDescent="0.4"/>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F1B51-72A3-4F92-8EC2-ADF443BD494B}">
  <sheetPr codeName="Sheet4"/>
  <dimension ref="F3:AO213"/>
  <sheetViews>
    <sheetView showGridLines="0" zoomScale="55" zoomScaleNormal="55" workbookViewId="0">
      <selection activeCell="AD35" sqref="AD35"/>
    </sheetView>
  </sheetViews>
  <sheetFormatPr defaultRowHeight="18.75" x14ac:dyDescent="0.4"/>
  <cols>
    <col min="1" max="8" width="3.625" customWidth="1"/>
    <col min="9" max="9" width="1.5" customWidth="1"/>
    <col min="10" max="256" width="3.625" customWidth="1"/>
  </cols>
  <sheetData>
    <row r="3" spans="6:25" ht="19.5" thickBot="1" x14ac:dyDescent="0.45">
      <c r="I3" s="3"/>
      <c r="J3" s="62" t="str">
        <f>"+0"</f>
        <v>+0</v>
      </c>
      <c r="K3" s="63"/>
      <c r="L3" s="63"/>
      <c r="M3" s="64"/>
      <c r="N3" s="62" t="str">
        <f>"+1"</f>
        <v>+1</v>
      </c>
      <c r="O3" s="63"/>
      <c r="P3" s="63"/>
      <c r="Q3" s="64"/>
      <c r="R3" s="62" t="str">
        <f>"+2"</f>
        <v>+2</v>
      </c>
      <c r="S3" s="63"/>
      <c r="T3" s="63"/>
      <c r="U3" s="64"/>
      <c r="V3" s="62" t="str">
        <f>"+3"</f>
        <v>+3</v>
      </c>
      <c r="W3" s="63"/>
      <c r="X3" s="63"/>
      <c r="Y3" s="64"/>
    </row>
    <row r="4" spans="6:25" ht="18.75" customHeight="1" x14ac:dyDescent="0.4">
      <c r="G4" s="65" t="s">
        <v>7</v>
      </c>
      <c r="H4" s="65"/>
      <c r="I4" s="4"/>
      <c r="J4" s="68" t="s">
        <v>231</v>
      </c>
      <c r="K4" s="69"/>
      <c r="L4" s="69"/>
      <c r="M4" s="70"/>
      <c r="N4" s="46" t="s">
        <v>114</v>
      </c>
      <c r="O4" s="46"/>
      <c r="P4" s="46"/>
      <c r="Q4" s="46"/>
      <c r="R4" s="46"/>
      <c r="S4" s="46"/>
      <c r="T4" s="46"/>
      <c r="U4" s="46"/>
      <c r="V4" s="46"/>
      <c r="W4" s="46"/>
      <c r="X4" s="46"/>
      <c r="Y4" s="47"/>
    </row>
    <row r="5" spans="6:25" ht="19.5" thickBot="1" x14ac:dyDescent="0.45">
      <c r="G5" s="50"/>
      <c r="H5" s="50"/>
      <c r="I5" s="5"/>
      <c r="J5" s="71" t="s">
        <v>2</v>
      </c>
      <c r="K5" s="66"/>
      <c r="L5" s="66"/>
      <c r="M5" s="66"/>
      <c r="N5" s="66" t="s">
        <v>3</v>
      </c>
      <c r="O5" s="66"/>
      <c r="P5" s="66"/>
      <c r="Q5" s="66"/>
      <c r="R5" s="66" t="s">
        <v>4</v>
      </c>
      <c r="S5" s="66"/>
      <c r="T5" s="66"/>
      <c r="U5" s="66"/>
      <c r="V5" s="66" t="s">
        <v>5</v>
      </c>
      <c r="W5" s="66"/>
      <c r="X5" s="66"/>
      <c r="Y5" s="67"/>
    </row>
    <row r="6" spans="6:25" x14ac:dyDescent="0.4">
      <c r="G6" s="65" t="s">
        <v>8</v>
      </c>
      <c r="H6" s="65"/>
      <c r="I6" s="4"/>
      <c r="J6" s="45" t="s">
        <v>114</v>
      </c>
      <c r="K6" s="46"/>
      <c r="L6" s="46"/>
      <c r="M6" s="46"/>
      <c r="N6" s="46"/>
      <c r="O6" s="46"/>
      <c r="P6" s="46"/>
      <c r="Q6" s="46"/>
      <c r="R6" s="46" t="s">
        <v>115</v>
      </c>
      <c r="S6" s="46"/>
      <c r="T6" s="46"/>
      <c r="U6" s="46"/>
      <c r="V6" s="46"/>
      <c r="W6" s="46"/>
      <c r="X6" s="46"/>
      <c r="Y6" s="47"/>
    </row>
    <row r="7" spans="6:25" ht="19.5" thickBot="1" x14ac:dyDescent="0.45">
      <c r="G7" s="50"/>
      <c r="H7" s="50"/>
      <c r="I7" s="6"/>
      <c r="J7" s="48" t="s">
        <v>6</v>
      </c>
      <c r="K7" s="43"/>
      <c r="L7" s="43"/>
      <c r="M7" s="43"/>
      <c r="N7" s="43" t="s">
        <v>2</v>
      </c>
      <c r="O7" s="43"/>
      <c r="P7" s="43"/>
      <c r="Q7" s="43"/>
      <c r="R7" s="43" t="s">
        <v>6</v>
      </c>
      <c r="S7" s="43"/>
      <c r="T7" s="43"/>
      <c r="U7" s="43"/>
      <c r="V7" s="43" t="s">
        <v>2</v>
      </c>
      <c r="W7" s="43"/>
      <c r="X7" s="43"/>
      <c r="Y7" s="44"/>
    </row>
    <row r="11" spans="6:25" ht="19.5" thickBot="1" x14ac:dyDescent="0.45">
      <c r="F11" s="2"/>
      <c r="G11" s="2"/>
      <c r="H11" s="2"/>
      <c r="I11" s="3"/>
      <c r="J11" s="62" t="str">
        <f>"+0"</f>
        <v>+0</v>
      </c>
      <c r="K11" s="63"/>
      <c r="L11" s="63"/>
      <c r="M11" s="64"/>
      <c r="N11" s="62" t="str">
        <f>"+1"</f>
        <v>+1</v>
      </c>
      <c r="O11" s="63"/>
      <c r="P11" s="63"/>
      <c r="Q11" s="64"/>
      <c r="R11" s="62" t="str">
        <f>"+2"</f>
        <v>+2</v>
      </c>
      <c r="S11" s="63"/>
      <c r="T11" s="63"/>
      <c r="U11" s="64"/>
      <c r="V11" s="62" t="str">
        <f>"+3"</f>
        <v>+3</v>
      </c>
      <c r="W11" s="63"/>
      <c r="X11" s="63"/>
      <c r="Y11" s="64"/>
    </row>
    <row r="12" spans="6:25" ht="18.75" customHeight="1" x14ac:dyDescent="0.4">
      <c r="F12" s="49" t="s">
        <v>7</v>
      </c>
      <c r="G12" s="49"/>
      <c r="H12" s="49"/>
      <c r="I12" s="4"/>
      <c r="J12" s="68" t="s">
        <v>232</v>
      </c>
      <c r="K12" s="69"/>
      <c r="L12" s="69"/>
      <c r="M12" s="70"/>
      <c r="N12" s="46" t="s">
        <v>114</v>
      </c>
      <c r="O12" s="46"/>
      <c r="P12" s="46"/>
      <c r="Q12" s="46"/>
      <c r="R12" s="46"/>
      <c r="S12" s="46"/>
      <c r="T12" s="46"/>
      <c r="U12" s="46"/>
      <c r="V12" s="46"/>
      <c r="W12" s="46"/>
      <c r="X12" s="46"/>
      <c r="Y12" s="47"/>
    </row>
    <row r="13" spans="6:25" ht="19.5" thickBot="1" x14ac:dyDescent="0.45">
      <c r="F13" s="50"/>
      <c r="G13" s="50"/>
      <c r="H13" s="50"/>
      <c r="I13" s="26"/>
      <c r="J13" s="71" t="s">
        <v>2</v>
      </c>
      <c r="K13" s="66"/>
      <c r="L13" s="66"/>
      <c r="M13" s="66"/>
      <c r="N13" s="66" t="s">
        <v>3</v>
      </c>
      <c r="O13" s="66"/>
      <c r="P13" s="66"/>
      <c r="Q13" s="66"/>
      <c r="R13" s="66" t="s">
        <v>4</v>
      </c>
      <c r="S13" s="66"/>
      <c r="T13" s="66"/>
      <c r="U13" s="66"/>
      <c r="V13" s="66" t="s">
        <v>5</v>
      </c>
      <c r="W13" s="66"/>
      <c r="X13" s="66"/>
      <c r="Y13" s="67"/>
    </row>
    <row r="14" spans="6:25" x14ac:dyDescent="0.4">
      <c r="F14" s="49" t="s">
        <v>8</v>
      </c>
      <c r="G14" s="49"/>
      <c r="H14" s="49"/>
      <c r="I14" s="4"/>
      <c r="J14" s="45" t="s">
        <v>114</v>
      </c>
      <c r="K14" s="46"/>
      <c r="L14" s="46"/>
      <c r="M14" s="46"/>
      <c r="N14" s="46"/>
      <c r="O14" s="46"/>
      <c r="P14" s="46"/>
      <c r="Q14" s="46"/>
      <c r="R14" s="46" t="s">
        <v>124</v>
      </c>
      <c r="S14" s="46"/>
      <c r="T14" s="46"/>
      <c r="U14" s="46"/>
      <c r="V14" s="46"/>
      <c r="W14" s="46"/>
      <c r="X14" s="46"/>
      <c r="Y14" s="47"/>
    </row>
    <row r="15" spans="6:25" ht="19.5" thickBot="1" x14ac:dyDescent="0.45">
      <c r="F15" s="50"/>
      <c r="G15" s="50"/>
      <c r="H15" s="50"/>
      <c r="I15" s="6"/>
      <c r="J15" s="48" t="s">
        <v>6</v>
      </c>
      <c r="K15" s="43"/>
      <c r="L15" s="43"/>
      <c r="M15" s="43"/>
      <c r="N15" s="43" t="s">
        <v>2</v>
      </c>
      <c r="O15" s="43"/>
      <c r="P15" s="43"/>
      <c r="Q15" s="43"/>
      <c r="R15" s="43" t="s">
        <v>6</v>
      </c>
      <c r="S15" s="43"/>
      <c r="T15" s="43"/>
      <c r="U15" s="43"/>
      <c r="V15" s="43" t="s">
        <v>2</v>
      </c>
      <c r="W15" s="43"/>
      <c r="X15" s="43"/>
      <c r="Y15" s="44"/>
    </row>
    <row r="16" spans="6:25" x14ac:dyDescent="0.4">
      <c r="F16" s="49" t="s">
        <v>9</v>
      </c>
      <c r="G16" s="49"/>
      <c r="H16" s="49"/>
      <c r="I16" s="4"/>
      <c r="J16" s="51" t="s">
        <v>90</v>
      </c>
      <c r="K16" s="52"/>
      <c r="L16" s="52"/>
      <c r="M16" s="52"/>
      <c r="N16" s="52"/>
      <c r="O16" s="52"/>
      <c r="P16" s="52"/>
      <c r="Q16" s="52"/>
      <c r="R16" s="52"/>
      <c r="S16" s="52"/>
      <c r="T16" s="52"/>
      <c r="U16" s="52"/>
      <c r="V16" s="52"/>
      <c r="W16" s="52"/>
      <c r="X16" s="52"/>
      <c r="Y16" s="53"/>
    </row>
    <row r="17" spans="6:25" ht="19.5" thickBot="1" x14ac:dyDescent="0.45">
      <c r="F17" s="50"/>
      <c r="G17" s="50"/>
      <c r="H17" s="50"/>
      <c r="I17" s="6"/>
      <c r="J17" s="48" t="s">
        <v>2</v>
      </c>
      <c r="K17" s="43"/>
      <c r="L17" s="43"/>
      <c r="M17" s="43"/>
      <c r="N17" s="54" t="s">
        <v>6</v>
      </c>
      <c r="O17" s="43"/>
      <c r="P17" s="43"/>
      <c r="Q17" s="43"/>
      <c r="R17" s="43" t="s">
        <v>5</v>
      </c>
      <c r="S17" s="43"/>
      <c r="T17" s="43"/>
      <c r="U17" s="55"/>
      <c r="V17" s="43" t="s">
        <v>4</v>
      </c>
      <c r="W17" s="43"/>
      <c r="X17" s="43"/>
      <c r="Y17" s="44"/>
    </row>
    <row r="18" spans="6:25" x14ac:dyDescent="0.4">
      <c r="F18" s="49" t="s">
        <v>10</v>
      </c>
      <c r="G18" s="49"/>
      <c r="H18" s="49"/>
      <c r="I18" s="4"/>
      <c r="J18" s="51" t="s">
        <v>91</v>
      </c>
      <c r="K18" s="52"/>
      <c r="L18" s="52"/>
      <c r="M18" s="52"/>
      <c r="N18" s="52"/>
      <c r="O18" s="52"/>
      <c r="P18" s="52"/>
      <c r="Q18" s="52"/>
      <c r="R18" s="52"/>
      <c r="S18" s="52"/>
      <c r="T18" s="52"/>
      <c r="U18" s="52"/>
      <c r="V18" s="52"/>
      <c r="W18" s="52"/>
      <c r="X18" s="52"/>
      <c r="Y18" s="53"/>
    </row>
    <row r="19" spans="6:25" ht="19.5" thickBot="1" x14ac:dyDescent="0.45">
      <c r="F19" s="50"/>
      <c r="G19" s="50"/>
      <c r="H19" s="50"/>
      <c r="I19" s="6"/>
      <c r="J19" s="48" t="s">
        <v>2</v>
      </c>
      <c r="K19" s="43"/>
      <c r="L19" s="43"/>
      <c r="M19" s="55"/>
      <c r="N19" s="43" t="s">
        <v>6</v>
      </c>
      <c r="O19" s="43"/>
      <c r="P19" s="43"/>
      <c r="Q19" s="43"/>
      <c r="R19" s="43" t="s">
        <v>5</v>
      </c>
      <c r="S19" s="43"/>
      <c r="T19" s="43"/>
      <c r="U19" s="55"/>
      <c r="V19" s="43" t="s">
        <v>4</v>
      </c>
      <c r="W19" s="43"/>
      <c r="X19" s="43"/>
      <c r="Y19" s="44"/>
    </row>
    <row r="20" spans="6:25" x14ac:dyDescent="0.4">
      <c r="F20" s="49" t="s">
        <v>0</v>
      </c>
      <c r="G20" s="49"/>
      <c r="H20" s="49"/>
      <c r="I20" s="4"/>
      <c r="J20" s="56" t="s">
        <v>0</v>
      </c>
      <c r="K20" s="57"/>
      <c r="L20" s="57"/>
      <c r="M20" s="57"/>
      <c r="N20" s="57"/>
      <c r="O20" s="57"/>
      <c r="P20" s="57"/>
      <c r="Q20" s="57"/>
      <c r="R20" s="57"/>
      <c r="S20" s="57"/>
      <c r="T20" s="57"/>
      <c r="U20" s="57"/>
      <c r="V20" s="57"/>
      <c r="W20" s="57"/>
      <c r="X20" s="57"/>
      <c r="Y20" s="58"/>
    </row>
    <row r="21" spans="6:25" ht="19.5" thickBot="1" x14ac:dyDescent="0.45">
      <c r="F21" s="50"/>
      <c r="G21" s="50"/>
      <c r="H21" s="50"/>
      <c r="I21" s="6"/>
      <c r="J21" s="59"/>
      <c r="K21" s="60"/>
      <c r="L21" s="60"/>
      <c r="M21" s="60"/>
      <c r="N21" s="60"/>
      <c r="O21" s="60"/>
      <c r="P21" s="60"/>
      <c r="Q21" s="60"/>
      <c r="R21" s="60"/>
      <c r="S21" s="60"/>
      <c r="T21" s="60"/>
      <c r="U21" s="60"/>
      <c r="V21" s="60"/>
      <c r="W21" s="60"/>
      <c r="X21" s="60"/>
      <c r="Y21" s="61"/>
    </row>
    <row r="22" spans="6:25" x14ac:dyDescent="0.4">
      <c r="F22" s="49" t="s">
        <v>128</v>
      </c>
      <c r="G22" s="49"/>
      <c r="H22" s="49"/>
      <c r="I22" s="4"/>
      <c r="J22" s="51" t="s">
        <v>125</v>
      </c>
      <c r="K22" s="52"/>
      <c r="L22" s="52"/>
      <c r="M22" s="52"/>
      <c r="N22" s="52"/>
      <c r="O22" s="52"/>
      <c r="P22" s="52"/>
      <c r="Q22" s="52"/>
      <c r="R22" s="52"/>
      <c r="S22" s="52"/>
      <c r="T22" s="52"/>
      <c r="U22" s="52"/>
      <c r="V22" s="52"/>
      <c r="W22" s="52"/>
      <c r="X22" s="52"/>
      <c r="Y22" s="53"/>
    </row>
    <row r="23" spans="6:25" ht="19.5" thickBot="1" x14ac:dyDescent="0.45">
      <c r="F23" s="50"/>
      <c r="G23" s="50"/>
      <c r="H23" s="50"/>
      <c r="I23" s="6"/>
      <c r="J23" s="48" t="s">
        <v>2</v>
      </c>
      <c r="K23" s="43"/>
      <c r="L23" s="43"/>
      <c r="M23" s="43"/>
      <c r="N23" s="54" t="s">
        <v>6</v>
      </c>
      <c r="O23" s="43"/>
      <c r="P23" s="43"/>
      <c r="Q23" s="43"/>
      <c r="R23" s="43" t="s">
        <v>5</v>
      </c>
      <c r="S23" s="43"/>
      <c r="T23" s="43"/>
      <c r="U23" s="43"/>
      <c r="V23" s="54" t="s">
        <v>4</v>
      </c>
      <c r="W23" s="43"/>
      <c r="X23" s="43"/>
      <c r="Y23" s="44"/>
    </row>
    <row r="26" spans="6:25" ht="19.5" thickBot="1" x14ac:dyDescent="0.45">
      <c r="F26" s="2"/>
      <c r="G26" s="2"/>
      <c r="H26" s="2"/>
      <c r="I26" s="3"/>
      <c r="J26" s="62" t="str">
        <f>"+0"</f>
        <v>+0</v>
      </c>
      <c r="K26" s="63"/>
      <c r="L26" s="63"/>
      <c r="M26" s="64"/>
      <c r="N26" s="62" t="str">
        <f>"+1"</f>
        <v>+1</v>
      </c>
      <c r="O26" s="63"/>
      <c r="P26" s="63"/>
      <c r="Q26" s="64"/>
      <c r="R26" s="62" t="str">
        <f>"+2"</f>
        <v>+2</v>
      </c>
      <c r="S26" s="63"/>
      <c r="T26" s="63"/>
      <c r="U26" s="64"/>
      <c r="V26" s="62" t="str">
        <f>"+3"</f>
        <v>+3</v>
      </c>
      <c r="W26" s="63"/>
      <c r="X26" s="63"/>
      <c r="Y26" s="64"/>
    </row>
    <row r="27" spans="6:25" ht="18.75" customHeight="1" x14ac:dyDescent="0.4">
      <c r="F27" s="49" t="s">
        <v>7</v>
      </c>
      <c r="G27" s="49"/>
      <c r="H27" s="49"/>
      <c r="I27" s="4"/>
      <c r="J27" s="68" t="s">
        <v>233</v>
      </c>
      <c r="K27" s="69"/>
      <c r="L27" s="69"/>
      <c r="M27" s="70"/>
      <c r="N27" s="46" t="s">
        <v>114</v>
      </c>
      <c r="O27" s="46"/>
      <c r="P27" s="46"/>
      <c r="Q27" s="46"/>
      <c r="R27" s="46"/>
      <c r="S27" s="46"/>
      <c r="T27" s="46"/>
      <c r="U27" s="46"/>
      <c r="V27" s="46"/>
      <c r="W27" s="46"/>
      <c r="X27" s="46"/>
      <c r="Y27" s="47"/>
    </row>
    <row r="28" spans="6:25" ht="19.5" thickBot="1" x14ac:dyDescent="0.45">
      <c r="F28" s="50"/>
      <c r="G28" s="50"/>
      <c r="H28" s="50"/>
      <c r="I28" s="5"/>
      <c r="J28" s="71" t="s">
        <v>2</v>
      </c>
      <c r="K28" s="66"/>
      <c r="L28" s="66"/>
      <c r="M28" s="66"/>
      <c r="N28" s="66" t="s">
        <v>3</v>
      </c>
      <c r="O28" s="66"/>
      <c r="P28" s="66"/>
      <c r="Q28" s="66"/>
      <c r="R28" s="66" t="s">
        <v>4</v>
      </c>
      <c r="S28" s="66"/>
      <c r="T28" s="66"/>
      <c r="U28" s="66"/>
      <c r="V28" s="66" t="s">
        <v>5</v>
      </c>
      <c r="W28" s="66"/>
      <c r="X28" s="66"/>
      <c r="Y28" s="67"/>
    </row>
    <row r="29" spans="6:25" x14ac:dyDescent="0.4">
      <c r="F29" s="49" t="s">
        <v>8</v>
      </c>
      <c r="G29" s="49"/>
      <c r="H29" s="49"/>
      <c r="I29" s="4"/>
      <c r="J29" s="45" t="s">
        <v>114</v>
      </c>
      <c r="K29" s="46"/>
      <c r="L29" s="46"/>
      <c r="M29" s="46"/>
      <c r="N29" s="46"/>
      <c r="O29" s="46"/>
      <c r="P29" s="46"/>
      <c r="Q29" s="46"/>
      <c r="R29" s="46" t="s">
        <v>124</v>
      </c>
      <c r="S29" s="46"/>
      <c r="T29" s="46"/>
      <c r="U29" s="46"/>
      <c r="V29" s="46"/>
      <c r="W29" s="46"/>
      <c r="X29" s="46"/>
      <c r="Y29" s="47"/>
    </row>
    <row r="30" spans="6:25" ht="19.5" thickBot="1" x14ac:dyDescent="0.45">
      <c r="F30" s="50"/>
      <c r="G30" s="50"/>
      <c r="H30" s="50"/>
      <c r="I30" s="6"/>
      <c r="J30" s="48" t="s">
        <v>6</v>
      </c>
      <c r="K30" s="43"/>
      <c r="L30" s="43"/>
      <c r="M30" s="43"/>
      <c r="N30" s="43" t="s">
        <v>2</v>
      </c>
      <c r="O30" s="43"/>
      <c r="P30" s="43"/>
      <c r="Q30" s="43"/>
      <c r="R30" s="43" t="s">
        <v>6</v>
      </c>
      <c r="S30" s="43"/>
      <c r="T30" s="43"/>
      <c r="U30" s="43"/>
      <c r="V30" s="43" t="s">
        <v>2</v>
      </c>
      <c r="W30" s="43"/>
      <c r="X30" s="43"/>
      <c r="Y30" s="44"/>
    </row>
    <row r="31" spans="6:25" x14ac:dyDescent="0.4">
      <c r="F31" s="49" t="s">
        <v>9</v>
      </c>
      <c r="G31" s="49"/>
      <c r="H31" s="49"/>
      <c r="I31" s="4"/>
      <c r="J31" s="51" t="s">
        <v>90</v>
      </c>
      <c r="K31" s="52"/>
      <c r="L31" s="52"/>
      <c r="M31" s="52"/>
      <c r="N31" s="52"/>
      <c r="O31" s="52"/>
      <c r="P31" s="52"/>
      <c r="Q31" s="52"/>
      <c r="R31" s="52"/>
      <c r="S31" s="52"/>
      <c r="T31" s="52"/>
      <c r="U31" s="52"/>
      <c r="V31" s="52"/>
      <c r="W31" s="52"/>
      <c r="X31" s="52"/>
      <c r="Y31" s="53"/>
    </row>
    <row r="32" spans="6:25" ht="19.5" thickBot="1" x14ac:dyDescent="0.45">
      <c r="F32" s="50"/>
      <c r="G32" s="50"/>
      <c r="H32" s="50"/>
      <c r="I32" s="6"/>
      <c r="J32" s="72" t="s">
        <v>2</v>
      </c>
      <c r="K32" s="73"/>
      <c r="L32" s="73"/>
      <c r="M32" s="54"/>
      <c r="N32" s="55" t="s">
        <v>6</v>
      </c>
      <c r="O32" s="73"/>
      <c r="P32" s="73"/>
      <c r="Q32" s="54"/>
      <c r="R32" s="55" t="s">
        <v>5</v>
      </c>
      <c r="S32" s="73"/>
      <c r="T32" s="73"/>
      <c r="U32" s="54"/>
      <c r="V32" s="55" t="s">
        <v>4</v>
      </c>
      <c r="W32" s="73"/>
      <c r="X32" s="73"/>
      <c r="Y32" s="74"/>
    </row>
    <row r="33" spans="6:25" x14ac:dyDescent="0.4">
      <c r="F33" s="49" t="s">
        <v>10</v>
      </c>
      <c r="G33" s="49"/>
      <c r="H33" s="49"/>
      <c r="I33" s="4"/>
      <c r="J33" s="51" t="s">
        <v>91</v>
      </c>
      <c r="K33" s="52"/>
      <c r="L33" s="52"/>
      <c r="M33" s="52"/>
      <c r="N33" s="52"/>
      <c r="O33" s="52"/>
      <c r="P33" s="52"/>
      <c r="Q33" s="52"/>
      <c r="R33" s="52"/>
      <c r="S33" s="52"/>
      <c r="T33" s="52"/>
      <c r="U33" s="52"/>
      <c r="V33" s="52"/>
      <c r="W33" s="52"/>
      <c r="X33" s="52"/>
      <c r="Y33" s="53"/>
    </row>
    <row r="34" spans="6:25" ht="19.5" thickBot="1" x14ac:dyDescent="0.45">
      <c r="F34" s="50"/>
      <c r="G34" s="50"/>
      <c r="H34" s="50"/>
      <c r="I34" s="6"/>
      <c r="J34" s="72" t="s">
        <v>2</v>
      </c>
      <c r="K34" s="73"/>
      <c r="L34" s="73"/>
      <c r="M34" s="54"/>
      <c r="N34" s="55" t="s">
        <v>6</v>
      </c>
      <c r="O34" s="73"/>
      <c r="P34" s="73"/>
      <c r="Q34" s="54"/>
      <c r="R34" s="55" t="s">
        <v>5</v>
      </c>
      <c r="S34" s="73"/>
      <c r="T34" s="73"/>
      <c r="U34" s="54"/>
      <c r="V34" s="55" t="s">
        <v>4</v>
      </c>
      <c r="W34" s="73"/>
      <c r="X34" s="73"/>
      <c r="Y34" s="74"/>
    </row>
    <row r="35" spans="6:25" x14ac:dyDescent="0.4">
      <c r="F35" s="49" t="s">
        <v>0</v>
      </c>
      <c r="G35" s="49"/>
      <c r="H35" s="49"/>
      <c r="I35" s="4"/>
      <c r="J35" s="56" t="s">
        <v>0</v>
      </c>
      <c r="K35" s="57"/>
      <c r="L35" s="57"/>
      <c r="M35" s="57"/>
      <c r="N35" s="57"/>
      <c r="O35" s="57"/>
      <c r="P35" s="57"/>
      <c r="Q35" s="57"/>
      <c r="R35" s="57"/>
      <c r="S35" s="57"/>
      <c r="T35" s="57"/>
      <c r="U35" s="57"/>
      <c r="V35" s="57"/>
      <c r="W35" s="57"/>
      <c r="X35" s="57"/>
      <c r="Y35" s="58"/>
    </row>
    <row r="36" spans="6:25" ht="19.5" thickBot="1" x14ac:dyDescent="0.45">
      <c r="F36" s="50"/>
      <c r="G36" s="50"/>
      <c r="H36" s="50"/>
      <c r="I36" s="6"/>
      <c r="J36" s="59"/>
      <c r="K36" s="60"/>
      <c r="L36" s="60"/>
      <c r="M36" s="60"/>
      <c r="N36" s="60"/>
      <c r="O36" s="60"/>
      <c r="P36" s="60"/>
      <c r="Q36" s="60"/>
      <c r="R36" s="60"/>
      <c r="S36" s="60"/>
      <c r="T36" s="60"/>
      <c r="U36" s="60"/>
      <c r="V36" s="60"/>
      <c r="W36" s="60"/>
      <c r="X36" s="60"/>
      <c r="Y36" s="61"/>
    </row>
    <row r="37" spans="6:25" x14ac:dyDescent="0.4">
      <c r="F37" s="49" t="s">
        <v>128</v>
      </c>
      <c r="G37" s="49"/>
      <c r="H37" s="49"/>
      <c r="I37" s="4"/>
      <c r="J37" s="51" t="s">
        <v>125</v>
      </c>
      <c r="K37" s="52"/>
      <c r="L37" s="52"/>
      <c r="M37" s="52"/>
      <c r="N37" s="52"/>
      <c r="O37" s="52"/>
      <c r="P37" s="52"/>
      <c r="Q37" s="52"/>
      <c r="R37" s="52"/>
      <c r="S37" s="52"/>
      <c r="T37" s="52"/>
      <c r="U37" s="52"/>
      <c r="V37" s="52"/>
      <c r="W37" s="52"/>
      <c r="X37" s="52"/>
      <c r="Y37" s="53"/>
    </row>
    <row r="38" spans="6:25" ht="19.5" thickBot="1" x14ac:dyDescent="0.45">
      <c r="F38" s="50"/>
      <c r="G38" s="50"/>
      <c r="H38" s="50"/>
      <c r="I38" s="6"/>
      <c r="J38" s="72" t="s">
        <v>2</v>
      </c>
      <c r="K38" s="73"/>
      <c r="L38" s="73"/>
      <c r="M38" s="54"/>
      <c r="N38" s="55" t="s">
        <v>6</v>
      </c>
      <c r="O38" s="73"/>
      <c r="P38" s="73"/>
      <c r="Q38" s="54"/>
      <c r="R38" s="55" t="s">
        <v>5</v>
      </c>
      <c r="S38" s="73"/>
      <c r="T38" s="73"/>
      <c r="U38" s="54"/>
      <c r="V38" s="55" t="s">
        <v>4</v>
      </c>
      <c r="W38" s="73"/>
      <c r="X38" s="73"/>
      <c r="Y38" s="74"/>
    </row>
    <row r="40" spans="6:25" ht="19.5" thickBot="1" x14ac:dyDescent="0.45">
      <c r="I40" s="3"/>
      <c r="J40" s="62" t="str">
        <f>"+0"</f>
        <v>+0</v>
      </c>
      <c r="K40" s="63"/>
      <c r="L40" s="63"/>
      <c r="M40" s="64"/>
      <c r="N40" s="62" t="str">
        <f>"+1"</f>
        <v>+1</v>
      </c>
      <c r="O40" s="63"/>
      <c r="P40" s="63"/>
      <c r="Q40" s="64"/>
      <c r="R40" s="62" t="str">
        <f>"+2"</f>
        <v>+2</v>
      </c>
      <c r="S40" s="63"/>
      <c r="T40" s="63"/>
      <c r="U40" s="64"/>
      <c r="V40" s="62" t="str">
        <f>"+3"</f>
        <v>+3</v>
      </c>
      <c r="W40" s="63"/>
      <c r="X40" s="63"/>
      <c r="Y40" s="64"/>
    </row>
    <row r="41" spans="6:25" ht="18.75" customHeight="1" x14ac:dyDescent="0.4">
      <c r="G41" s="65" t="s">
        <v>7</v>
      </c>
      <c r="H41" s="65"/>
      <c r="I41" s="4"/>
      <c r="J41" s="68" t="s">
        <v>234</v>
      </c>
      <c r="K41" s="69"/>
      <c r="L41" s="69"/>
      <c r="M41" s="70"/>
      <c r="N41" s="46" t="s">
        <v>1</v>
      </c>
      <c r="O41" s="46"/>
      <c r="P41" s="46"/>
      <c r="Q41" s="46"/>
      <c r="R41" s="46"/>
      <c r="S41" s="46"/>
      <c r="T41" s="46"/>
      <c r="U41" s="46"/>
      <c r="V41" s="46"/>
      <c r="W41" s="46"/>
      <c r="X41" s="46"/>
      <c r="Y41" s="47"/>
    </row>
    <row r="42" spans="6:25" ht="19.5" thickBot="1" x14ac:dyDescent="0.45">
      <c r="G42" s="50"/>
      <c r="H42" s="50"/>
      <c r="I42" s="5"/>
      <c r="J42" s="71" t="s">
        <v>2</v>
      </c>
      <c r="K42" s="66"/>
      <c r="L42" s="66"/>
      <c r="M42" s="66"/>
      <c r="N42" s="66" t="s">
        <v>3</v>
      </c>
      <c r="O42" s="66"/>
      <c r="P42" s="66"/>
      <c r="Q42" s="66"/>
      <c r="R42" s="66" t="s">
        <v>4</v>
      </c>
      <c r="S42" s="66"/>
      <c r="T42" s="66"/>
      <c r="U42" s="66"/>
      <c r="V42" s="66" t="s">
        <v>5</v>
      </c>
      <c r="W42" s="66"/>
      <c r="X42" s="66"/>
      <c r="Y42" s="67"/>
    </row>
    <row r="43" spans="6:25" x14ac:dyDescent="0.4">
      <c r="G43" s="65" t="s">
        <v>8</v>
      </c>
      <c r="H43" s="65"/>
      <c r="I43" s="4"/>
      <c r="J43" s="45" t="s">
        <v>1</v>
      </c>
      <c r="K43" s="46"/>
      <c r="L43" s="46"/>
      <c r="M43" s="46"/>
      <c r="N43" s="46"/>
      <c r="O43" s="46"/>
      <c r="P43" s="46"/>
      <c r="Q43" s="46"/>
      <c r="R43" s="46" t="s">
        <v>127</v>
      </c>
      <c r="S43" s="46"/>
      <c r="T43" s="46"/>
      <c r="U43" s="46"/>
      <c r="V43" s="46"/>
      <c r="W43" s="46"/>
      <c r="X43" s="46"/>
      <c r="Y43" s="47"/>
    </row>
    <row r="44" spans="6:25" ht="19.5" thickBot="1" x14ac:dyDescent="0.45">
      <c r="G44" s="50"/>
      <c r="H44" s="50"/>
      <c r="I44" s="6"/>
      <c r="J44" s="48" t="s">
        <v>6</v>
      </c>
      <c r="K44" s="43"/>
      <c r="L44" s="43"/>
      <c r="M44" s="43"/>
      <c r="N44" s="43" t="s">
        <v>2</v>
      </c>
      <c r="O44" s="43"/>
      <c r="P44" s="43"/>
      <c r="Q44" s="43"/>
      <c r="R44" s="43" t="s">
        <v>6</v>
      </c>
      <c r="S44" s="43"/>
      <c r="T44" s="43"/>
      <c r="U44" s="43"/>
      <c r="V44" s="43" t="s">
        <v>2</v>
      </c>
      <c r="W44" s="43"/>
      <c r="X44" s="43"/>
      <c r="Y44" s="44"/>
    </row>
    <row r="46" spans="6:25" s="22" customFormat="1" x14ac:dyDescent="0.4"/>
    <row r="48" spans="6:25" ht="19.5" thickBot="1" x14ac:dyDescent="0.45">
      <c r="I48" s="3"/>
      <c r="J48" s="62" t="str">
        <f>"+0"</f>
        <v>+0</v>
      </c>
      <c r="K48" s="63"/>
      <c r="L48" s="63"/>
      <c r="M48" s="64"/>
      <c r="N48" s="62" t="str">
        <f>"+1"</f>
        <v>+1</v>
      </c>
      <c r="O48" s="63"/>
      <c r="P48" s="63"/>
      <c r="Q48" s="64"/>
      <c r="R48" s="62" t="str">
        <f>"+2"</f>
        <v>+2</v>
      </c>
      <c r="S48" s="63"/>
      <c r="T48" s="63"/>
      <c r="U48" s="64"/>
      <c r="V48" s="62" t="str">
        <f>"+3"</f>
        <v>+3</v>
      </c>
      <c r="W48" s="63"/>
      <c r="X48" s="63"/>
      <c r="Y48" s="64"/>
    </row>
    <row r="49" spans="6:25" ht="18.75" customHeight="1" x14ac:dyDescent="0.4">
      <c r="G49" s="65" t="s">
        <v>7</v>
      </c>
      <c r="H49" s="65"/>
      <c r="I49" s="4"/>
      <c r="J49" s="68" t="s">
        <v>116</v>
      </c>
      <c r="K49" s="69"/>
      <c r="L49" s="69"/>
      <c r="M49" s="70"/>
      <c r="N49" s="46" t="s">
        <v>114</v>
      </c>
      <c r="O49" s="46"/>
      <c r="P49" s="46"/>
      <c r="Q49" s="46"/>
      <c r="R49" s="46"/>
      <c r="S49" s="46"/>
      <c r="T49" s="46"/>
      <c r="U49" s="46"/>
      <c r="V49" s="46"/>
      <c r="W49" s="46"/>
      <c r="X49" s="46"/>
      <c r="Y49" s="47"/>
    </row>
    <row r="50" spans="6:25" ht="19.5" thickBot="1" x14ac:dyDescent="0.45">
      <c r="G50" s="50"/>
      <c r="H50" s="50"/>
      <c r="I50" s="5"/>
      <c r="J50" s="71" t="s">
        <v>2</v>
      </c>
      <c r="K50" s="66"/>
      <c r="L50" s="66"/>
      <c r="M50" s="66"/>
      <c r="N50" s="66" t="s">
        <v>3</v>
      </c>
      <c r="O50" s="66"/>
      <c r="P50" s="66"/>
      <c r="Q50" s="66"/>
      <c r="R50" s="66" t="s">
        <v>4</v>
      </c>
      <c r="S50" s="66"/>
      <c r="T50" s="66"/>
      <c r="U50" s="66"/>
      <c r="V50" s="66" t="s">
        <v>5</v>
      </c>
      <c r="W50" s="66"/>
      <c r="X50" s="66"/>
      <c r="Y50" s="67"/>
    </row>
    <row r="51" spans="6:25" x14ac:dyDescent="0.4">
      <c r="G51" s="65" t="s">
        <v>8</v>
      </c>
      <c r="H51" s="65"/>
      <c r="I51" s="4"/>
      <c r="J51" s="45" t="s">
        <v>114</v>
      </c>
      <c r="K51" s="46"/>
      <c r="L51" s="46"/>
      <c r="M51" s="46"/>
      <c r="N51" s="46"/>
      <c r="O51" s="46"/>
      <c r="P51" s="46"/>
      <c r="Q51" s="46"/>
      <c r="R51" s="46" t="s">
        <v>115</v>
      </c>
      <c r="S51" s="46"/>
      <c r="T51" s="46"/>
      <c r="U51" s="46"/>
      <c r="V51" s="46"/>
      <c r="W51" s="46"/>
      <c r="X51" s="46"/>
      <c r="Y51" s="47"/>
    </row>
    <row r="52" spans="6:25" ht="19.5" thickBot="1" x14ac:dyDescent="0.45">
      <c r="G52" s="50"/>
      <c r="H52" s="50"/>
      <c r="I52" s="6"/>
      <c r="J52" s="48" t="s">
        <v>6</v>
      </c>
      <c r="K52" s="43"/>
      <c r="L52" s="43"/>
      <c r="M52" s="43"/>
      <c r="N52" s="43" t="s">
        <v>2</v>
      </c>
      <c r="O52" s="43"/>
      <c r="P52" s="43"/>
      <c r="Q52" s="43"/>
      <c r="R52" s="43" t="s">
        <v>6</v>
      </c>
      <c r="S52" s="43"/>
      <c r="T52" s="43"/>
      <c r="U52" s="43"/>
      <c r="V52" s="43" t="s">
        <v>2</v>
      </c>
      <c r="W52" s="43"/>
      <c r="X52" s="43"/>
      <c r="Y52" s="44"/>
    </row>
    <row r="54" spans="6:25" x14ac:dyDescent="0.4">
      <c r="F54" s="13"/>
      <c r="G54" s="13"/>
      <c r="H54" s="13"/>
      <c r="J54" s="1"/>
      <c r="K54" s="1"/>
      <c r="L54" s="1"/>
      <c r="M54" s="1"/>
      <c r="N54" s="1"/>
      <c r="O54" s="1"/>
      <c r="P54" s="1"/>
      <c r="Q54" s="1"/>
      <c r="R54" s="1"/>
      <c r="S54" s="1"/>
      <c r="T54" s="1"/>
      <c r="U54" s="1"/>
      <c r="V54" s="1"/>
      <c r="W54" s="1"/>
      <c r="X54" s="1"/>
      <c r="Y54" s="1"/>
    </row>
    <row r="56" spans="6:25" ht="19.5" thickBot="1" x14ac:dyDescent="0.45">
      <c r="F56" s="2"/>
      <c r="G56" s="2"/>
      <c r="H56" s="2"/>
      <c r="I56" s="3"/>
      <c r="J56" s="62" t="str">
        <f>"+0"</f>
        <v>+0</v>
      </c>
      <c r="K56" s="63"/>
      <c r="L56" s="63"/>
      <c r="M56" s="64"/>
      <c r="N56" s="62" t="str">
        <f>"+1"</f>
        <v>+1</v>
      </c>
      <c r="O56" s="63"/>
      <c r="P56" s="63"/>
      <c r="Q56" s="64"/>
      <c r="R56" s="62" t="str">
        <f>"+2"</f>
        <v>+2</v>
      </c>
      <c r="S56" s="63"/>
      <c r="T56" s="63"/>
      <c r="U56" s="64"/>
      <c r="V56" s="62" t="str">
        <f>"+3"</f>
        <v>+3</v>
      </c>
      <c r="W56" s="63"/>
      <c r="X56" s="63"/>
      <c r="Y56" s="64"/>
    </row>
    <row r="57" spans="6:25" ht="18.75" customHeight="1" x14ac:dyDescent="0.4">
      <c r="F57" s="49" t="s">
        <v>7</v>
      </c>
      <c r="G57" s="49"/>
      <c r="H57" s="49"/>
      <c r="I57" s="4"/>
      <c r="J57" s="68" t="s">
        <v>117</v>
      </c>
      <c r="K57" s="69"/>
      <c r="L57" s="69"/>
      <c r="M57" s="70"/>
      <c r="N57" s="46" t="s">
        <v>114</v>
      </c>
      <c r="O57" s="46"/>
      <c r="P57" s="46"/>
      <c r="Q57" s="46"/>
      <c r="R57" s="46"/>
      <c r="S57" s="46"/>
      <c r="T57" s="46"/>
      <c r="U57" s="46"/>
      <c r="V57" s="46"/>
      <c r="W57" s="46"/>
      <c r="X57" s="46"/>
      <c r="Y57" s="47"/>
    </row>
    <row r="58" spans="6:25" ht="19.5" thickBot="1" x14ac:dyDescent="0.45">
      <c r="F58" s="50"/>
      <c r="G58" s="50"/>
      <c r="H58" s="50"/>
      <c r="I58" s="5"/>
      <c r="J58" s="71" t="s">
        <v>2</v>
      </c>
      <c r="K58" s="66"/>
      <c r="L58" s="66"/>
      <c r="M58" s="66"/>
      <c r="N58" s="66" t="s">
        <v>3</v>
      </c>
      <c r="O58" s="66"/>
      <c r="P58" s="66"/>
      <c r="Q58" s="66"/>
      <c r="R58" s="66" t="s">
        <v>4</v>
      </c>
      <c r="S58" s="66"/>
      <c r="T58" s="66"/>
      <c r="U58" s="66"/>
      <c r="V58" s="66" t="s">
        <v>5</v>
      </c>
      <c r="W58" s="66"/>
      <c r="X58" s="66"/>
      <c r="Y58" s="67"/>
    </row>
    <row r="59" spans="6:25" x14ac:dyDescent="0.4">
      <c r="F59" s="49" t="s">
        <v>8</v>
      </c>
      <c r="G59" s="49"/>
      <c r="H59" s="49"/>
      <c r="I59" s="4"/>
      <c r="J59" s="45" t="s">
        <v>114</v>
      </c>
      <c r="K59" s="46"/>
      <c r="L59" s="46"/>
      <c r="M59" s="46"/>
      <c r="N59" s="46"/>
      <c r="O59" s="46"/>
      <c r="P59" s="46"/>
      <c r="Q59" s="46"/>
      <c r="R59" s="46" t="s">
        <v>124</v>
      </c>
      <c r="S59" s="46"/>
      <c r="T59" s="46"/>
      <c r="U59" s="46"/>
      <c r="V59" s="46"/>
      <c r="W59" s="46"/>
      <c r="X59" s="46"/>
      <c r="Y59" s="47"/>
    </row>
    <row r="60" spans="6:25" ht="19.5" thickBot="1" x14ac:dyDescent="0.45">
      <c r="F60" s="50"/>
      <c r="G60" s="50"/>
      <c r="H60" s="50"/>
      <c r="I60" s="6"/>
      <c r="J60" s="48" t="s">
        <v>6</v>
      </c>
      <c r="K60" s="43"/>
      <c r="L60" s="43"/>
      <c r="M60" s="43"/>
      <c r="N60" s="43" t="s">
        <v>2</v>
      </c>
      <c r="O60" s="43"/>
      <c r="P60" s="43"/>
      <c r="Q60" s="43"/>
      <c r="R60" s="43" t="s">
        <v>6</v>
      </c>
      <c r="S60" s="43"/>
      <c r="T60" s="43"/>
      <c r="U60" s="43"/>
      <c r="V60" s="43" t="s">
        <v>2</v>
      </c>
      <c r="W60" s="43"/>
      <c r="X60" s="43"/>
      <c r="Y60" s="44"/>
    </row>
    <row r="61" spans="6:25" x14ac:dyDescent="0.4">
      <c r="F61" s="49" t="s">
        <v>9</v>
      </c>
      <c r="G61" s="49"/>
      <c r="H61" s="49"/>
      <c r="I61" s="4"/>
      <c r="J61" s="51" t="s">
        <v>90</v>
      </c>
      <c r="K61" s="52"/>
      <c r="L61" s="52"/>
      <c r="M61" s="52"/>
      <c r="N61" s="52"/>
      <c r="O61" s="52"/>
      <c r="P61" s="52"/>
      <c r="Q61" s="52"/>
      <c r="R61" s="52"/>
      <c r="S61" s="52"/>
      <c r="T61" s="52"/>
      <c r="U61" s="52"/>
      <c r="V61" s="52"/>
      <c r="W61" s="52"/>
      <c r="X61" s="52"/>
      <c r="Y61" s="53"/>
    </row>
    <row r="62" spans="6:25" ht="19.5" thickBot="1" x14ac:dyDescent="0.45">
      <c r="F62" s="50"/>
      <c r="G62" s="50"/>
      <c r="H62" s="50"/>
      <c r="I62" s="6"/>
      <c r="J62" s="48" t="s">
        <v>2</v>
      </c>
      <c r="K62" s="43"/>
      <c r="L62" s="43"/>
      <c r="M62" s="43"/>
      <c r="N62" s="54" t="s">
        <v>6</v>
      </c>
      <c r="O62" s="43"/>
      <c r="P62" s="43"/>
      <c r="Q62" s="43"/>
      <c r="R62" s="43" t="s">
        <v>5</v>
      </c>
      <c r="S62" s="43"/>
      <c r="T62" s="43"/>
      <c r="U62" s="55"/>
      <c r="V62" s="43" t="s">
        <v>4</v>
      </c>
      <c r="W62" s="43"/>
      <c r="X62" s="43"/>
      <c r="Y62" s="44"/>
    </row>
    <row r="63" spans="6:25" x14ac:dyDescent="0.4">
      <c r="F63" s="49" t="s">
        <v>10</v>
      </c>
      <c r="G63" s="49"/>
      <c r="H63" s="49"/>
      <c r="I63" s="4"/>
      <c r="J63" s="51" t="s">
        <v>91</v>
      </c>
      <c r="K63" s="52"/>
      <c r="L63" s="52"/>
      <c r="M63" s="52"/>
      <c r="N63" s="52"/>
      <c r="O63" s="52"/>
      <c r="P63" s="52"/>
      <c r="Q63" s="52"/>
      <c r="R63" s="52"/>
      <c r="S63" s="52"/>
      <c r="T63" s="52"/>
      <c r="U63" s="52"/>
      <c r="V63" s="52"/>
      <c r="W63" s="52"/>
      <c r="X63" s="52"/>
      <c r="Y63" s="53"/>
    </row>
    <row r="64" spans="6:25" ht="19.5" thickBot="1" x14ac:dyDescent="0.45">
      <c r="F64" s="50"/>
      <c r="G64" s="50"/>
      <c r="H64" s="50"/>
      <c r="I64" s="6"/>
      <c r="J64" s="48" t="s">
        <v>2</v>
      </c>
      <c r="K64" s="43"/>
      <c r="L64" s="43"/>
      <c r="M64" s="55"/>
      <c r="N64" s="43" t="s">
        <v>6</v>
      </c>
      <c r="O64" s="43"/>
      <c r="P64" s="43"/>
      <c r="Q64" s="43"/>
      <c r="R64" s="43" t="s">
        <v>5</v>
      </c>
      <c r="S64" s="43"/>
      <c r="T64" s="43"/>
      <c r="U64" s="55"/>
      <c r="V64" s="43" t="s">
        <v>4</v>
      </c>
      <c r="W64" s="43"/>
      <c r="X64" s="43"/>
      <c r="Y64" s="44"/>
    </row>
    <row r="65" spans="6:25" x14ac:dyDescent="0.4">
      <c r="F65" s="49" t="s">
        <v>0</v>
      </c>
      <c r="G65" s="49"/>
      <c r="H65" s="49"/>
      <c r="I65" s="4"/>
      <c r="J65" s="56" t="s">
        <v>0</v>
      </c>
      <c r="K65" s="57"/>
      <c r="L65" s="57"/>
      <c r="M65" s="57"/>
      <c r="N65" s="57"/>
      <c r="O65" s="57"/>
      <c r="P65" s="57"/>
      <c r="Q65" s="57"/>
      <c r="R65" s="57"/>
      <c r="S65" s="57"/>
      <c r="T65" s="57"/>
      <c r="U65" s="57"/>
      <c r="V65" s="57"/>
      <c r="W65" s="57"/>
      <c r="X65" s="57"/>
      <c r="Y65" s="58"/>
    </row>
    <row r="66" spans="6:25" ht="19.5" thickBot="1" x14ac:dyDescent="0.45">
      <c r="F66" s="50"/>
      <c r="G66" s="50"/>
      <c r="H66" s="50"/>
      <c r="I66" s="6"/>
      <c r="J66" s="59"/>
      <c r="K66" s="60"/>
      <c r="L66" s="60"/>
      <c r="M66" s="60"/>
      <c r="N66" s="60"/>
      <c r="O66" s="60"/>
      <c r="P66" s="60"/>
      <c r="Q66" s="60"/>
      <c r="R66" s="60"/>
      <c r="S66" s="60"/>
      <c r="T66" s="60"/>
      <c r="U66" s="60"/>
      <c r="V66" s="60"/>
      <c r="W66" s="60"/>
      <c r="X66" s="60"/>
      <c r="Y66" s="61"/>
    </row>
    <row r="67" spans="6:25" x14ac:dyDescent="0.4">
      <c r="F67" s="49" t="s">
        <v>128</v>
      </c>
      <c r="G67" s="49"/>
      <c r="H67" s="49"/>
      <c r="I67" s="4"/>
      <c r="J67" s="51" t="s">
        <v>125</v>
      </c>
      <c r="K67" s="52"/>
      <c r="L67" s="52"/>
      <c r="M67" s="52"/>
      <c r="N67" s="52"/>
      <c r="O67" s="52"/>
      <c r="P67" s="52"/>
      <c r="Q67" s="52"/>
      <c r="R67" s="52"/>
      <c r="S67" s="52"/>
      <c r="T67" s="52"/>
      <c r="U67" s="52"/>
      <c r="V67" s="52"/>
      <c r="W67" s="52"/>
      <c r="X67" s="52"/>
      <c r="Y67" s="53"/>
    </row>
    <row r="68" spans="6:25" ht="19.5" thickBot="1" x14ac:dyDescent="0.45">
      <c r="F68" s="50"/>
      <c r="G68" s="50"/>
      <c r="H68" s="50"/>
      <c r="I68" s="6"/>
      <c r="J68" s="48" t="s">
        <v>2</v>
      </c>
      <c r="K68" s="43"/>
      <c r="L68" s="43"/>
      <c r="M68" s="43"/>
      <c r="N68" s="54" t="s">
        <v>6</v>
      </c>
      <c r="O68" s="43"/>
      <c r="P68" s="43"/>
      <c r="Q68" s="43"/>
      <c r="R68" s="43" t="s">
        <v>5</v>
      </c>
      <c r="S68" s="43"/>
      <c r="T68" s="43"/>
      <c r="U68" s="43"/>
      <c r="V68" s="54" t="s">
        <v>4</v>
      </c>
      <c r="W68" s="43"/>
      <c r="X68" s="43"/>
      <c r="Y68" s="44"/>
    </row>
    <row r="69" spans="6:25" x14ac:dyDescent="0.4">
      <c r="F69" s="13"/>
      <c r="G69" s="13"/>
      <c r="H69" s="13"/>
      <c r="J69" s="1"/>
      <c r="K69" s="1"/>
      <c r="L69" s="1"/>
      <c r="M69" s="1"/>
      <c r="N69" s="1"/>
      <c r="O69" s="1"/>
      <c r="P69" s="1"/>
      <c r="Q69" s="1"/>
      <c r="R69" s="1"/>
      <c r="S69" s="1"/>
      <c r="T69" s="1"/>
      <c r="U69" s="1"/>
      <c r="V69" s="1"/>
      <c r="W69" s="1"/>
      <c r="X69" s="1"/>
      <c r="Y69" s="1"/>
    </row>
    <row r="71" spans="6:25" ht="19.5" thickBot="1" x14ac:dyDescent="0.45">
      <c r="F71" s="2"/>
      <c r="G71" s="2"/>
      <c r="H71" s="2"/>
      <c r="I71" s="3"/>
      <c r="J71" s="62" t="str">
        <f>"+0"</f>
        <v>+0</v>
      </c>
      <c r="K71" s="63"/>
      <c r="L71" s="63"/>
      <c r="M71" s="64"/>
      <c r="N71" s="62" t="str">
        <f>"+1"</f>
        <v>+1</v>
      </c>
      <c r="O71" s="63"/>
      <c r="P71" s="63"/>
      <c r="Q71" s="64"/>
      <c r="R71" s="62" t="str">
        <f>"+2"</f>
        <v>+2</v>
      </c>
      <c r="S71" s="63"/>
      <c r="T71" s="63"/>
      <c r="U71" s="64"/>
      <c r="V71" s="62" t="str">
        <f>"+3"</f>
        <v>+3</v>
      </c>
      <c r="W71" s="63"/>
      <c r="X71" s="63"/>
      <c r="Y71" s="64"/>
    </row>
    <row r="72" spans="6:25" ht="18.75" customHeight="1" x14ac:dyDescent="0.4">
      <c r="F72" s="49" t="s">
        <v>7</v>
      </c>
      <c r="G72" s="49"/>
      <c r="H72" s="49"/>
      <c r="I72" s="4"/>
      <c r="J72" s="68" t="s">
        <v>118</v>
      </c>
      <c r="K72" s="69"/>
      <c r="L72" s="69"/>
      <c r="M72" s="70"/>
      <c r="N72" s="46" t="s">
        <v>114</v>
      </c>
      <c r="O72" s="46"/>
      <c r="P72" s="46"/>
      <c r="Q72" s="46"/>
      <c r="R72" s="46"/>
      <c r="S72" s="46"/>
      <c r="T72" s="46"/>
      <c r="U72" s="46"/>
      <c r="V72" s="46"/>
      <c r="W72" s="46"/>
      <c r="X72" s="46"/>
      <c r="Y72" s="47"/>
    </row>
    <row r="73" spans="6:25" ht="19.5" thickBot="1" x14ac:dyDescent="0.45">
      <c r="F73" s="50"/>
      <c r="G73" s="50"/>
      <c r="H73" s="50"/>
      <c r="I73" s="5"/>
      <c r="J73" s="71" t="s">
        <v>2</v>
      </c>
      <c r="K73" s="66"/>
      <c r="L73" s="66"/>
      <c r="M73" s="66"/>
      <c r="N73" s="66" t="s">
        <v>3</v>
      </c>
      <c r="O73" s="66"/>
      <c r="P73" s="66"/>
      <c r="Q73" s="66"/>
      <c r="R73" s="66" t="s">
        <v>4</v>
      </c>
      <c r="S73" s="66"/>
      <c r="T73" s="66"/>
      <c r="U73" s="66"/>
      <c r="V73" s="66" t="s">
        <v>5</v>
      </c>
      <c r="W73" s="66"/>
      <c r="X73" s="66"/>
      <c r="Y73" s="67"/>
    </row>
    <row r="74" spans="6:25" x14ac:dyDescent="0.4">
      <c r="F74" s="49" t="s">
        <v>8</v>
      </c>
      <c r="G74" s="49"/>
      <c r="H74" s="49"/>
      <c r="I74" s="4"/>
      <c r="J74" s="45" t="s">
        <v>114</v>
      </c>
      <c r="K74" s="46"/>
      <c r="L74" s="46"/>
      <c r="M74" s="46"/>
      <c r="N74" s="46"/>
      <c r="O74" s="46"/>
      <c r="P74" s="46"/>
      <c r="Q74" s="46"/>
      <c r="R74" s="46" t="s">
        <v>124</v>
      </c>
      <c r="S74" s="46"/>
      <c r="T74" s="46"/>
      <c r="U74" s="46"/>
      <c r="V74" s="46"/>
      <c r="W74" s="46"/>
      <c r="X74" s="46"/>
      <c r="Y74" s="47"/>
    </row>
    <row r="75" spans="6:25" ht="19.5" thickBot="1" x14ac:dyDescent="0.45">
      <c r="F75" s="50"/>
      <c r="G75" s="50"/>
      <c r="H75" s="50"/>
      <c r="I75" s="6"/>
      <c r="J75" s="48" t="s">
        <v>6</v>
      </c>
      <c r="K75" s="43"/>
      <c r="L75" s="43"/>
      <c r="M75" s="43"/>
      <c r="N75" s="43" t="s">
        <v>2</v>
      </c>
      <c r="O75" s="43"/>
      <c r="P75" s="43"/>
      <c r="Q75" s="43"/>
      <c r="R75" s="43" t="s">
        <v>6</v>
      </c>
      <c r="S75" s="43"/>
      <c r="T75" s="43"/>
      <c r="U75" s="43"/>
      <c r="V75" s="43" t="s">
        <v>2</v>
      </c>
      <c r="W75" s="43"/>
      <c r="X75" s="43"/>
      <c r="Y75" s="44"/>
    </row>
    <row r="76" spans="6:25" x14ac:dyDescent="0.4">
      <c r="F76" s="49" t="s">
        <v>9</v>
      </c>
      <c r="G76" s="49"/>
      <c r="H76" s="49"/>
      <c r="I76" s="4"/>
      <c r="J76" s="51" t="s">
        <v>90</v>
      </c>
      <c r="K76" s="52"/>
      <c r="L76" s="52"/>
      <c r="M76" s="52"/>
      <c r="N76" s="52"/>
      <c r="O76" s="52"/>
      <c r="P76" s="52"/>
      <c r="Q76" s="52"/>
      <c r="R76" s="52"/>
      <c r="S76" s="52"/>
      <c r="T76" s="52"/>
      <c r="U76" s="52"/>
      <c r="V76" s="52"/>
      <c r="W76" s="52"/>
      <c r="X76" s="52"/>
      <c r="Y76" s="53"/>
    </row>
    <row r="77" spans="6:25" ht="19.5" thickBot="1" x14ac:dyDescent="0.45">
      <c r="F77" s="50"/>
      <c r="G77" s="50"/>
      <c r="H77" s="50"/>
      <c r="I77" s="6"/>
      <c r="J77" s="48" t="s">
        <v>2</v>
      </c>
      <c r="K77" s="43"/>
      <c r="L77" s="43"/>
      <c r="M77" s="43"/>
      <c r="N77" s="54" t="s">
        <v>6</v>
      </c>
      <c r="O77" s="43"/>
      <c r="P77" s="43"/>
      <c r="Q77" s="43"/>
      <c r="R77" s="43" t="s">
        <v>5</v>
      </c>
      <c r="S77" s="43"/>
      <c r="T77" s="43"/>
      <c r="U77" s="55"/>
      <c r="V77" s="43" t="s">
        <v>4</v>
      </c>
      <c r="W77" s="43"/>
      <c r="X77" s="43"/>
      <c r="Y77" s="44"/>
    </row>
    <row r="78" spans="6:25" x14ac:dyDescent="0.4">
      <c r="F78" s="49" t="s">
        <v>10</v>
      </c>
      <c r="G78" s="49"/>
      <c r="H78" s="49"/>
      <c r="I78" s="4"/>
      <c r="J78" s="51" t="s">
        <v>91</v>
      </c>
      <c r="K78" s="52"/>
      <c r="L78" s="52"/>
      <c r="M78" s="52"/>
      <c r="N78" s="52"/>
      <c r="O78" s="52"/>
      <c r="P78" s="52"/>
      <c r="Q78" s="52"/>
      <c r="R78" s="52"/>
      <c r="S78" s="52"/>
      <c r="T78" s="52"/>
      <c r="U78" s="52"/>
      <c r="V78" s="52"/>
      <c r="W78" s="52"/>
      <c r="X78" s="52"/>
      <c r="Y78" s="53"/>
    </row>
    <row r="79" spans="6:25" ht="19.5" thickBot="1" x14ac:dyDescent="0.45">
      <c r="F79" s="50"/>
      <c r="G79" s="50"/>
      <c r="H79" s="50"/>
      <c r="I79" s="6"/>
      <c r="J79" s="48" t="s">
        <v>2</v>
      </c>
      <c r="K79" s="43"/>
      <c r="L79" s="43"/>
      <c r="M79" s="55"/>
      <c r="N79" s="43" t="s">
        <v>6</v>
      </c>
      <c r="O79" s="43"/>
      <c r="P79" s="43"/>
      <c r="Q79" s="43"/>
      <c r="R79" s="43" t="s">
        <v>5</v>
      </c>
      <c r="S79" s="43"/>
      <c r="T79" s="43"/>
      <c r="U79" s="55"/>
      <c r="V79" s="43" t="s">
        <v>4</v>
      </c>
      <c r="W79" s="43"/>
      <c r="X79" s="43"/>
      <c r="Y79" s="44"/>
    </row>
    <row r="80" spans="6:25" x14ac:dyDescent="0.4">
      <c r="F80" s="49" t="s">
        <v>0</v>
      </c>
      <c r="G80" s="49"/>
      <c r="H80" s="49"/>
      <c r="I80" s="4"/>
      <c r="J80" s="56" t="s">
        <v>0</v>
      </c>
      <c r="K80" s="57"/>
      <c r="L80" s="57"/>
      <c r="M80" s="57"/>
      <c r="N80" s="57"/>
      <c r="O80" s="57"/>
      <c r="P80" s="57"/>
      <c r="Q80" s="57"/>
      <c r="R80" s="57"/>
      <c r="S80" s="57"/>
      <c r="T80" s="57"/>
      <c r="U80" s="57"/>
      <c r="V80" s="57"/>
      <c r="W80" s="57"/>
      <c r="X80" s="57"/>
      <c r="Y80" s="58"/>
    </row>
    <row r="81" spans="6:41" ht="19.5" thickBot="1" x14ac:dyDescent="0.45">
      <c r="F81" s="50"/>
      <c r="G81" s="50"/>
      <c r="H81" s="50"/>
      <c r="I81" s="6"/>
      <c r="J81" s="59"/>
      <c r="K81" s="60"/>
      <c r="L81" s="60"/>
      <c r="M81" s="60"/>
      <c r="N81" s="60"/>
      <c r="O81" s="60"/>
      <c r="P81" s="60"/>
      <c r="Q81" s="60"/>
      <c r="R81" s="60"/>
      <c r="S81" s="60"/>
      <c r="T81" s="60"/>
      <c r="U81" s="60"/>
      <c r="V81" s="60"/>
      <c r="W81" s="60"/>
      <c r="X81" s="60"/>
      <c r="Y81" s="61"/>
    </row>
    <row r="82" spans="6:41" x14ac:dyDescent="0.4">
      <c r="F82" s="49" t="s">
        <v>128</v>
      </c>
      <c r="G82" s="49"/>
      <c r="H82" s="49"/>
      <c r="I82" s="4"/>
      <c r="J82" s="51" t="s">
        <v>125</v>
      </c>
      <c r="K82" s="52"/>
      <c r="L82" s="52"/>
      <c r="M82" s="52"/>
      <c r="N82" s="52"/>
      <c r="O82" s="52"/>
      <c r="P82" s="52"/>
      <c r="Q82" s="52"/>
      <c r="R82" s="52"/>
      <c r="S82" s="52"/>
      <c r="T82" s="52"/>
      <c r="U82" s="52"/>
      <c r="V82" s="52"/>
      <c r="W82" s="52"/>
      <c r="X82" s="52"/>
      <c r="Y82" s="53"/>
    </row>
    <row r="83" spans="6:41" ht="19.5" thickBot="1" x14ac:dyDescent="0.45">
      <c r="F83" s="50"/>
      <c r="G83" s="50"/>
      <c r="H83" s="50"/>
      <c r="I83" s="6"/>
      <c r="J83" s="48" t="s">
        <v>2</v>
      </c>
      <c r="K83" s="43"/>
      <c r="L83" s="43"/>
      <c r="M83" s="43"/>
      <c r="N83" s="54" t="s">
        <v>6</v>
      </c>
      <c r="O83" s="43"/>
      <c r="P83" s="43"/>
      <c r="Q83" s="43"/>
      <c r="R83" s="43" t="s">
        <v>5</v>
      </c>
      <c r="S83" s="43"/>
      <c r="T83" s="43"/>
      <c r="U83" s="43"/>
      <c r="V83" s="54" t="s">
        <v>4</v>
      </c>
      <c r="W83" s="43"/>
      <c r="X83" s="43"/>
      <c r="Y83" s="44"/>
    </row>
    <row r="85" spans="6:41" ht="19.5" thickBot="1" x14ac:dyDescent="0.45">
      <c r="I85" s="3"/>
      <c r="J85" s="62" t="str">
        <f>"+0"</f>
        <v>+0</v>
      </c>
      <c r="K85" s="63"/>
      <c r="L85" s="63"/>
      <c r="M85" s="64"/>
      <c r="N85" s="62" t="str">
        <f>"+1"</f>
        <v>+1</v>
      </c>
      <c r="O85" s="63"/>
      <c r="P85" s="63"/>
      <c r="Q85" s="64"/>
      <c r="R85" s="62" t="str">
        <f>"+2"</f>
        <v>+2</v>
      </c>
      <c r="S85" s="63"/>
      <c r="T85" s="63"/>
      <c r="U85" s="64"/>
      <c r="V85" s="62" t="str">
        <f>"+3"</f>
        <v>+3</v>
      </c>
      <c r="W85" s="63"/>
      <c r="X85" s="63"/>
      <c r="Y85" s="64"/>
    </row>
    <row r="86" spans="6:41" ht="18.75" customHeight="1" x14ac:dyDescent="0.4">
      <c r="G86" s="65" t="s">
        <v>7</v>
      </c>
      <c r="H86" s="65"/>
      <c r="I86" s="4"/>
      <c r="J86" s="68" t="s">
        <v>119</v>
      </c>
      <c r="K86" s="69"/>
      <c r="L86" s="69"/>
      <c r="M86" s="70"/>
      <c r="N86" s="46" t="s">
        <v>1</v>
      </c>
      <c r="O86" s="46"/>
      <c r="P86" s="46"/>
      <c r="Q86" s="46"/>
      <c r="R86" s="46"/>
      <c r="S86" s="46"/>
      <c r="T86" s="46"/>
      <c r="U86" s="46"/>
      <c r="V86" s="46"/>
      <c r="W86" s="46"/>
      <c r="X86" s="46"/>
      <c r="Y86" s="47"/>
    </row>
    <row r="87" spans="6:41" ht="19.5" thickBot="1" x14ac:dyDescent="0.45">
      <c r="G87" s="50"/>
      <c r="H87" s="50"/>
      <c r="I87" s="5"/>
      <c r="J87" s="71" t="s">
        <v>2</v>
      </c>
      <c r="K87" s="66"/>
      <c r="L87" s="66"/>
      <c r="M87" s="66"/>
      <c r="N87" s="66" t="s">
        <v>3</v>
      </c>
      <c r="O87" s="66"/>
      <c r="P87" s="66"/>
      <c r="Q87" s="66"/>
      <c r="R87" s="66" t="s">
        <v>4</v>
      </c>
      <c r="S87" s="66"/>
      <c r="T87" s="66"/>
      <c r="U87" s="66"/>
      <c r="V87" s="66" t="s">
        <v>5</v>
      </c>
      <c r="W87" s="66"/>
      <c r="X87" s="66"/>
      <c r="Y87" s="67"/>
    </row>
    <row r="88" spans="6:41" x14ac:dyDescent="0.4">
      <c r="G88" s="65" t="s">
        <v>8</v>
      </c>
      <c r="H88" s="65"/>
      <c r="I88" s="4"/>
      <c r="J88" s="45" t="s">
        <v>1</v>
      </c>
      <c r="K88" s="46"/>
      <c r="L88" s="46"/>
      <c r="M88" s="46"/>
      <c r="N88" s="46"/>
      <c r="O88" s="46"/>
      <c r="P88" s="46"/>
      <c r="Q88" s="46"/>
      <c r="R88" s="46" t="s">
        <v>127</v>
      </c>
      <c r="S88" s="46"/>
      <c r="T88" s="46"/>
      <c r="U88" s="46"/>
      <c r="V88" s="46"/>
      <c r="W88" s="46"/>
      <c r="X88" s="46"/>
      <c r="Y88" s="47"/>
    </row>
    <row r="89" spans="6:41" ht="19.5" thickBot="1" x14ac:dyDescent="0.45">
      <c r="G89" s="50"/>
      <c r="H89" s="50"/>
      <c r="I89" s="6"/>
      <c r="J89" s="48" t="s">
        <v>6</v>
      </c>
      <c r="K89" s="43"/>
      <c r="L89" s="43"/>
      <c r="M89" s="43"/>
      <c r="N89" s="43" t="s">
        <v>2</v>
      </c>
      <c r="O89" s="43"/>
      <c r="P89" s="43"/>
      <c r="Q89" s="43"/>
      <c r="R89" s="43" t="s">
        <v>6</v>
      </c>
      <c r="S89" s="43"/>
      <c r="T89" s="43"/>
      <c r="U89" s="43"/>
      <c r="V89" s="43" t="s">
        <v>2</v>
      </c>
      <c r="W89" s="43"/>
      <c r="X89" s="43"/>
      <c r="Y89" s="44"/>
    </row>
    <row r="92" spans="6:41" s="22" customFormat="1" x14ac:dyDescent="0.4"/>
    <row r="94" spans="6:41" ht="19.5" thickBot="1" x14ac:dyDescent="0.45">
      <c r="I94" s="3"/>
      <c r="J94" s="62" t="str">
        <f>"+0"</f>
        <v>+0</v>
      </c>
      <c r="K94" s="63"/>
      <c r="L94" s="63"/>
      <c r="M94" s="64"/>
      <c r="N94" s="78" t="str">
        <f>"+1"</f>
        <v>+1</v>
      </c>
      <c r="O94" s="79"/>
      <c r="P94" s="79"/>
      <c r="Q94" s="80"/>
      <c r="R94" s="62" t="str">
        <f>"+2"</f>
        <v>+2</v>
      </c>
      <c r="S94" s="63"/>
      <c r="T94" s="63"/>
      <c r="U94" s="64"/>
      <c r="V94" s="62" t="str">
        <f>"+3"</f>
        <v>+3</v>
      </c>
      <c r="W94" s="63"/>
      <c r="X94" s="63"/>
      <c r="Y94" s="64"/>
      <c r="Z94" s="62" t="str">
        <f>"+4"</f>
        <v>+4</v>
      </c>
      <c r="AA94" s="63"/>
      <c r="AB94" s="63"/>
      <c r="AC94" s="64"/>
      <c r="AD94" s="62" t="str">
        <f>"+5"</f>
        <v>+5</v>
      </c>
      <c r="AE94" s="63"/>
      <c r="AF94" s="63"/>
      <c r="AG94" s="64"/>
      <c r="AH94" s="62" t="str">
        <f>"+6"</f>
        <v>+6</v>
      </c>
      <c r="AI94" s="63"/>
      <c r="AJ94" s="63"/>
      <c r="AK94" s="64"/>
      <c r="AL94" s="62" t="str">
        <f>"+7"</f>
        <v>+7</v>
      </c>
      <c r="AM94" s="63"/>
      <c r="AN94" s="63"/>
      <c r="AO94" s="64"/>
    </row>
    <row r="95" spans="6:41" ht="18.75" customHeight="1" x14ac:dyDescent="0.4">
      <c r="F95" s="75" t="s">
        <v>7</v>
      </c>
      <c r="G95" s="75"/>
      <c r="H95" s="75"/>
      <c r="I95" s="21"/>
      <c r="J95" s="68" t="s">
        <v>120</v>
      </c>
      <c r="K95" s="69"/>
      <c r="L95" s="69"/>
      <c r="M95" s="70"/>
      <c r="N95" s="76" t="s">
        <v>114</v>
      </c>
      <c r="O95" s="76"/>
      <c r="P95" s="76"/>
      <c r="Q95" s="76"/>
      <c r="R95" s="76"/>
      <c r="S95" s="76"/>
      <c r="T95" s="76"/>
      <c r="U95" s="76"/>
      <c r="V95" s="76"/>
      <c r="W95" s="76"/>
      <c r="X95" s="76"/>
      <c r="Y95" s="76"/>
      <c r="Z95" s="76"/>
      <c r="AA95" s="76"/>
      <c r="AB95" s="76"/>
      <c r="AC95" s="76"/>
      <c r="AD95" s="76"/>
      <c r="AE95" s="76"/>
      <c r="AF95" s="76"/>
      <c r="AG95" s="77"/>
      <c r="AH95" s="46" t="s">
        <v>115</v>
      </c>
      <c r="AI95" s="46"/>
      <c r="AJ95" s="46"/>
      <c r="AK95" s="46"/>
      <c r="AL95" s="46"/>
      <c r="AM95" s="46"/>
      <c r="AN95" s="46"/>
      <c r="AO95" s="47"/>
    </row>
    <row r="96" spans="6:41" ht="19.5" thickBot="1" x14ac:dyDescent="0.45">
      <c r="F96" s="63"/>
      <c r="G96" s="63"/>
      <c r="H96" s="63"/>
      <c r="J96" s="72" t="s">
        <v>2</v>
      </c>
      <c r="K96" s="73"/>
      <c r="L96" s="73"/>
      <c r="M96" s="54"/>
      <c r="N96" s="54" t="s">
        <v>3</v>
      </c>
      <c r="O96" s="43"/>
      <c r="P96" s="43"/>
      <c r="Q96" s="43"/>
      <c r="R96" s="43" t="s">
        <v>4</v>
      </c>
      <c r="S96" s="43"/>
      <c r="T96" s="43"/>
      <c r="U96" s="43"/>
      <c r="V96" s="43" t="s">
        <v>5</v>
      </c>
      <c r="W96" s="43"/>
      <c r="X96" s="43"/>
      <c r="Y96" s="43"/>
      <c r="Z96" s="43" t="s">
        <v>6</v>
      </c>
      <c r="AA96" s="43"/>
      <c r="AB96" s="43"/>
      <c r="AC96" s="43"/>
      <c r="AD96" s="43" t="s">
        <v>2</v>
      </c>
      <c r="AE96" s="43"/>
      <c r="AF96" s="43"/>
      <c r="AG96" s="43"/>
      <c r="AH96" s="43" t="s">
        <v>6</v>
      </c>
      <c r="AI96" s="43"/>
      <c r="AJ96" s="43"/>
      <c r="AK96" s="43"/>
      <c r="AL96" s="43" t="s">
        <v>2</v>
      </c>
      <c r="AM96" s="43"/>
      <c r="AN96" s="43"/>
      <c r="AO96" s="44"/>
    </row>
    <row r="97" spans="6:41" x14ac:dyDescent="0.4">
      <c r="F97" s="25"/>
      <c r="G97" s="25"/>
      <c r="H97" s="25"/>
      <c r="I97" s="21"/>
    </row>
    <row r="98" spans="6:41" x14ac:dyDescent="0.4">
      <c r="F98" s="1"/>
      <c r="G98" s="1"/>
      <c r="H98" s="1"/>
    </row>
    <row r="99" spans="6:41" ht="19.5" thickBot="1" x14ac:dyDescent="0.45">
      <c r="F99" s="1"/>
      <c r="G99" s="1"/>
      <c r="H99" s="1"/>
      <c r="I99" s="3"/>
      <c r="J99" s="62" t="str">
        <f>"+0"</f>
        <v>+0</v>
      </c>
      <c r="K99" s="63"/>
      <c r="L99" s="63"/>
      <c r="M99" s="64"/>
      <c r="N99" s="62" t="str">
        <f>"+1"</f>
        <v>+1</v>
      </c>
      <c r="O99" s="63"/>
      <c r="P99" s="63"/>
      <c r="Q99" s="64"/>
      <c r="R99" s="62" t="str">
        <f>"+2"</f>
        <v>+2</v>
      </c>
      <c r="S99" s="63"/>
      <c r="T99" s="63"/>
      <c r="U99" s="64"/>
      <c r="V99" s="62" t="str">
        <f>"+3"</f>
        <v>+3</v>
      </c>
      <c r="W99" s="63"/>
      <c r="X99" s="63"/>
      <c r="Y99" s="64"/>
      <c r="Z99" s="62" t="str">
        <f>"+4"</f>
        <v>+4</v>
      </c>
      <c r="AA99" s="63"/>
      <c r="AB99" s="63"/>
      <c r="AC99" s="64"/>
      <c r="AD99" s="62" t="str">
        <f>"+5"</f>
        <v>+5</v>
      </c>
      <c r="AE99" s="63"/>
      <c r="AF99" s="63"/>
      <c r="AG99" s="64"/>
      <c r="AH99" s="62" t="str">
        <f>"+6"</f>
        <v>+6</v>
      </c>
      <c r="AI99" s="63"/>
      <c r="AJ99" s="63"/>
      <c r="AK99" s="64"/>
      <c r="AL99" s="62" t="str">
        <f>"+7"</f>
        <v>+7</v>
      </c>
      <c r="AM99" s="63"/>
      <c r="AN99" s="63"/>
      <c r="AO99" s="64"/>
    </row>
    <row r="100" spans="6:41" ht="19.5" customHeight="1" thickTop="1" x14ac:dyDescent="0.4">
      <c r="F100" s="75" t="s">
        <v>7</v>
      </c>
      <c r="G100" s="75"/>
      <c r="H100" s="75"/>
      <c r="I100" s="21"/>
      <c r="J100" s="81" t="s">
        <v>121</v>
      </c>
      <c r="K100" s="82"/>
      <c r="L100" s="82"/>
      <c r="M100" s="83"/>
      <c r="N100" s="84" t="s">
        <v>114</v>
      </c>
      <c r="O100" s="85"/>
      <c r="P100" s="85"/>
      <c r="Q100" s="85"/>
      <c r="R100" s="85"/>
      <c r="S100" s="85"/>
      <c r="T100" s="85"/>
      <c r="U100" s="85"/>
      <c r="V100" s="85"/>
      <c r="W100" s="85"/>
      <c r="X100" s="85"/>
      <c r="Y100" s="85"/>
      <c r="Z100" s="85"/>
      <c r="AA100" s="85"/>
      <c r="AB100" s="85"/>
      <c r="AC100" s="85"/>
      <c r="AD100" s="85"/>
      <c r="AE100" s="85"/>
      <c r="AF100" s="85"/>
      <c r="AG100" s="86"/>
      <c r="AH100" s="87" t="s">
        <v>137</v>
      </c>
      <c r="AI100" s="87"/>
      <c r="AJ100" s="87"/>
      <c r="AK100" s="87"/>
      <c r="AL100" s="87"/>
      <c r="AM100" s="87"/>
      <c r="AN100" s="87"/>
      <c r="AO100" s="88"/>
    </row>
    <row r="101" spans="6:41" x14ac:dyDescent="0.4">
      <c r="F101" s="63"/>
      <c r="G101" s="63"/>
      <c r="H101" s="63"/>
      <c r="J101" s="89" t="s">
        <v>2</v>
      </c>
      <c r="K101" s="90"/>
      <c r="L101" s="90"/>
      <c r="M101" s="90"/>
      <c r="N101" s="90" t="s">
        <v>3</v>
      </c>
      <c r="O101" s="90"/>
      <c r="P101" s="90"/>
      <c r="Q101" s="90"/>
      <c r="R101" s="90" t="s">
        <v>4</v>
      </c>
      <c r="S101" s="90"/>
      <c r="T101" s="90"/>
      <c r="U101" s="90"/>
      <c r="V101" s="90" t="s">
        <v>5</v>
      </c>
      <c r="W101" s="90"/>
      <c r="X101" s="90"/>
      <c r="Y101" s="91"/>
      <c r="Z101" s="90" t="s">
        <v>6</v>
      </c>
      <c r="AA101" s="90"/>
      <c r="AB101" s="90"/>
      <c r="AC101" s="90"/>
      <c r="AD101" s="90" t="s">
        <v>2</v>
      </c>
      <c r="AE101" s="90"/>
      <c r="AF101" s="90"/>
      <c r="AG101" s="91"/>
      <c r="AH101" s="90" t="s">
        <v>6</v>
      </c>
      <c r="AI101" s="90"/>
      <c r="AJ101" s="90"/>
      <c r="AK101" s="90"/>
      <c r="AL101" s="90" t="s">
        <v>2</v>
      </c>
      <c r="AM101" s="90"/>
      <c r="AN101" s="90"/>
      <c r="AO101" s="92"/>
    </row>
    <row r="102" spans="6:41" ht="19.5" thickTop="1" x14ac:dyDescent="0.4">
      <c r="F102" s="75" t="s">
        <v>9</v>
      </c>
      <c r="G102" s="75"/>
      <c r="H102" s="75"/>
      <c r="I102" s="21"/>
      <c r="J102" s="94" t="s">
        <v>92</v>
      </c>
      <c r="K102" s="95"/>
      <c r="L102" s="95"/>
      <c r="M102" s="95"/>
      <c r="N102" s="95"/>
      <c r="O102" s="95"/>
      <c r="P102" s="95"/>
      <c r="Q102" s="95"/>
      <c r="R102" s="95"/>
      <c r="S102" s="95"/>
      <c r="T102" s="95"/>
      <c r="U102" s="95"/>
      <c r="V102" s="95"/>
      <c r="W102" s="95"/>
      <c r="X102" s="95"/>
      <c r="Y102" s="95"/>
      <c r="Z102" s="95"/>
      <c r="AA102" s="95"/>
      <c r="AB102" s="95"/>
      <c r="AC102" s="95"/>
      <c r="AD102" s="95"/>
      <c r="AE102" s="95"/>
      <c r="AF102" s="95"/>
      <c r="AG102" s="95"/>
      <c r="AH102" s="95"/>
      <c r="AI102" s="95"/>
      <c r="AJ102" s="95"/>
      <c r="AK102" s="95"/>
      <c r="AL102" s="95"/>
      <c r="AM102" s="95"/>
      <c r="AN102" s="95"/>
      <c r="AO102" s="96"/>
    </row>
    <row r="103" spans="6:41" x14ac:dyDescent="0.4">
      <c r="F103" s="93"/>
      <c r="G103" s="93"/>
      <c r="H103" s="93"/>
      <c r="I103" s="2"/>
      <c r="J103" s="97" t="s">
        <v>2</v>
      </c>
      <c r="K103" s="98"/>
      <c r="L103" s="98"/>
      <c r="M103" s="98"/>
      <c r="N103" s="98" t="s">
        <v>6</v>
      </c>
      <c r="O103" s="98"/>
      <c r="P103" s="98"/>
      <c r="Q103" s="98"/>
      <c r="R103" s="98" t="s">
        <v>5</v>
      </c>
      <c r="S103" s="98"/>
      <c r="T103" s="98"/>
      <c r="U103" s="98"/>
      <c r="V103" s="98" t="s">
        <v>4</v>
      </c>
      <c r="W103" s="98"/>
      <c r="X103" s="98"/>
      <c r="Y103" s="98"/>
      <c r="Z103" s="98" t="s">
        <v>3</v>
      </c>
      <c r="AA103" s="98"/>
      <c r="AB103" s="98"/>
      <c r="AC103" s="98"/>
      <c r="AD103" s="98" t="s">
        <v>53</v>
      </c>
      <c r="AE103" s="98"/>
      <c r="AF103" s="98"/>
      <c r="AG103" s="98"/>
      <c r="AH103" s="98" t="s">
        <v>54</v>
      </c>
      <c r="AI103" s="98"/>
      <c r="AJ103" s="98"/>
      <c r="AK103" s="98"/>
      <c r="AL103" s="98" t="s">
        <v>55</v>
      </c>
      <c r="AM103" s="98"/>
      <c r="AN103" s="98"/>
      <c r="AO103" s="99"/>
    </row>
    <row r="104" spans="6:41" x14ac:dyDescent="0.4">
      <c r="F104" s="63" t="s">
        <v>80</v>
      </c>
      <c r="G104" s="63"/>
      <c r="H104" s="63"/>
      <c r="I104" s="21"/>
      <c r="J104" s="100" t="s">
        <v>92</v>
      </c>
      <c r="K104" s="101"/>
      <c r="L104" s="101"/>
      <c r="M104" s="101"/>
      <c r="N104" s="101"/>
      <c r="O104" s="101"/>
      <c r="P104" s="101"/>
      <c r="Q104" s="101"/>
      <c r="R104" s="101"/>
      <c r="S104" s="101"/>
      <c r="T104" s="101"/>
      <c r="U104" s="101"/>
      <c r="V104" s="101"/>
      <c r="W104" s="101"/>
      <c r="X104" s="101"/>
      <c r="Y104" s="101"/>
      <c r="Z104" s="101"/>
      <c r="AA104" s="101"/>
      <c r="AB104" s="101"/>
      <c r="AC104" s="101"/>
      <c r="AD104" s="101"/>
      <c r="AE104" s="101"/>
      <c r="AF104" s="101"/>
      <c r="AG104" s="101"/>
      <c r="AH104" s="101"/>
      <c r="AI104" s="101"/>
      <c r="AJ104" s="101"/>
      <c r="AK104" s="101"/>
      <c r="AL104" s="101"/>
      <c r="AM104" s="101"/>
      <c r="AN104" s="101"/>
      <c r="AO104" s="102"/>
    </row>
    <row r="105" spans="6:41" x14ac:dyDescent="0.4">
      <c r="F105" s="63"/>
      <c r="G105" s="63"/>
      <c r="H105" s="63"/>
      <c r="J105" s="97" t="s">
        <v>56</v>
      </c>
      <c r="K105" s="98"/>
      <c r="L105" s="98"/>
      <c r="M105" s="98"/>
      <c r="N105" s="98" t="s">
        <v>57</v>
      </c>
      <c r="O105" s="98"/>
      <c r="P105" s="98"/>
      <c r="Q105" s="98"/>
      <c r="R105" s="98" t="s">
        <v>58</v>
      </c>
      <c r="S105" s="98"/>
      <c r="T105" s="98"/>
      <c r="U105" s="98"/>
      <c r="V105" s="98" t="s">
        <v>59</v>
      </c>
      <c r="W105" s="98"/>
      <c r="X105" s="98"/>
      <c r="Y105" s="98"/>
      <c r="Z105" s="98" t="s">
        <v>60</v>
      </c>
      <c r="AA105" s="98"/>
      <c r="AB105" s="98"/>
      <c r="AC105" s="98"/>
      <c r="AD105" s="98" t="s">
        <v>61</v>
      </c>
      <c r="AE105" s="98"/>
      <c r="AF105" s="98"/>
      <c r="AG105" s="98"/>
      <c r="AH105" s="98" t="s">
        <v>62</v>
      </c>
      <c r="AI105" s="98"/>
      <c r="AJ105" s="98"/>
      <c r="AK105" s="98"/>
      <c r="AL105" s="98" t="s">
        <v>63</v>
      </c>
      <c r="AM105" s="98"/>
      <c r="AN105" s="98"/>
      <c r="AO105" s="99"/>
    </row>
    <row r="106" spans="6:41" x14ac:dyDescent="0.4">
      <c r="F106" s="75" t="s">
        <v>81</v>
      </c>
      <c r="G106" s="75"/>
      <c r="H106" s="75"/>
      <c r="I106" s="21"/>
      <c r="J106" s="100" t="s">
        <v>92</v>
      </c>
      <c r="K106" s="101"/>
      <c r="L106" s="101"/>
      <c r="M106" s="101"/>
      <c r="N106" s="101"/>
      <c r="O106" s="101"/>
      <c r="P106" s="101"/>
      <c r="Q106" s="101"/>
      <c r="R106" s="101"/>
      <c r="S106" s="101"/>
      <c r="T106" s="101"/>
      <c r="U106" s="101"/>
      <c r="V106" s="101"/>
      <c r="W106" s="101"/>
      <c r="X106" s="101"/>
      <c r="Y106" s="101"/>
      <c r="Z106" s="101"/>
      <c r="AA106" s="101"/>
      <c r="AB106" s="101"/>
      <c r="AC106" s="101"/>
      <c r="AD106" s="101"/>
      <c r="AE106" s="101"/>
      <c r="AF106" s="101"/>
      <c r="AG106" s="101"/>
      <c r="AH106" s="101"/>
      <c r="AI106" s="101"/>
      <c r="AJ106" s="101"/>
      <c r="AK106" s="101"/>
      <c r="AL106" s="101"/>
      <c r="AM106" s="101"/>
      <c r="AN106" s="101"/>
      <c r="AO106" s="102"/>
    </row>
    <row r="107" spans="6:41" x14ac:dyDescent="0.4">
      <c r="F107" s="63"/>
      <c r="G107" s="63"/>
      <c r="H107" s="63"/>
      <c r="I107" s="2"/>
      <c r="J107" s="97" t="s">
        <v>64</v>
      </c>
      <c r="K107" s="98"/>
      <c r="L107" s="98"/>
      <c r="M107" s="98"/>
      <c r="N107" s="98" t="s">
        <v>65</v>
      </c>
      <c r="O107" s="98"/>
      <c r="P107" s="98"/>
      <c r="Q107" s="98"/>
      <c r="R107" s="98" t="s">
        <v>66</v>
      </c>
      <c r="S107" s="98"/>
      <c r="T107" s="98"/>
      <c r="U107" s="98"/>
      <c r="V107" s="98" t="s">
        <v>67</v>
      </c>
      <c r="W107" s="98"/>
      <c r="X107" s="98"/>
      <c r="Y107" s="98"/>
      <c r="Z107" s="98" t="s">
        <v>68</v>
      </c>
      <c r="AA107" s="98"/>
      <c r="AB107" s="98"/>
      <c r="AC107" s="98"/>
      <c r="AD107" s="98" t="s">
        <v>69</v>
      </c>
      <c r="AE107" s="98"/>
      <c r="AF107" s="98"/>
      <c r="AG107" s="98"/>
      <c r="AH107" s="98" t="s">
        <v>70</v>
      </c>
      <c r="AI107" s="98"/>
      <c r="AJ107" s="98"/>
      <c r="AK107" s="98"/>
      <c r="AL107" s="98" t="s">
        <v>71</v>
      </c>
      <c r="AM107" s="98"/>
      <c r="AN107" s="98"/>
      <c r="AO107" s="99"/>
    </row>
    <row r="108" spans="6:41" x14ac:dyDescent="0.4">
      <c r="F108" s="75" t="s">
        <v>82</v>
      </c>
      <c r="G108" s="75"/>
      <c r="H108" s="75"/>
      <c r="I108" s="21"/>
      <c r="J108" s="100" t="s">
        <v>92</v>
      </c>
      <c r="K108" s="101"/>
      <c r="L108" s="101"/>
      <c r="M108" s="101"/>
      <c r="N108" s="101"/>
      <c r="O108" s="101"/>
      <c r="P108" s="101"/>
      <c r="Q108" s="101"/>
      <c r="R108" s="101"/>
      <c r="S108" s="101"/>
      <c r="T108" s="101"/>
      <c r="U108" s="101"/>
      <c r="V108" s="101"/>
      <c r="W108" s="101"/>
      <c r="X108" s="101"/>
      <c r="Y108" s="101"/>
      <c r="Z108" s="101"/>
      <c r="AA108" s="101"/>
      <c r="AB108" s="101"/>
      <c r="AC108" s="101"/>
      <c r="AD108" s="101"/>
      <c r="AE108" s="101"/>
      <c r="AF108" s="101"/>
      <c r="AG108" s="101"/>
      <c r="AH108" s="101"/>
      <c r="AI108" s="101"/>
      <c r="AJ108" s="101"/>
      <c r="AK108" s="101"/>
      <c r="AL108" s="101"/>
      <c r="AM108" s="101"/>
      <c r="AN108" s="101"/>
      <c r="AO108" s="102"/>
    </row>
    <row r="109" spans="6:41" x14ac:dyDescent="0.4">
      <c r="F109" s="63"/>
      <c r="G109" s="63"/>
      <c r="H109" s="63"/>
      <c r="I109" s="2"/>
      <c r="J109" s="97" t="s">
        <v>72</v>
      </c>
      <c r="K109" s="98"/>
      <c r="L109" s="98"/>
      <c r="M109" s="98"/>
      <c r="N109" s="98" t="s">
        <v>73</v>
      </c>
      <c r="O109" s="98"/>
      <c r="P109" s="98"/>
      <c r="Q109" s="98"/>
      <c r="R109" s="98" t="s">
        <v>74</v>
      </c>
      <c r="S109" s="98"/>
      <c r="T109" s="98"/>
      <c r="U109" s="98"/>
      <c r="V109" s="98" t="s">
        <v>75</v>
      </c>
      <c r="W109" s="98"/>
      <c r="X109" s="98"/>
      <c r="Y109" s="98"/>
      <c r="Z109" s="98" t="s">
        <v>76</v>
      </c>
      <c r="AA109" s="98"/>
      <c r="AB109" s="98"/>
      <c r="AC109" s="98"/>
      <c r="AD109" s="98" t="s">
        <v>77</v>
      </c>
      <c r="AE109" s="98"/>
      <c r="AF109" s="98"/>
      <c r="AG109" s="98"/>
      <c r="AH109" s="98" t="s">
        <v>78</v>
      </c>
      <c r="AI109" s="98"/>
      <c r="AJ109" s="98"/>
      <c r="AK109" s="98"/>
      <c r="AL109" s="98" t="s">
        <v>79</v>
      </c>
      <c r="AM109" s="98"/>
      <c r="AN109" s="98"/>
      <c r="AO109" s="99"/>
    </row>
    <row r="110" spans="6:41" x14ac:dyDescent="0.4">
      <c r="F110" s="75" t="s">
        <v>83</v>
      </c>
      <c r="G110" s="75"/>
      <c r="H110" s="75"/>
      <c r="I110" s="21"/>
      <c r="J110" s="103" t="s">
        <v>92</v>
      </c>
      <c r="K110" s="104"/>
      <c r="L110" s="104"/>
      <c r="M110" s="104"/>
      <c r="N110" s="104"/>
      <c r="O110" s="104"/>
      <c r="P110" s="104"/>
      <c r="Q110" s="104"/>
      <c r="R110" s="104"/>
      <c r="S110" s="104"/>
      <c r="T110" s="104"/>
      <c r="U110" s="104"/>
      <c r="V110" s="104"/>
      <c r="W110" s="104"/>
      <c r="X110" s="104"/>
      <c r="Y110" s="104"/>
      <c r="Z110" s="104"/>
      <c r="AA110" s="104"/>
      <c r="AB110" s="104"/>
      <c r="AC110" s="104"/>
      <c r="AD110" s="104"/>
      <c r="AE110" s="104"/>
      <c r="AF110" s="104"/>
      <c r="AG110" s="104"/>
      <c r="AH110" s="104"/>
      <c r="AI110" s="104"/>
      <c r="AJ110" s="104"/>
      <c r="AK110" s="104"/>
      <c r="AL110" s="104"/>
      <c r="AM110" s="104"/>
      <c r="AN110" s="104"/>
      <c r="AO110" s="105"/>
    </row>
    <row r="111" spans="6:41" x14ac:dyDescent="0.4">
      <c r="F111" s="63"/>
      <c r="G111" s="63"/>
      <c r="H111" s="63"/>
      <c r="I111" s="2"/>
      <c r="J111" s="97" t="s">
        <v>138</v>
      </c>
      <c r="K111" s="98"/>
      <c r="L111" s="98"/>
      <c r="M111" s="98"/>
      <c r="N111" s="98" t="s">
        <v>139</v>
      </c>
      <c r="O111" s="98"/>
      <c r="P111" s="98"/>
      <c r="Q111" s="98"/>
      <c r="R111" s="98" t="s">
        <v>140</v>
      </c>
      <c r="S111" s="98"/>
      <c r="T111" s="98"/>
      <c r="U111" s="98"/>
      <c r="V111" s="98" t="s">
        <v>141</v>
      </c>
      <c r="W111" s="98"/>
      <c r="X111" s="98"/>
      <c r="Y111" s="98"/>
      <c r="Z111" s="98" t="s">
        <v>142</v>
      </c>
      <c r="AA111" s="98"/>
      <c r="AB111" s="98"/>
      <c r="AC111" s="98"/>
      <c r="AD111" s="98" t="s">
        <v>143</v>
      </c>
      <c r="AE111" s="98"/>
      <c r="AF111" s="98"/>
      <c r="AG111" s="98"/>
      <c r="AH111" s="98" t="s">
        <v>144</v>
      </c>
      <c r="AI111" s="98"/>
      <c r="AJ111" s="98"/>
      <c r="AK111" s="98"/>
      <c r="AL111" s="98" t="s">
        <v>145</v>
      </c>
      <c r="AM111" s="98"/>
      <c r="AN111" s="98"/>
      <c r="AO111" s="99"/>
    </row>
    <row r="112" spans="6:41" x14ac:dyDescent="0.4">
      <c r="F112" s="75" t="s">
        <v>84</v>
      </c>
      <c r="G112" s="75"/>
      <c r="H112" s="75"/>
      <c r="I112" s="21"/>
      <c r="J112" s="100" t="s">
        <v>92</v>
      </c>
      <c r="K112" s="101"/>
      <c r="L112" s="101"/>
      <c r="M112" s="101"/>
      <c r="N112" s="101"/>
      <c r="O112" s="101"/>
      <c r="P112" s="101"/>
      <c r="Q112" s="101"/>
      <c r="R112" s="101"/>
      <c r="S112" s="101"/>
      <c r="T112" s="101"/>
      <c r="U112" s="101"/>
      <c r="V112" s="101"/>
      <c r="W112" s="101"/>
      <c r="X112" s="101"/>
      <c r="Y112" s="101"/>
      <c r="Z112" s="101"/>
      <c r="AA112" s="101"/>
      <c r="AB112" s="101"/>
      <c r="AC112" s="101"/>
      <c r="AD112" s="101"/>
      <c r="AE112" s="101"/>
      <c r="AF112" s="101"/>
      <c r="AG112" s="101"/>
      <c r="AH112" s="101"/>
      <c r="AI112" s="101"/>
      <c r="AJ112" s="101"/>
      <c r="AK112" s="101"/>
      <c r="AL112" s="101"/>
      <c r="AM112" s="101"/>
      <c r="AN112" s="101"/>
      <c r="AO112" s="102"/>
    </row>
    <row r="113" spans="6:41" x14ac:dyDescent="0.4">
      <c r="F113" s="63"/>
      <c r="G113" s="63"/>
      <c r="H113" s="63"/>
      <c r="J113" s="97" t="s">
        <v>146</v>
      </c>
      <c r="K113" s="98"/>
      <c r="L113" s="98"/>
      <c r="M113" s="98"/>
      <c r="N113" s="98" t="s">
        <v>147</v>
      </c>
      <c r="O113" s="98"/>
      <c r="P113" s="98"/>
      <c r="Q113" s="98"/>
      <c r="R113" s="98" t="s">
        <v>148</v>
      </c>
      <c r="S113" s="98"/>
      <c r="T113" s="98"/>
      <c r="U113" s="98"/>
      <c r="V113" s="98" t="s">
        <v>149</v>
      </c>
      <c r="W113" s="98"/>
      <c r="X113" s="98"/>
      <c r="Y113" s="98"/>
      <c r="Z113" s="98" t="s">
        <v>150</v>
      </c>
      <c r="AA113" s="98"/>
      <c r="AB113" s="98"/>
      <c r="AC113" s="98"/>
      <c r="AD113" s="98" t="s">
        <v>151</v>
      </c>
      <c r="AE113" s="98"/>
      <c r="AF113" s="98"/>
      <c r="AG113" s="98"/>
      <c r="AH113" s="98" t="s">
        <v>152</v>
      </c>
      <c r="AI113" s="98"/>
      <c r="AJ113" s="98"/>
      <c r="AK113" s="98"/>
      <c r="AL113" s="98" t="s">
        <v>153</v>
      </c>
      <c r="AM113" s="98"/>
      <c r="AN113" s="98"/>
      <c r="AO113" s="99"/>
    </row>
    <row r="114" spans="6:41" x14ac:dyDescent="0.4">
      <c r="F114" s="75" t="s">
        <v>85</v>
      </c>
      <c r="G114" s="75"/>
      <c r="H114" s="75"/>
      <c r="I114" s="21"/>
      <c r="J114" s="100" t="s">
        <v>92</v>
      </c>
      <c r="K114" s="101"/>
      <c r="L114" s="101"/>
      <c r="M114" s="101"/>
      <c r="N114" s="101"/>
      <c r="O114" s="101"/>
      <c r="P114" s="101"/>
      <c r="Q114" s="101"/>
      <c r="R114" s="101"/>
      <c r="S114" s="101"/>
      <c r="T114" s="101"/>
      <c r="U114" s="101"/>
      <c r="V114" s="101"/>
      <c r="W114" s="101"/>
      <c r="X114" s="101"/>
      <c r="Y114" s="101"/>
      <c r="Z114" s="101"/>
      <c r="AA114" s="101"/>
      <c r="AB114" s="101"/>
      <c r="AC114" s="101"/>
      <c r="AD114" s="101"/>
      <c r="AE114" s="101"/>
      <c r="AF114" s="101"/>
      <c r="AG114" s="101"/>
      <c r="AH114" s="101"/>
      <c r="AI114" s="101"/>
      <c r="AJ114" s="101"/>
      <c r="AK114" s="101"/>
      <c r="AL114" s="101"/>
      <c r="AM114" s="101"/>
      <c r="AN114" s="101"/>
      <c r="AO114" s="102"/>
    </row>
    <row r="115" spans="6:41" x14ac:dyDescent="0.4">
      <c r="F115" s="93"/>
      <c r="G115" s="93"/>
      <c r="H115" s="93"/>
      <c r="I115" s="2"/>
      <c r="J115" s="97" t="s">
        <v>154</v>
      </c>
      <c r="K115" s="98"/>
      <c r="L115" s="98"/>
      <c r="M115" s="98"/>
      <c r="N115" s="98" t="s">
        <v>155</v>
      </c>
      <c r="O115" s="98"/>
      <c r="P115" s="98"/>
      <c r="Q115" s="98"/>
      <c r="R115" s="98" t="s">
        <v>156</v>
      </c>
      <c r="S115" s="98"/>
      <c r="T115" s="98"/>
      <c r="U115" s="98"/>
      <c r="V115" s="98" t="s">
        <v>157</v>
      </c>
      <c r="W115" s="98"/>
      <c r="X115" s="98"/>
      <c r="Y115" s="98"/>
      <c r="Z115" s="98" t="s">
        <v>158</v>
      </c>
      <c r="AA115" s="98"/>
      <c r="AB115" s="98"/>
      <c r="AC115" s="98"/>
      <c r="AD115" s="98" t="s">
        <v>159</v>
      </c>
      <c r="AE115" s="98"/>
      <c r="AF115" s="98"/>
      <c r="AG115" s="98"/>
      <c r="AH115" s="98" t="s">
        <v>160</v>
      </c>
      <c r="AI115" s="98"/>
      <c r="AJ115" s="98"/>
      <c r="AK115" s="98"/>
      <c r="AL115" s="98" t="s">
        <v>161</v>
      </c>
      <c r="AM115" s="98"/>
      <c r="AN115" s="98"/>
      <c r="AO115" s="99"/>
    </row>
    <row r="116" spans="6:41" x14ac:dyDescent="0.4">
      <c r="F116" s="75" t="s">
        <v>86</v>
      </c>
      <c r="G116" s="75"/>
      <c r="H116" s="75"/>
      <c r="I116" s="21"/>
      <c r="J116" s="100" t="s">
        <v>92</v>
      </c>
      <c r="K116" s="101"/>
      <c r="L116" s="101"/>
      <c r="M116" s="101"/>
      <c r="N116" s="101"/>
      <c r="O116" s="101"/>
      <c r="P116" s="101"/>
      <c r="Q116" s="101"/>
      <c r="R116" s="101"/>
      <c r="S116" s="101"/>
      <c r="T116" s="101"/>
      <c r="U116" s="101"/>
      <c r="V116" s="101"/>
      <c r="W116" s="101"/>
      <c r="X116" s="101"/>
      <c r="Y116" s="101"/>
      <c r="Z116" s="101"/>
      <c r="AA116" s="101"/>
      <c r="AB116" s="101"/>
      <c r="AC116" s="101"/>
      <c r="AD116" s="101"/>
      <c r="AE116" s="101"/>
      <c r="AF116" s="101"/>
      <c r="AG116" s="101"/>
      <c r="AH116" s="101"/>
      <c r="AI116" s="101"/>
      <c r="AJ116" s="101"/>
      <c r="AK116" s="101"/>
      <c r="AL116" s="101"/>
      <c r="AM116" s="101"/>
      <c r="AN116" s="101"/>
      <c r="AO116" s="102"/>
    </row>
    <row r="117" spans="6:41" ht="19.5" thickBot="1" x14ac:dyDescent="0.45">
      <c r="F117" s="63"/>
      <c r="G117" s="63"/>
      <c r="H117" s="63"/>
      <c r="I117" s="2"/>
      <c r="J117" s="89" t="s">
        <v>162</v>
      </c>
      <c r="K117" s="90"/>
      <c r="L117" s="90"/>
      <c r="M117" s="90"/>
      <c r="N117" s="90" t="s">
        <v>163</v>
      </c>
      <c r="O117" s="90"/>
      <c r="P117" s="90"/>
      <c r="Q117" s="90"/>
      <c r="R117" s="90" t="s">
        <v>164</v>
      </c>
      <c r="S117" s="90"/>
      <c r="T117" s="90"/>
      <c r="U117" s="90"/>
      <c r="V117" s="90" t="s">
        <v>165</v>
      </c>
      <c r="W117" s="90"/>
      <c r="X117" s="90"/>
      <c r="Y117" s="90"/>
      <c r="Z117" s="90" t="s">
        <v>166</v>
      </c>
      <c r="AA117" s="90"/>
      <c r="AB117" s="90"/>
      <c r="AC117" s="90"/>
      <c r="AD117" s="90" t="s">
        <v>167</v>
      </c>
      <c r="AE117" s="90"/>
      <c r="AF117" s="90"/>
      <c r="AG117" s="90"/>
      <c r="AH117" s="90" t="s">
        <v>168</v>
      </c>
      <c r="AI117" s="90"/>
      <c r="AJ117" s="90"/>
      <c r="AK117" s="90"/>
      <c r="AL117" s="90" t="s">
        <v>169</v>
      </c>
      <c r="AM117" s="90"/>
      <c r="AN117" s="90"/>
      <c r="AO117" s="92"/>
    </row>
    <row r="118" spans="6:41" ht="19.5" thickTop="1" x14ac:dyDescent="0.4">
      <c r="F118" s="75" t="s">
        <v>170</v>
      </c>
      <c r="G118" s="75"/>
      <c r="H118" s="75"/>
      <c r="I118" s="21"/>
      <c r="J118" s="112" t="s">
        <v>93</v>
      </c>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c r="AO118" s="114"/>
    </row>
    <row r="119" spans="6:41" x14ac:dyDescent="0.4">
      <c r="F119" s="93"/>
      <c r="G119" s="93"/>
      <c r="H119" s="93"/>
      <c r="I119" s="2"/>
      <c r="J119" s="97" t="s">
        <v>2</v>
      </c>
      <c r="K119" s="98"/>
      <c r="L119" s="98"/>
      <c r="M119" s="98"/>
      <c r="N119" s="98" t="s">
        <v>6</v>
      </c>
      <c r="O119" s="98"/>
      <c r="P119" s="98"/>
      <c r="Q119" s="98"/>
      <c r="R119" s="98" t="s">
        <v>5</v>
      </c>
      <c r="S119" s="98"/>
      <c r="T119" s="98"/>
      <c r="U119" s="98"/>
      <c r="V119" s="98" t="s">
        <v>4</v>
      </c>
      <c r="W119" s="98"/>
      <c r="X119" s="98"/>
      <c r="Y119" s="98"/>
      <c r="Z119" s="98" t="s">
        <v>3</v>
      </c>
      <c r="AA119" s="98"/>
      <c r="AB119" s="98"/>
      <c r="AC119" s="98"/>
      <c r="AD119" s="98" t="s">
        <v>53</v>
      </c>
      <c r="AE119" s="98"/>
      <c r="AF119" s="98"/>
      <c r="AG119" s="98"/>
      <c r="AH119" s="98" t="s">
        <v>54</v>
      </c>
      <c r="AI119" s="98"/>
      <c r="AJ119" s="98"/>
      <c r="AK119" s="98"/>
      <c r="AL119" s="98" t="s">
        <v>55</v>
      </c>
      <c r="AM119" s="98"/>
      <c r="AN119" s="98"/>
      <c r="AO119" s="99"/>
    </row>
    <row r="120" spans="6:41" x14ac:dyDescent="0.4">
      <c r="F120" s="63" t="s">
        <v>171</v>
      </c>
      <c r="G120" s="63"/>
      <c r="H120" s="63"/>
      <c r="I120" s="21"/>
      <c r="J120" s="118" t="s">
        <v>93</v>
      </c>
      <c r="K120" s="119"/>
      <c r="L120" s="119"/>
      <c r="M120" s="119"/>
      <c r="N120" s="119"/>
      <c r="O120" s="119"/>
      <c r="P120" s="119"/>
      <c r="Q120" s="119"/>
      <c r="R120" s="119"/>
      <c r="S120" s="119"/>
      <c r="T120" s="119"/>
      <c r="U120" s="119"/>
      <c r="V120" s="119"/>
      <c r="W120" s="119"/>
      <c r="X120" s="119"/>
      <c r="Y120" s="119"/>
      <c r="Z120" s="119"/>
      <c r="AA120" s="119"/>
      <c r="AB120" s="119"/>
      <c r="AC120" s="119"/>
      <c r="AD120" s="119"/>
      <c r="AE120" s="119"/>
      <c r="AF120" s="119"/>
      <c r="AG120" s="119"/>
      <c r="AH120" s="119"/>
      <c r="AI120" s="119"/>
      <c r="AJ120" s="119"/>
      <c r="AK120" s="119"/>
      <c r="AL120" s="119"/>
      <c r="AM120" s="119"/>
      <c r="AN120" s="119"/>
      <c r="AO120" s="120"/>
    </row>
    <row r="121" spans="6:41" x14ac:dyDescent="0.4">
      <c r="F121" s="63"/>
      <c r="G121" s="63"/>
      <c r="H121" s="63"/>
      <c r="J121" s="97" t="s">
        <v>56</v>
      </c>
      <c r="K121" s="98"/>
      <c r="L121" s="98"/>
      <c r="M121" s="98"/>
      <c r="N121" s="98" t="s">
        <v>57</v>
      </c>
      <c r="O121" s="98"/>
      <c r="P121" s="98"/>
      <c r="Q121" s="98"/>
      <c r="R121" s="98" t="s">
        <v>58</v>
      </c>
      <c r="S121" s="98"/>
      <c r="T121" s="98"/>
      <c r="U121" s="98"/>
      <c r="V121" s="98" t="s">
        <v>59</v>
      </c>
      <c r="W121" s="98"/>
      <c r="X121" s="98"/>
      <c r="Y121" s="98"/>
      <c r="Z121" s="98" t="s">
        <v>60</v>
      </c>
      <c r="AA121" s="98"/>
      <c r="AB121" s="98"/>
      <c r="AC121" s="98"/>
      <c r="AD121" s="98" t="s">
        <v>61</v>
      </c>
      <c r="AE121" s="98"/>
      <c r="AF121" s="98"/>
      <c r="AG121" s="98"/>
      <c r="AH121" s="98" t="s">
        <v>62</v>
      </c>
      <c r="AI121" s="98"/>
      <c r="AJ121" s="98"/>
      <c r="AK121" s="98"/>
      <c r="AL121" s="98" t="s">
        <v>63</v>
      </c>
      <c r="AM121" s="98"/>
      <c r="AN121" s="98"/>
      <c r="AO121" s="99"/>
    </row>
    <row r="122" spans="6:41" x14ac:dyDescent="0.4">
      <c r="F122" s="75" t="s">
        <v>172</v>
      </c>
      <c r="G122" s="75"/>
      <c r="H122" s="75"/>
      <c r="I122" s="21"/>
      <c r="J122" s="118" t="s">
        <v>93</v>
      </c>
      <c r="K122" s="119"/>
      <c r="L122" s="119"/>
      <c r="M122" s="119"/>
      <c r="N122" s="119"/>
      <c r="O122" s="119"/>
      <c r="P122" s="119"/>
      <c r="Q122" s="119"/>
      <c r="R122" s="119"/>
      <c r="S122" s="119"/>
      <c r="T122" s="119"/>
      <c r="U122" s="119"/>
      <c r="V122" s="119"/>
      <c r="W122" s="119"/>
      <c r="X122" s="119"/>
      <c r="Y122" s="119"/>
      <c r="Z122" s="119"/>
      <c r="AA122" s="119"/>
      <c r="AB122" s="119"/>
      <c r="AC122" s="119"/>
      <c r="AD122" s="119"/>
      <c r="AE122" s="119"/>
      <c r="AF122" s="119"/>
      <c r="AG122" s="119"/>
      <c r="AH122" s="119"/>
      <c r="AI122" s="119"/>
      <c r="AJ122" s="119"/>
      <c r="AK122" s="119"/>
      <c r="AL122" s="119"/>
      <c r="AM122" s="119"/>
      <c r="AN122" s="119"/>
      <c r="AO122" s="120"/>
    </row>
    <row r="123" spans="6:41" x14ac:dyDescent="0.4">
      <c r="F123" s="63"/>
      <c r="G123" s="63"/>
      <c r="H123" s="63"/>
      <c r="I123" s="2"/>
      <c r="J123" s="97" t="s">
        <v>64</v>
      </c>
      <c r="K123" s="98"/>
      <c r="L123" s="98"/>
      <c r="M123" s="98"/>
      <c r="N123" s="98" t="s">
        <v>65</v>
      </c>
      <c r="O123" s="98"/>
      <c r="P123" s="98"/>
      <c r="Q123" s="98"/>
      <c r="R123" s="98" t="s">
        <v>66</v>
      </c>
      <c r="S123" s="98"/>
      <c r="T123" s="98"/>
      <c r="U123" s="98"/>
      <c r="V123" s="98" t="s">
        <v>67</v>
      </c>
      <c r="W123" s="98"/>
      <c r="X123" s="98"/>
      <c r="Y123" s="98"/>
      <c r="Z123" s="98" t="s">
        <v>68</v>
      </c>
      <c r="AA123" s="98"/>
      <c r="AB123" s="98"/>
      <c r="AC123" s="98"/>
      <c r="AD123" s="98" t="s">
        <v>69</v>
      </c>
      <c r="AE123" s="98"/>
      <c r="AF123" s="98"/>
      <c r="AG123" s="98"/>
      <c r="AH123" s="98" t="s">
        <v>70</v>
      </c>
      <c r="AI123" s="98"/>
      <c r="AJ123" s="98"/>
      <c r="AK123" s="98"/>
      <c r="AL123" s="98" t="s">
        <v>71</v>
      </c>
      <c r="AM123" s="98"/>
      <c r="AN123" s="98"/>
      <c r="AO123" s="99"/>
    </row>
    <row r="124" spans="6:41" x14ac:dyDescent="0.4">
      <c r="F124" s="75" t="s">
        <v>173</v>
      </c>
      <c r="G124" s="75"/>
      <c r="H124" s="75"/>
      <c r="I124" s="21"/>
      <c r="J124" s="118" t="s">
        <v>93</v>
      </c>
      <c r="K124" s="119"/>
      <c r="L124" s="119"/>
      <c r="M124" s="119"/>
      <c r="N124" s="119"/>
      <c r="O124" s="119"/>
      <c r="P124" s="119"/>
      <c r="Q124" s="119"/>
      <c r="R124" s="119"/>
      <c r="S124" s="119"/>
      <c r="T124" s="119"/>
      <c r="U124" s="119"/>
      <c r="V124" s="119"/>
      <c r="W124" s="119"/>
      <c r="X124" s="119"/>
      <c r="Y124" s="119"/>
      <c r="Z124" s="119"/>
      <c r="AA124" s="119"/>
      <c r="AB124" s="119"/>
      <c r="AC124" s="119"/>
      <c r="AD124" s="119"/>
      <c r="AE124" s="119"/>
      <c r="AF124" s="119"/>
      <c r="AG124" s="119"/>
      <c r="AH124" s="119"/>
      <c r="AI124" s="119"/>
      <c r="AJ124" s="119"/>
      <c r="AK124" s="119"/>
      <c r="AL124" s="119"/>
      <c r="AM124" s="119"/>
      <c r="AN124" s="119"/>
      <c r="AO124" s="120"/>
    </row>
    <row r="125" spans="6:41" x14ac:dyDescent="0.4">
      <c r="F125" s="63"/>
      <c r="G125" s="63"/>
      <c r="H125" s="63"/>
      <c r="I125" s="2"/>
      <c r="J125" s="97" t="s">
        <v>72</v>
      </c>
      <c r="K125" s="98"/>
      <c r="L125" s="98"/>
      <c r="M125" s="98"/>
      <c r="N125" s="98" t="s">
        <v>73</v>
      </c>
      <c r="O125" s="98"/>
      <c r="P125" s="98"/>
      <c r="Q125" s="98"/>
      <c r="R125" s="98" t="s">
        <v>74</v>
      </c>
      <c r="S125" s="98"/>
      <c r="T125" s="98"/>
      <c r="U125" s="98"/>
      <c r="V125" s="98" t="s">
        <v>75</v>
      </c>
      <c r="W125" s="98"/>
      <c r="X125" s="98"/>
      <c r="Y125" s="98"/>
      <c r="Z125" s="98" t="s">
        <v>76</v>
      </c>
      <c r="AA125" s="98"/>
      <c r="AB125" s="98"/>
      <c r="AC125" s="98"/>
      <c r="AD125" s="98" t="s">
        <v>77</v>
      </c>
      <c r="AE125" s="98"/>
      <c r="AF125" s="98"/>
      <c r="AG125" s="98"/>
      <c r="AH125" s="98" t="s">
        <v>78</v>
      </c>
      <c r="AI125" s="98"/>
      <c r="AJ125" s="98"/>
      <c r="AK125" s="98"/>
      <c r="AL125" s="98" t="s">
        <v>79</v>
      </c>
      <c r="AM125" s="98"/>
      <c r="AN125" s="98"/>
      <c r="AO125" s="99"/>
    </row>
    <row r="126" spans="6:41" x14ac:dyDescent="0.4">
      <c r="F126" s="75" t="s">
        <v>175</v>
      </c>
      <c r="G126" s="75"/>
      <c r="H126" s="75"/>
      <c r="I126" s="21"/>
      <c r="J126" s="121" t="s">
        <v>93</v>
      </c>
      <c r="K126" s="122"/>
      <c r="L126" s="122"/>
      <c r="M126" s="122"/>
      <c r="N126" s="122"/>
      <c r="O126" s="122"/>
      <c r="P126" s="122"/>
      <c r="Q126" s="122"/>
      <c r="R126" s="122"/>
      <c r="S126" s="122"/>
      <c r="T126" s="122"/>
      <c r="U126" s="122"/>
      <c r="V126" s="122"/>
      <c r="W126" s="122"/>
      <c r="X126" s="122"/>
      <c r="Y126" s="122"/>
      <c r="Z126" s="122"/>
      <c r="AA126" s="122"/>
      <c r="AB126" s="122"/>
      <c r="AC126" s="122"/>
      <c r="AD126" s="122"/>
      <c r="AE126" s="122"/>
      <c r="AF126" s="122"/>
      <c r="AG126" s="122"/>
      <c r="AH126" s="122"/>
      <c r="AI126" s="122"/>
      <c r="AJ126" s="122"/>
      <c r="AK126" s="122"/>
      <c r="AL126" s="122"/>
      <c r="AM126" s="122"/>
      <c r="AN126" s="122"/>
      <c r="AO126" s="123"/>
    </row>
    <row r="127" spans="6:41" x14ac:dyDescent="0.4">
      <c r="F127" s="63"/>
      <c r="G127" s="63"/>
      <c r="H127" s="63"/>
      <c r="I127" s="2"/>
      <c r="J127" s="97" t="s">
        <v>138</v>
      </c>
      <c r="K127" s="98"/>
      <c r="L127" s="98"/>
      <c r="M127" s="98"/>
      <c r="N127" s="98" t="s">
        <v>139</v>
      </c>
      <c r="O127" s="98"/>
      <c r="P127" s="98"/>
      <c r="Q127" s="98"/>
      <c r="R127" s="98" t="s">
        <v>140</v>
      </c>
      <c r="S127" s="98"/>
      <c r="T127" s="98"/>
      <c r="U127" s="98"/>
      <c r="V127" s="98" t="s">
        <v>141</v>
      </c>
      <c r="W127" s="98"/>
      <c r="X127" s="98"/>
      <c r="Y127" s="98"/>
      <c r="Z127" s="98" t="s">
        <v>142</v>
      </c>
      <c r="AA127" s="98"/>
      <c r="AB127" s="98"/>
      <c r="AC127" s="98"/>
      <c r="AD127" s="98" t="s">
        <v>143</v>
      </c>
      <c r="AE127" s="98"/>
      <c r="AF127" s="98"/>
      <c r="AG127" s="98"/>
      <c r="AH127" s="98" t="s">
        <v>144</v>
      </c>
      <c r="AI127" s="98"/>
      <c r="AJ127" s="98"/>
      <c r="AK127" s="98"/>
      <c r="AL127" s="98" t="s">
        <v>145</v>
      </c>
      <c r="AM127" s="98"/>
      <c r="AN127" s="98"/>
      <c r="AO127" s="99"/>
    </row>
    <row r="128" spans="6:41" x14ac:dyDescent="0.4">
      <c r="F128" s="75" t="s">
        <v>176</v>
      </c>
      <c r="G128" s="75"/>
      <c r="H128" s="75"/>
      <c r="I128" s="21"/>
      <c r="J128" s="118" t="s">
        <v>93</v>
      </c>
      <c r="K128" s="119"/>
      <c r="L128" s="119"/>
      <c r="M128" s="119"/>
      <c r="N128" s="119"/>
      <c r="O128" s="119"/>
      <c r="P128" s="119"/>
      <c r="Q128" s="119"/>
      <c r="R128" s="119"/>
      <c r="S128" s="119"/>
      <c r="T128" s="119"/>
      <c r="U128" s="119"/>
      <c r="V128" s="119"/>
      <c r="W128" s="119"/>
      <c r="X128" s="119"/>
      <c r="Y128" s="119"/>
      <c r="Z128" s="119"/>
      <c r="AA128" s="119"/>
      <c r="AB128" s="119"/>
      <c r="AC128" s="119"/>
      <c r="AD128" s="119"/>
      <c r="AE128" s="119"/>
      <c r="AF128" s="119"/>
      <c r="AG128" s="119"/>
      <c r="AH128" s="119"/>
      <c r="AI128" s="119"/>
      <c r="AJ128" s="119"/>
      <c r="AK128" s="119"/>
      <c r="AL128" s="119"/>
      <c r="AM128" s="119"/>
      <c r="AN128" s="119"/>
      <c r="AO128" s="120"/>
    </row>
    <row r="129" spans="6:41" x14ac:dyDescent="0.4">
      <c r="F129" s="63"/>
      <c r="G129" s="63"/>
      <c r="H129" s="63"/>
      <c r="J129" s="97" t="s">
        <v>146</v>
      </c>
      <c r="K129" s="98"/>
      <c r="L129" s="98"/>
      <c r="M129" s="98"/>
      <c r="N129" s="98" t="s">
        <v>147</v>
      </c>
      <c r="O129" s="98"/>
      <c r="P129" s="98"/>
      <c r="Q129" s="98"/>
      <c r="R129" s="98" t="s">
        <v>148</v>
      </c>
      <c r="S129" s="98"/>
      <c r="T129" s="98"/>
      <c r="U129" s="98"/>
      <c r="V129" s="98" t="s">
        <v>149</v>
      </c>
      <c r="W129" s="98"/>
      <c r="X129" s="98"/>
      <c r="Y129" s="98"/>
      <c r="Z129" s="98" t="s">
        <v>150</v>
      </c>
      <c r="AA129" s="98"/>
      <c r="AB129" s="98"/>
      <c r="AC129" s="98"/>
      <c r="AD129" s="98" t="s">
        <v>151</v>
      </c>
      <c r="AE129" s="98"/>
      <c r="AF129" s="98"/>
      <c r="AG129" s="98"/>
      <c r="AH129" s="98" t="s">
        <v>152</v>
      </c>
      <c r="AI129" s="98"/>
      <c r="AJ129" s="98"/>
      <c r="AK129" s="98"/>
      <c r="AL129" s="98" t="s">
        <v>153</v>
      </c>
      <c r="AM129" s="98"/>
      <c r="AN129" s="98"/>
      <c r="AO129" s="99"/>
    </row>
    <row r="130" spans="6:41" x14ac:dyDescent="0.4">
      <c r="F130" s="75" t="s">
        <v>177</v>
      </c>
      <c r="G130" s="75"/>
      <c r="H130" s="75"/>
      <c r="I130" s="21"/>
      <c r="J130" s="118" t="s">
        <v>93</v>
      </c>
      <c r="K130" s="119"/>
      <c r="L130" s="119"/>
      <c r="M130" s="119"/>
      <c r="N130" s="119"/>
      <c r="O130" s="119"/>
      <c r="P130" s="119"/>
      <c r="Q130" s="119"/>
      <c r="R130" s="119"/>
      <c r="S130" s="119"/>
      <c r="T130" s="119"/>
      <c r="U130" s="119"/>
      <c r="V130" s="119"/>
      <c r="W130" s="119"/>
      <c r="X130" s="119"/>
      <c r="Y130" s="119"/>
      <c r="Z130" s="119"/>
      <c r="AA130" s="119"/>
      <c r="AB130" s="119"/>
      <c r="AC130" s="119"/>
      <c r="AD130" s="119"/>
      <c r="AE130" s="119"/>
      <c r="AF130" s="119"/>
      <c r="AG130" s="119"/>
      <c r="AH130" s="119"/>
      <c r="AI130" s="119"/>
      <c r="AJ130" s="119"/>
      <c r="AK130" s="119"/>
      <c r="AL130" s="119"/>
      <c r="AM130" s="119"/>
      <c r="AN130" s="119"/>
      <c r="AO130" s="120"/>
    </row>
    <row r="131" spans="6:41" x14ac:dyDescent="0.4">
      <c r="F131" s="93"/>
      <c r="G131" s="93"/>
      <c r="H131" s="93"/>
      <c r="I131" s="2"/>
      <c r="J131" s="97" t="s">
        <v>154</v>
      </c>
      <c r="K131" s="98"/>
      <c r="L131" s="98"/>
      <c r="M131" s="98"/>
      <c r="N131" s="98" t="s">
        <v>155</v>
      </c>
      <c r="O131" s="98"/>
      <c r="P131" s="98"/>
      <c r="Q131" s="98"/>
      <c r="R131" s="98" t="s">
        <v>156</v>
      </c>
      <c r="S131" s="98"/>
      <c r="T131" s="98"/>
      <c r="U131" s="98"/>
      <c r="V131" s="98" t="s">
        <v>157</v>
      </c>
      <c r="W131" s="98"/>
      <c r="X131" s="98"/>
      <c r="Y131" s="98"/>
      <c r="Z131" s="98" t="s">
        <v>158</v>
      </c>
      <c r="AA131" s="98"/>
      <c r="AB131" s="98"/>
      <c r="AC131" s="98"/>
      <c r="AD131" s="98" t="s">
        <v>159</v>
      </c>
      <c r="AE131" s="98"/>
      <c r="AF131" s="98"/>
      <c r="AG131" s="98"/>
      <c r="AH131" s="98" t="s">
        <v>160</v>
      </c>
      <c r="AI131" s="98"/>
      <c r="AJ131" s="98"/>
      <c r="AK131" s="98"/>
      <c r="AL131" s="98" t="s">
        <v>161</v>
      </c>
      <c r="AM131" s="98"/>
      <c r="AN131" s="98"/>
      <c r="AO131" s="99"/>
    </row>
    <row r="132" spans="6:41" x14ac:dyDescent="0.4">
      <c r="F132" s="75" t="s">
        <v>174</v>
      </c>
      <c r="G132" s="75"/>
      <c r="H132" s="75"/>
      <c r="I132" s="21"/>
      <c r="J132" s="118" t="s">
        <v>93</v>
      </c>
      <c r="K132" s="119"/>
      <c r="L132" s="119"/>
      <c r="M132" s="119"/>
      <c r="N132" s="119"/>
      <c r="O132" s="119"/>
      <c r="P132" s="119"/>
      <c r="Q132" s="119"/>
      <c r="R132" s="119"/>
      <c r="S132" s="119"/>
      <c r="T132" s="119"/>
      <c r="U132" s="119"/>
      <c r="V132" s="119"/>
      <c r="W132" s="119"/>
      <c r="X132" s="119"/>
      <c r="Y132" s="119"/>
      <c r="Z132" s="119"/>
      <c r="AA132" s="119"/>
      <c r="AB132" s="119"/>
      <c r="AC132" s="119"/>
      <c r="AD132" s="119"/>
      <c r="AE132" s="119"/>
      <c r="AF132" s="119"/>
      <c r="AG132" s="119"/>
      <c r="AH132" s="119"/>
      <c r="AI132" s="119"/>
      <c r="AJ132" s="119"/>
      <c r="AK132" s="119"/>
      <c r="AL132" s="119"/>
      <c r="AM132" s="119"/>
      <c r="AN132" s="119"/>
      <c r="AO132" s="120"/>
    </row>
    <row r="133" spans="6:41" ht="19.5" thickBot="1" x14ac:dyDescent="0.45">
      <c r="F133" s="63"/>
      <c r="G133" s="63"/>
      <c r="H133" s="63"/>
      <c r="I133" s="2"/>
      <c r="J133" s="89" t="s">
        <v>162</v>
      </c>
      <c r="K133" s="90"/>
      <c r="L133" s="90"/>
      <c r="M133" s="90"/>
      <c r="N133" s="90" t="s">
        <v>163</v>
      </c>
      <c r="O133" s="90"/>
      <c r="P133" s="90"/>
      <c r="Q133" s="90"/>
      <c r="R133" s="90" t="s">
        <v>164</v>
      </c>
      <c r="S133" s="90"/>
      <c r="T133" s="90"/>
      <c r="U133" s="90"/>
      <c r="V133" s="90" t="s">
        <v>165</v>
      </c>
      <c r="W133" s="90"/>
      <c r="X133" s="90"/>
      <c r="Y133" s="90"/>
      <c r="Z133" s="90" t="s">
        <v>166</v>
      </c>
      <c r="AA133" s="90"/>
      <c r="AB133" s="90"/>
      <c r="AC133" s="90"/>
      <c r="AD133" s="90" t="s">
        <v>167</v>
      </c>
      <c r="AE133" s="90"/>
      <c r="AF133" s="90"/>
      <c r="AG133" s="90"/>
      <c r="AH133" s="90" t="s">
        <v>168</v>
      </c>
      <c r="AI133" s="90"/>
      <c r="AJ133" s="90"/>
      <c r="AK133" s="90"/>
      <c r="AL133" s="90" t="s">
        <v>169</v>
      </c>
      <c r="AM133" s="90"/>
      <c r="AN133" s="90"/>
      <c r="AO133" s="92"/>
    </row>
    <row r="134" spans="6:41" ht="19.5" thickTop="1" x14ac:dyDescent="0.4">
      <c r="F134" s="75" t="s">
        <v>0</v>
      </c>
      <c r="G134" s="75"/>
      <c r="H134" s="75"/>
      <c r="I134" s="21"/>
      <c r="J134" s="106" t="s">
        <v>0</v>
      </c>
      <c r="K134" s="107"/>
      <c r="L134" s="107"/>
      <c r="M134" s="107"/>
      <c r="N134" s="107"/>
      <c r="O134" s="107"/>
      <c r="P134" s="107"/>
      <c r="Q134" s="107"/>
      <c r="R134" s="107"/>
      <c r="S134" s="107"/>
      <c r="T134" s="107"/>
      <c r="U134" s="107"/>
      <c r="V134" s="107"/>
      <c r="W134" s="107"/>
      <c r="X134" s="107"/>
      <c r="Y134" s="107"/>
      <c r="Z134" s="107"/>
      <c r="AA134" s="107"/>
      <c r="AB134" s="107"/>
      <c r="AC134" s="107"/>
      <c r="AD134" s="107"/>
      <c r="AE134" s="107"/>
      <c r="AF134" s="107"/>
      <c r="AG134" s="107"/>
      <c r="AH134" s="107"/>
      <c r="AI134" s="107"/>
      <c r="AJ134" s="107"/>
      <c r="AK134" s="107"/>
      <c r="AL134" s="107"/>
      <c r="AM134" s="107"/>
      <c r="AN134" s="107"/>
      <c r="AO134" s="108"/>
    </row>
    <row r="135" spans="6:41" ht="19.5" thickBot="1" x14ac:dyDescent="0.45">
      <c r="F135" s="63"/>
      <c r="G135" s="63"/>
      <c r="H135" s="63"/>
      <c r="I135" s="2"/>
      <c r="J135" s="109"/>
      <c r="K135" s="110"/>
      <c r="L135" s="110"/>
      <c r="M135" s="110"/>
      <c r="N135" s="110"/>
      <c r="O135" s="110"/>
      <c r="P135" s="110"/>
      <c r="Q135" s="110"/>
      <c r="R135" s="110"/>
      <c r="S135" s="110"/>
      <c r="T135" s="110"/>
      <c r="U135" s="110"/>
      <c r="V135" s="110"/>
      <c r="W135" s="110"/>
      <c r="X135" s="110"/>
      <c r="Y135" s="110"/>
      <c r="Z135" s="110"/>
      <c r="AA135" s="110"/>
      <c r="AB135" s="110"/>
      <c r="AC135" s="110"/>
      <c r="AD135" s="110"/>
      <c r="AE135" s="110"/>
      <c r="AF135" s="110"/>
      <c r="AG135" s="110"/>
      <c r="AH135" s="110"/>
      <c r="AI135" s="110"/>
      <c r="AJ135" s="110"/>
      <c r="AK135" s="110"/>
      <c r="AL135" s="110"/>
      <c r="AM135" s="110"/>
      <c r="AN135" s="110"/>
      <c r="AO135" s="111"/>
    </row>
    <row r="136" spans="6:41" ht="19.5" thickTop="1" x14ac:dyDescent="0.4">
      <c r="F136" s="115" t="s">
        <v>185</v>
      </c>
      <c r="G136" s="75"/>
      <c r="H136" s="75"/>
      <c r="I136" s="21"/>
      <c r="J136" s="94" t="s">
        <v>126</v>
      </c>
      <c r="K136" s="95"/>
      <c r="L136" s="95"/>
      <c r="M136" s="95"/>
      <c r="N136" s="95"/>
      <c r="O136" s="95"/>
      <c r="P136" s="95"/>
      <c r="Q136" s="95"/>
      <c r="R136" s="95"/>
      <c r="S136" s="95"/>
      <c r="T136" s="95"/>
      <c r="U136" s="95"/>
      <c r="V136" s="95"/>
      <c r="W136" s="95"/>
      <c r="X136" s="95"/>
      <c r="Y136" s="95"/>
      <c r="Z136" s="95"/>
      <c r="AA136" s="95"/>
      <c r="AB136" s="95"/>
      <c r="AC136" s="95"/>
      <c r="AD136" s="95"/>
      <c r="AE136" s="95"/>
      <c r="AF136" s="95"/>
      <c r="AG136" s="95"/>
      <c r="AH136" s="95"/>
      <c r="AI136" s="95"/>
      <c r="AJ136" s="95"/>
      <c r="AK136" s="95"/>
      <c r="AL136" s="95"/>
      <c r="AM136" s="95"/>
      <c r="AN136" s="95"/>
      <c r="AO136" s="96"/>
    </row>
    <row r="137" spans="6:41" x14ac:dyDescent="0.4">
      <c r="F137" s="93"/>
      <c r="G137" s="93"/>
      <c r="H137" s="93"/>
      <c r="I137" s="2"/>
      <c r="J137" s="97" t="s">
        <v>2</v>
      </c>
      <c r="K137" s="98"/>
      <c r="L137" s="98"/>
      <c r="M137" s="98"/>
      <c r="N137" s="98" t="s">
        <v>6</v>
      </c>
      <c r="O137" s="98"/>
      <c r="P137" s="98"/>
      <c r="Q137" s="98"/>
      <c r="R137" s="98" t="s">
        <v>5</v>
      </c>
      <c r="S137" s="98"/>
      <c r="T137" s="98"/>
      <c r="U137" s="98"/>
      <c r="V137" s="98" t="s">
        <v>4</v>
      </c>
      <c r="W137" s="98"/>
      <c r="X137" s="98"/>
      <c r="Y137" s="98"/>
      <c r="Z137" s="98" t="s">
        <v>3</v>
      </c>
      <c r="AA137" s="98"/>
      <c r="AB137" s="98"/>
      <c r="AC137" s="98"/>
      <c r="AD137" s="98" t="s">
        <v>53</v>
      </c>
      <c r="AE137" s="98"/>
      <c r="AF137" s="98"/>
      <c r="AG137" s="98"/>
      <c r="AH137" s="98" t="s">
        <v>54</v>
      </c>
      <c r="AI137" s="98"/>
      <c r="AJ137" s="98"/>
      <c r="AK137" s="98"/>
      <c r="AL137" s="98" t="s">
        <v>55</v>
      </c>
      <c r="AM137" s="98"/>
      <c r="AN137" s="98"/>
      <c r="AO137" s="99"/>
    </row>
    <row r="138" spans="6:41" x14ac:dyDescent="0.4">
      <c r="F138" s="115" t="s">
        <v>184</v>
      </c>
      <c r="G138" s="75"/>
      <c r="H138" s="75"/>
      <c r="I138" s="21"/>
      <c r="J138" s="100" t="s">
        <v>126</v>
      </c>
      <c r="K138" s="101"/>
      <c r="L138" s="101"/>
      <c r="M138" s="101"/>
      <c r="N138" s="101"/>
      <c r="O138" s="101"/>
      <c r="P138" s="101"/>
      <c r="Q138" s="101"/>
      <c r="R138" s="101"/>
      <c r="S138" s="101"/>
      <c r="T138" s="101"/>
      <c r="U138" s="101"/>
      <c r="V138" s="101"/>
      <c r="W138" s="101"/>
      <c r="X138" s="101"/>
      <c r="Y138" s="101"/>
      <c r="Z138" s="101"/>
      <c r="AA138" s="101"/>
      <c r="AB138" s="101"/>
      <c r="AC138" s="101"/>
      <c r="AD138" s="101"/>
      <c r="AE138" s="101"/>
      <c r="AF138" s="101"/>
      <c r="AG138" s="101"/>
      <c r="AH138" s="101"/>
      <c r="AI138" s="101"/>
      <c r="AJ138" s="101"/>
      <c r="AK138" s="101"/>
      <c r="AL138" s="101"/>
      <c r="AM138" s="101"/>
      <c r="AN138" s="101"/>
      <c r="AO138" s="102"/>
    </row>
    <row r="139" spans="6:41" x14ac:dyDescent="0.4">
      <c r="F139" s="93"/>
      <c r="G139" s="93"/>
      <c r="H139" s="93"/>
      <c r="J139" s="97" t="s">
        <v>56</v>
      </c>
      <c r="K139" s="98"/>
      <c r="L139" s="98"/>
      <c r="M139" s="98"/>
      <c r="N139" s="98" t="s">
        <v>57</v>
      </c>
      <c r="O139" s="98"/>
      <c r="P139" s="98"/>
      <c r="Q139" s="98"/>
      <c r="R139" s="98" t="s">
        <v>58</v>
      </c>
      <c r="S139" s="98"/>
      <c r="T139" s="98"/>
      <c r="U139" s="98"/>
      <c r="V139" s="98" t="s">
        <v>59</v>
      </c>
      <c r="W139" s="98"/>
      <c r="X139" s="98"/>
      <c r="Y139" s="98"/>
      <c r="Z139" s="98" t="s">
        <v>60</v>
      </c>
      <c r="AA139" s="98"/>
      <c r="AB139" s="98"/>
      <c r="AC139" s="98"/>
      <c r="AD139" s="98" t="s">
        <v>61</v>
      </c>
      <c r="AE139" s="98"/>
      <c r="AF139" s="98"/>
      <c r="AG139" s="98"/>
      <c r="AH139" s="98" t="s">
        <v>62</v>
      </c>
      <c r="AI139" s="98"/>
      <c r="AJ139" s="98"/>
      <c r="AK139" s="98"/>
      <c r="AL139" s="98" t="s">
        <v>63</v>
      </c>
      <c r="AM139" s="98"/>
      <c r="AN139" s="98"/>
      <c r="AO139" s="99"/>
    </row>
    <row r="140" spans="6:41" x14ac:dyDescent="0.4">
      <c r="F140" s="115" t="s">
        <v>183</v>
      </c>
      <c r="G140" s="75"/>
      <c r="H140" s="75"/>
      <c r="I140" s="21"/>
      <c r="J140" s="100" t="s">
        <v>126</v>
      </c>
      <c r="K140" s="101"/>
      <c r="L140" s="101"/>
      <c r="M140" s="101"/>
      <c r="N140" s="101"/>
      <c r="O140" s="101"/>
      <c r="P140" s="101"/>
      <c r="Q140" s="101"/>
      <c r="R140" s="101"/>
      <c r="S140" s="101"/>
      <c r="T140" s="101"/>
      <c r="U140" s="101"/>
      <c r="V140" s="101"/>
      <c r="W140" s="101"/>
      <c r="X140" s="101"/>
      <c r="Y140" s="101"/>
      <c r="Z140" s="101"/>
      <c r="AA140" s="101"/>
      <c r="AB140" s="101"/>
      <c r="AC140" s="101"/>
      <c r="AD140" s="101"/>
      <c r="AE140" s="101"/>
      <c r="AF140" s="101"/>
      <c r="AG140" s="101"/>
      <c r="AH140" s="101"/>
      <c r="AI140" s="101"/>
      <c r="AJ140" s="101"/>
      <c r="AK140" s="101"/>
      <c r="AL140" s="101"/>
      <c r="AM140" s="101"/>
      <c r="AN140" s="101"/>
      <c r="AO140" s="102"/>
    </row>
    <row r="141" spans="6:41" x14ac:dyDescent="0.4">
      <c r="F141" s="93"/>
      <c r="G141" s="93"/>
      <c r="H141" s="93"/>
      <c r="I141" s="2"/>
      <c r="J141" s="97" t="s">
        <v>64</v>
      </c>
      <c r="K141" s="98"/>
      <c r="L141" s="98"/>
      <c r="M141" s="98"/>
      <c r="N141" s="98" t="s">
        <v>65</v>
      </c>
      <c r="O141" s="98"/>
      <c r="P141" s="98"/>
      <c r="Q141" s="98"/>
      <c r="R141" s="98" t="s">
        <v>66</v>
      </c>
      <c r="S141" s="98"/>
      <c r="T141" s="98"/>
      <c r="U141" s="98"/>
      <c r="V141" s="98" t="s">
        <v>67</v>
      </c>
      <c r="W141" s="98"/>
      <c r="X141" s="98"/>
      <c r="Y141" s="98"/>
      <c r="Z141" s="98" t="s">
        <v>68</v>
      </c>
      <c r="AA141" s="98"/>
      <c r="AB141" s="98"/>
      <c r="AC141" s="98"/>
      <c r="AD141" s="98" t="s">
        <v>69</v>
      </c>
      <c r="AE141" s="98"/>
      <c r="AF141" s="98"/>
      <c r="AG141" s="98"/>
      <c r="AH141" s="98" t="s">
        <v>70</v>
      </c>
      <c r="AI141" s="98"/>
      <c r="AJ141" s="98"/>
      <c r="AK141" s="98"/>
      <c r="AL141" s="98" t="s">
        <v>71</v>
      </c>
      <c r="AM141" s="98"/>
      <c r="AN141" s="98"/>
      <c r="AO141" s="99"/>
    </row>
    <row r="142" spans="6:41" x14ac:dyDescent="0.4">
      <c r="F142" s="115" t="s">
        <v>182</v>
      </c>
      <c r="G142" s="75"/>
      <c r="H142" s="75"/>
      <c r="I142" s="21"/>
      <c r="J142" s="100" t="s">
        <v>126</v>
      </c>
      <c r="K142" s="101"/>
      <c r="L142" s="101"/>
      <c r="M142" s="101"/>
      <c r="N142" s="101"/>
      <c r="O142" s="101"/>
      <c r="P142" s="101"/>
      <c r="Q142" s="101"/>
      <c r="R142" s="101"/>
      <c r="S142" s="101"/>
      <c r="T142" s="101"/>
      <c r="U142" s="101"/>
      <c r="V142" s="101"/>
      <c r="W142" s="101"/>
      <c r="X142" s="101"/>
      <c r="Y142" s="101"/>
      <c r="Z142" s="101"/>
      <c r="AA142" s="101"/>
      <c r="AB142" s="101"/>
      <c r="AC142" s="101"/>
      <c r="AD142" s="101"/>
      <c r="AE142" s="101"/>
      <c r="AF142" s="101"/>
      <c r="AG142" s="101"/>
      <c r="AH142" s="101"/>
      <c r="AI142" s="101"/>
      <c r="AJ142" s="101"/>
      <c r="AK142" s="101"/>
      <c r="AL142" s="101"/>
      <c r="AM142" s="101"/>
      <c r="AN142" s="101"/>
      <c r="AO142" s="102"/>
    </row>
    <row r="143" spans="6:41" x14ac:dyDescent="0.4">
      <c r="F143" s="93"/>
      <c r="G143" s="93"/>
      <c r="H143" s="93"/>
      <c r="I143" s="2"/>
      <c r="J143" s="97" t="s">
        <v>72</v>
      </c>
      <c r="K143" s="98"/>
      <c r="L143" s="98"/>
      <c r="M143" s="98"/>
      <c r="N143" s="98" t="s">
        <v>73</v>
      </c>
      <c r="O143" s="98"/>
      <c r="P143" s="98"/>
      <c r="Q143" s="98"/>
      <c r="R143" s="98" t="s">
        <v>74</v>
      </c>
      <c r="S143" s="98"/>
      <c r="T143" s="98"/>
      <c r="U143" s="98"/>
      <c r="V143" s="98" t="s">
        <v>75</v>
      </c>
      <c r="W143" s="98"/>
      <c r="X143" s="98"/>
      <c r="Y143" s="98"/>
      <c r="Z143" s="98" t="s">
        <v>76</v>
      </c>
      <c r="AA143" s="98"/>
      <c r="AB143" s="98"/>
      <c r="AC143" s="98"/>
      <c r="AD143" s="98" t="s">
        <v>77</v>
      </c>
      <c r="AE143" s="98"/>
      <c r="AF143" s="98"/>
      <c r="AG143" s="98"/>
      <c r="AH143" s="98" t="s">
        <v>78</v>
      </c>
      <c r="AI143" s="98"/>
      <c r="AJ143" s="98"/>
      <c r="AK143" s="98"/>
      <c r="AL143" s="98" t="s">
        <v>79</v>
      </c>
      <c r="AM143" s="98"/>
      <c r="AN143" s="98"/>
      <c r="AO143" s="99"/>
    </row>
    <row r="144" spans="6:41" x14ac:dyDescent="0.4">
      <c r="F144" s="115" t="s">
        <v>178</v>
      </c>
      <c r="G144" s="115"/>
      <c r="H144" s="115"/>
      <c r="I144" s="21"/>
      <c r="J144" s="103" t="s">
        <v>126</v>
      </c>
      <c r="K144" s="104"/>
      <c r="L144" s="104"/>
      <c r="M144" s="104"/>
      <c r="N144" s="104"/>
      <c r="O144" s="104"/>
      <c r="P144" s="104"/>
      <c r="Q144" s="104"/>
      <c r="R144" s="104"/>
      <c r="S144" s="104"/>
      <c r="T144" s="104"/>
      <c r="U144" s="104"/>
      <c r="V144" s="104"/>
      <c r="W144" s="104"/>
      <c r="X144" s="104"/>
      <c r="Y144" s="104"/>
      <c r="Z144" s="104"/>
      <c r="AA144" s="104"/>
      <c r="AB144" s="104"/>
      <c r="AC144" s="104"/>
      <c r="AD144" s="104"/>
      <c r="AE144" s="104"/>
      <c r="AF144" s="104"/>
      <c r="AG144" s="104"/>
      <c r="AH144" s="104"/>
      <c r="AI144" s="104"/>
      <c r="AJ144" s="104"/>
      <c r="AK144" s="104"/>
      <c r="AL144" s="104"/>
      <c r="AM144" s="104"/>
      <c r="AN144" s="104"/>
      <c r="AO144" s="105"/>
    </row>
    <row r="145" spans="6:41" x14ac:dyDescent="0.4">
      <c r="F145" s="124"/>
      <c r="G145" s="124"/>
      <c r="H145" s="124"/>
      <c r="I145" s="2"/>
      <c r="J145" s="97" t="s">
        <v>138</v>
      </c>
      <c r="K145" s="98"/>
      <c r="L145" s="98"/>
      <c r="M145" s="98"/>
      <c r="N145" s="98" t="s">
        <v>139</v>
      </c>
      <c r="O145" s="98"/>
      <c r="P145" s="98"/>
      <c r="Q145" s="98"/>
      <c r="R145" s="98" t="s">
        <v>140</v>
      </c>
      <c r="S145" s="98"/>
      <c r="T145" s="98"/>
      <c r="U145" s="98"/>
      <c r="V145" s="98" t="s">
        <v>141</v>
      </c>
      <c r="W145" s="98"/>
      <c r="X145" s="98"/>
      <c r="Y145" s="98"/>
      <c r="Z145" s="98" t="s">
        <v>142</v>
      </c>
      <c r="AA145" s="98"/>
      <c r="AB145" s="98"/>
      <c r="AC145" s="98"/>
      <c r="AD145" s="98" t="s">
        <v>143</v>
      </c>
      <c r="AE145" s="98"/>
      <c r="AF145" s="98"/>
      <c r="AG145" s="98"/>
      <c r="AH145" s="98" t="s">
        <v>144</v>
      </c>
      <c r="AI145" s="98"/>
      <c r="AJ145" s="98"/>
      <c r="AK145" s="98"/>
      <c r="AL145" s="98" t="s">
        <v>145</v>
      </c>
      <c r="AM145" s="98"/>
      <c r="AN145" s="98"/>
      <c r="AO145" s="99"/>
    </row>
    <row r="146" spans="6:41" x14ac:dyDescent="0.4">
      <c r="F146" s="115" t="s">
        <v>181</v>
      </c>
      <c r="G146" s="115"/>
      <c r="H146" s="115"/>
      <c r="I146" s="21"/>
      <c r="J146" s="100" t="s">
        <v>126</v>
      </c>
      <c r="K146" s="101"/>
      <c r="L146" s="101"/>
      <c r="M146" s="101"/>
      <c r="N146" s="101"/>
      <c r="O146" s="101"/>
      <c r="P146" s="101"/>
      <c r="Q146" s="101"/>
      <c r="R146" s="101"/>
      <c r="S146" s="101"/>
      <c r="T146" s="101"/>
      <c r="U146" s="101"/>
      <c r="V146" s="101"/>
      <c r="W146" s="101"/>
      <c r="X146" s="101"/>
      <c r="Y146" s="101"/>
      <c r="Z146" s="101"/>
      <c r="AA146" s="101"/>
      <c r="AB146" s="101"/>
      <c r="AC146" s="101"/>
      <c r="AD146" s="101"/>
      <c r="AE146" s="101"/>
      <c r="AF146" s="101"/>
      <c r="AG146" s="101"/>
      <c r="AH146" s="101"/>
      <c r="AI146" s="101"/>
      <c r="AJ146" s="101"/>
      <c r="AK146" s="101"/>
      <c r="AL146" s="101"/>
      <c r="AM146" s="101"/>
      <c r="AN146" s="101"/>
      <c r="AO146" s="102"/>
    </row>
    <row r="147" spans="6:41" x14ac:dyDescent="0.4">
      <c r="F147" s="124"/>
      <c r="G147" s="124"/>
      <c r="H147" s="124"/>
      <c r="J147" s="97" t="s">
        <v>146</v>
      </c>
      <c r="K147" s="98"/>
      <c r="L147" s="98"/>
      <c r="M147" s="98"/>
      <c r="N147" s="98" t="s">
        <v>147</v>
      </c>
      <c r="O147" s="98"/>
      <c r="P147" s="98"/>
      <c r="Q147" s="98"/>
      <c r="R147" s="98" t="s">
        <v>148</v>
      </c>
      <c r="S147" s="98"/>
      <c r="T147" s="98"/>
      <c r="U147" s="98"/>
      <c r="V147" s="98" t="s">
        <v>149</v>
      </c>
      <c r="W147" s="98"/>
      <c r="X147" s="98"/>
      <c r="Y147" s="98"/>
      <c r="Z147" s="98" t="s">
        <v>150</v>
      </c>
      <c r="AA147" s="98"/>
      <c r="AB147" s="98"/>
      <c r="AC147" s="98"/>
      <c r="AD147" s="98" t="s">
        <v>151</v>
      </c>
      <c r="AE147" s="98"/>
      <c r="AF147" s="98"/>
      <c r="AG147" s="98"/>
      <c r="AH147" s="98" t="s">
        <v>152</v>
      </c>
      <c r="AI147" s="98"/>
      <c r="AJ147" s="98"/>
      <c r="AK147" s="98"/>
      <c r="AL147" s="98" t="s">
        <v>153</v>
      </c>
      <c r="AM147" s="98"/>
      <c r="AN147" s="98"/>
      <c r="AO147" s="99"/>
    </row>
    <row r="148" spans="6:41" x14ac:dyDescent="0.4">
      <c r="F148" s="115" t="s">
        <v>180</v>
      </c>
      <c r="G148" s="115"/>
      <c r="H148" s="115"/>
      <c r="I148" s="21"/>
      <c r="J148" s="100" t="s">
        <v>126</v>
      </c>
      <c r="K148" s="101"/>
      <c r="L148" s="101"/>
      <c r="M148" s="101"/>
      <c r="N148" s="101"/>
      <c r="O148" s="101"/>
      <c r="P148" s="101"/>
      <c r="Q148" s="101"/>
      <c r="R148" s="101"/>
      <c r="S148" s="101"/>
      <c r="T148" s="101"/>
      <c r="U148" s="101"/>
      <c r="V148" s="101"/>
      <c r="W148" s="101"/>
      <c r="X148" s="101"/>
      <c r="Y148" s="101"/>
      <c r="Z148" s="101"/>
      <c r="AA148" s="101"/>
      <c r="AB148" s="101"/>
      <c r="AC148" s="101"/>
      <c r="AD148" s="101"/>
      <c r="AE148" s="101"/>
      <c r="AF148" s="101"/>
      <c r="AG148" s="101"/>
      <c r="AH148" s="101"/>
      <c r="AI148" s="101"/>
      <c r="AJ148" s="101"/>
      <c r="AK148" s="101"/>
      <c r="AL148" s="101"/>
      <c r="AM148" s="101"/>
      <c r="AN148" s="101"/>
      <c r="AO148" s="102"/>
    </row>
    <row r="149" spans="6:41" x14ac:dyDescent="0.4">
      <c r="F149" s="124"/>
      <c r="G149" s="124"/>
      <c r="H149" s="124"/>
      <c r="I149" s="2"/>
      <c r="J149" s="97" t="s">
        <v>154</v>
      </c>
      <c r="K149" s="98"/>
      <c r="L149" s="98"/>
      <c r="M149" s="98"/>
      <c r="N149" s="98" t="s">
        <v>155</v>
      </c>
      <c r="O149" s="98"/>
      <c r="P149" s="98"/>
      <c r="Q149" s="98"/>
      <c r="R149" s="98" t="s">
        <v>156</v>
      </c>
      <c r="S149" s="98"/>
      <c r="T149" s="98"/>
      <c r="U149" s="98"/>
      <c r="V149" s="98" t="s">
        <v>157</v>
      </c>
      <c r="W149" s="98"/>
      <c r="X149" s="98"/>
      <c r="Y149" s="98"/>
      <c r="Z149" s="98" t="s">
        <v>158</v>
      </c>
      <c r="AA149" s="98"/>
      <c r="AB149" s="98"/>
      <c r="AC149" s="98"/>
      <c r="AD149" s="98" t="s">
        <v>159</v>
      </c>
      <c r="AE149" s="98"/>
      <c r="AF149" s="98"/>
      <c r="AG149" s="98"/>
      <c r="AH149" s="98" t="s">
        <v>160</v>
      </c>
      <c r="AI149" s="98"/>
      <c r="AJ149" s="98"/>
      <c r="AK149" s="98"/>
      <c r="AL149" s="98" t="s">
        <v>161</v>
      </c>
      <c r="AM149" s="98"/>
      <c r="AN149" s="98"/>
      <c r="AO149" s="99"/>
    </row>
    <row r="150" spans="6:41" x14ac:dyDescent="0.4">
      <c r="F150" s="75" t="s">
        <v>179</v>
      </c>
      <c r="G150" s="75"/>
      <c r="H150" s="75"/>
      <c r="I150" s="21"/>
      <c r="J150" s="100" t="s">
        <v>126</v>
      </c>
      <c r="K150" s="101"/>
      <c r="L150" s="101"/>
      <c r="M150" s="101"/>
      <c r="N150" s="101"/>
      <c r="O150" s="101"/>
      <c r="P150" s="101"/>
      <c r="Q150" s="101"/>
      <c r="R150" s="101"/>
      <c r="S150" s="101"/>
      <c r="T150" s="101"/>
      <c r="U150" s="101"/>
      <c r="V150" s="101"/>
      <c r="W150" s="101"/>
      <c r="X150" s="101"/>
      <c r="Y150" s="101"/>
      <c r="Z150" s="101"/>
      <c r="AA150" s="101"/>
      <c r="AB150" s="101"/>
      <c r="AC150" s="101"/>
      <c r="AD150" s="101"/>
      <c r="AE150" s="101"/>
      <c r="AF150" s="101"/>
      <c r="AG150" s="101"/>
      <c r="AH150" s="101"/>
      <c r="AI150" s="101"/>
      <c r="AJ150" s="101"/>
      <c r="AK150" s="101"/>
      <c r="AL150" s="101"/>
      <c r="AM150" s="101"/>
      <c r="AN150" s="101"/>
      <c r="AO150" s="102"/>
    </row>
    <row r="151" spans="6:41" ht="19.5" thickBot="1" x14ac:dyDescent="0.45">
      <c r="F151" s="93"/>
      <c r="G151" s="93"/>
      <c r="H151" s="93"/>
      <c r="I151" s="2"/>
      <c r="J151" s="89" t="s">
        <v>162</v>
      </c>
      <c r="K151" s="90"/>
      <c r="L151" s="90"/>
      <c r="M151" s="90"/>
      <c r="N151" s="90" t="s">
        <v>163</v>
      </c>
      <c r="O151" s="90"/>
      <c r="P151" s="90"/>
      <c r="Q151" s="90"/>
      <c r="R151" s="90" t="s">
        <v>164</v>
      </c>
      <c r="S151" s="90"/>
      <c r="T151" s="90"/>
      <c r="U151" s="90"/>
      <c r="V151" s="90" t="s">
        <v>165</v>
      </c>
      <c r="W151" s="90"/>
      <c r="X151" s="90"/>
      <c r="Y151" s="90"/>
      <c r="Z151" s="90" t="s">
        <v>166</v>
      </c>
      <c r="AA151" s="90"/>
      <c r="AB151" s="90"/>
      <c r="AC151" s="90"/>
      <c r="AD151" s="90" t="s">
        <v>167</v>
      </c>
      <c r="AE151" s="90"/>
      <c r="AF151" s="90"/>
      <c r="AG151" s="90"/>
      <c r="AH151" s="90" t="s">
        <v>168</v>
      </c>
      <c r="AI151" s="90"/>
      <c r="AJ151" s="90"/>
      <c r="AK151" s="90"/>
      <c r="AL151" s="90" t="s">
        <v>169</v>
      </c>
      <c r="AM151" s="90"/>
      <c r="AN151" s="90"/>
      <c r="AO151" s="92"/>
    </row>
    <row r="152" spans="6:41" ht="19.5" thickTop="1" x14ac:dyDescent="0.4">
      <c r="F152" s="1"/>
      <c r="G152" s="1"/>
      <c r="H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row>
    <row r="154" spans="6:41" ht="19.5" thickBot="1" x14ac:dyDescent="0.45">
      <c r="F154" s="1"/>
      <c r="G154" s="1"/>
      <c r="H154" s="1"/>
      <c r="I154" s="3"/>
      <c r="J154" s="62" t="str">
        <f>"+0"</f>
        <v>+0</v>
      </c>
      <c r="K154" s="63"/>
      <c r="L154" s="63"/>
      <c r="M154" s="64"/>
      <c r="N154" s="62" t="str">
        <f>"+1"</f>
        <v>+1</v>
      </c>
      <c r="O154" s="63"/>
      <c r="P154" s="63"/>
      <c r="Q154" s="64"/>
      <c r="R154" s="62" t="str">
        <f>"+2"</f>
        <v>+2</v>
      </c>
      <c r="S154" s="63"/>
      <c r="T154" s="63"/>
      <c r="U154" s="64"/>
      <c r="V154" s="62" t="str">
        <f>"+3"</f>
        <v>+3</v>
      </c>
      <c r="W154" s="63"/>
      <c r="X154" s="63"/>
      <c r="Y154" s="64"/>
      <c r="Z154" s="62" t="str">
        <f>"+4"</f>
        <v>+4</v>
      </c>
      <c r="AA154" s="63"/>
      <c r="AB154" s="63"/>
      <c r="AC154" s="64"/>
      <c r="AD154" s="62" t="str">
        <f>"+5"</f>
        <v>+5</v>
      </c>
      <c r="AE154" s="63"/>
      <c r="AF154" s="63"/>
      <c r="AG154" s="64"/>
      <c r="AH154" s="62" t="str">
        <f>"+6"</f>
        <v>+6</v>
      </c>
      <c r="AI154" s="63"/>
      <c r="AJ154" s="63"/>
      <c r="AK154" s="64"/>
      <c r="AL154" s="62" t="str">
        <f>"+7"</f>
        <v>+7</v>
      </c>
      <c r="AM154" s="63"/>
      <c r="AN154" s="63"/>
      <c r="AO154" s="64"/>
    </row>
    <row r="155" spans="6:41" ht="19.5" customHeight="1" thickTop="1" x14ac:dyDescent="0.4">
      <c r="F155" s="75" t="s">
        <v>7</v>
      </c>
      <c r="G155" s="75"/>
      <c r="H155" s="75"/>
      <c r="I155" s="21"/>
      <c r="J155" s="81" t="s">
        <v>122</v>
      </c>
      <c r="K155" s="82"/>
      <c r="L155" s="82"/>
      <c r="M155" s="83"/>
      <c r="N155" s="84" t="s">
        <v>114</v>
      </c>
      <c r="O155" s="85"/>
      <c r="P155" s="85"/>
      <c r="Q155" s="85"/>
      <c r="R155" s="85"/>
      <c r="S155" s="85"/>
      <c r="T155" s="85"/>
      <c r="U155" s="85"/>
      <c r="V155" s="85"/>
      <c r="W155" s="85"/>
      <c r="X155" s="85"/>
      <c r="Y155" s="85"/>
      <c r="Z155" s="85"/>
      <c r="AA155" s="85"/>
      <c r="AB155" s="85"/>
      <c r="AC155" s="85"/>
      <c r="AD155" s="85"/>
      <c r="AE155" s="85"/>
      <c r="AF155" s="85"/>
      <c r="AG155" s="86"/>
      <c r="AH155" s="87" t="s">
        <v>137</v>
      </c>
      <c r="AI155" s="87"/>
      <c r="AJ155" s="87"/>
      <c r="AK155" s="87"/>
      <c r="AL155" s="87"/>
      <c r="AM155" s="87"/>
      <c r="AN155" s="87"/>
      <c r="AO155" s="88"/>
    </row>
    <row r="156" spans="6:41" ht="19.5" thickBot="1" x14ac:dyDescent="0.45">
      <c r="F156" s="63"/>
      <c r="G156" s="63"/>
      <c r="H156" s="63"/>
      <c r="J156" s="89" t="s">
        <v>2</v>
      </c>
      <c r="K156" s="90"/>
      <c r="L156" s="90"/>
      <c r="M156" s="90"/>
      <c r="N156" s="90" t="s">
        <v>3</v>
      </c>
      <c r="O156" s="90"/>
      <c r="P156" s="90"/>
      <c r="Q156" s="90"/>
      <c r="R156" s="90" t="s">
        <v>4</v>
      </c>
      <c r="S156" s="90"/>
      <c r="T156" s="90"/>
      <c r="U156" s="90"/>
      <c r="V156" s="90" t="s">
        <v>5</v>
      </c>
      <c r="W156" s="90"/>
      <c r="X156" s="90"/>
      <c r="Y156" s="91"/>
      <c r="Z156" s="90" t="s">
        <v>6</v>
      </c>
      <c r="AA156" s="90"/>
      <c r="AB156" s="90"/>
      <c r="AC156" s="90"/>
      <c r="AD156" s="90" t="s">
        <v>2</v>
      </c>
      <c r="AE156" s="90"/>
      <c r="AF156" s="90"/>
      <c r="AG156" s="91"/>
      <c r="AH156" s="90" t="s">
        <v>6</v>
      </c>
      <c r="AI156" s="90"/>
      <c r="AJ156" s="90"/>
      <c r="AK156" s="90"/>
      <c r="AL156" s="90" t="s">
        <v>2</v>
      </c>
      <c r="AM156" s="90"/>
      <c r="AN156" s="90"/>
      <c r="AO156" s="92"/>
    </row>
    <row r="157" spans="6:41" ht="19.5" thickTop="1" x14ac:dyDescent="0.4">
      <c r="F157" s="75" t="s">
        <v>9</v>
      </c>
      <c r="G157" s="75"/>
      <c r="H157" s="75"/>
      <c r="I157" s="21"/>
      <c r="J157" s="94" t="s">
        <v>92</v>
      </c>
      <c r="K157" s="95"/>
      <c r="L157" s="95"/>
      <c r="M157" s="95"/>
      <c r="N157" s="95"/>
      <c r="O157" s="95"/>
      <c r="P157" s="95"/>
      <c r="Q157" s="95"/>
      <c r="R157" s="95"/>
      <c r="S157" s="95"/>
      <c r="T157" s="95"/>
      <c r="U157" s="95"/>
      <c r="V157" s="95"/>
      <c r="W157" s="95"/>
      <c r="X157" s="95"/>
      <c r="Y157" s="95"/>
      <c r="Z157" s="95"/>
      <c r="AA157" s="95"/>
      <c r="AB157" s="95"/>
      <c r="AC157" s="95"/>
      <c r="AD157" s="95"/>
      <c r="AE157" s="95"/>
      <c r="AF157" s="95"/>
      <c r="AG157" s="95"/>
      <c r="AH157" s="95"/>
      <c r="AI157" s="95"/>
      <c r="AJ157" s="95"/>
      <c r="AK157" s="95"/>
      <c r="AL157" s="95"/>
      <c r="AM157" s="95"/>
      <c r="AN157" s="95"/>
      <c r="AO157" s="96"/>
    </row>
    <row r="158" spans="6:41" x14ac:dyDescent="0.4">
      <c r="F158" s="93"/>
      <c r="G158" s="93"/>
      <c r="H158" s="93"/>
      <c r="I158" s="2"/>
      <c r="J158" s="97" t="s">
        <v>2</v>
      </c>
      <c r="K158" s="98"/>
      <c r="L158" s="98"/>
      <c r="M158" s="98"/>
      <c r="N158" s="98" t="s">
        <v>6</v>
      </c>
      <c r="O158" s="98"/>
      <c r="P158" s="98"/>
      <c r="Q158" s="98"/>
      <c r="R158" s="98" t="s">
        <v>5</v>
      </c>
      <c r="S158" s="98"/>
      <c r="T158" s="98"/>
      <c r="U158" s="98"/>
      <c r="V158" s="98" t="s">
        <v>4</v>
      </c>
      <c r="W158" s="98"/>
      <c r="X158" s="98"/>
      <c r="Y158" s="98"/>
      <c r="Z158" s="98" t="s">
        <v>3</v>
      </c>
      <c r="AA158" s="98"/>
      <c r="AB158" s="98"/>
      <c r="AC158" s="98"/>
      <c r="AD158" s="98" t="s">
        <v>53</v>
      </c>
      <c r="AE158" s="98"/>
      <c r="AF158" s="98"/>
      <c r="AG158" s="98"/>
      <c r="AH158" s="98" t="s">
        <v>54</v>
      </c>
      <c r="AI158" s="98"/>
      <c r="AJ158" s="98"/>
      <c r="AK158" s="98"/>
      <c r="AL158" s="98" t="s">
        <v>55</v>
      </c>
      <c r="AM158" s="98"/>
      <c r="AN158" s="98"/>
      <c r="AO158" s="99"/>
    </row>
    <row r="159" spans="6:41" x14ac:dyDescent="0.4">
      <c r="F159" s="63" t="s">
        <v>80</v>
      </c>
      <c r="G159" s="63"/>
      <c r="H159" s="63"/>
      <c r="I159" s="21"/>
      <c r="J159" s="100" t="s">
        <v>92</v>
      </c>
      <c r="K159" s="101"/>
      <c r="L159" s="101"/>
      <c r="M159" s="101"/>
      <c r="N159" s="101"/>
      <c r="O159" s="101"/>
      <c r="P159" s="101"/>
      <c r="Q159" s="101"/>
      <c r="R159" s="101"/>
      <c r="S159" s="101"/>
      <c r="T159" s="101"/>
      <c r="U159" s="101"/>
      <c r="V159" s="101"/>
      <c r="W159" s="101"/>
      <c r="X159" s="101"/>
      <c r="Y159" s="101"/>
      <c r="Z159" s="101"/>
      <c r="AA159" s="101"/>
      <c r="AB159" s="101"/>
      <c r="AC159" s="101"/>
      <c r="AD159" s="101"/>
      <c r="AE159" s="101"/>
      <c r="AF159" s="101"/>
      <c r="AG159" s="101"/>
      <c r="AH159" s="101"/>
      <c r="AI159" s="101"/>
      <c r="AJ159" s="101"/>
      <c r="AK159" s="101"/>
      <c r="AL159" s="101"/>
      <c r="AM159" s="101"/>
      <c r="AN159" s="101"/>
      <c r="AO159" s="102"/>
    </row>
    <row r="160" spans="6:41" x14ac:dyDescent="0.4">
      <c r="F160" s="63"/>
      <c r="G160" s="63"/>
      <c r="H160" s="63"/>
      <c r="J160" s="97" t="s">
        <v>56</v>
      </c>
      <c r="K160" s="98"/>
      <c r="L160" s="98"/>
      <c r="M160" s="98"/>
      <c r="N160" s="98" t="s">
        <v>57</v>
      </c>
      <c r="O160" s="98"/>
      <c r="P160" s="98"/>
      <c r="Q160" s="98"/>
      <c r="R160" s="98" t="s">
        <v>58</v>
      </c>
      <c r="S160" s="98"/>
      <c r="T160" s="98"/>
      <c r="U160" s="98"/>
      <c r="V160" s="98" t="s">
        <v>59</v>
      </c>
      <c r="W160" s="98"/>
      <c r="X160" s="98"/>
      <c r="Y160" s="98"/>
      <c r="Z160" s="98" t="s">
        <v>60</v>
      </c>
      <c r="AA160" s="98"/>
      <c r="AB160" s="98"/>
      <c r="AC160" s="98"/>
      <c r="AD160" s="98" t="s">
        <v>61</v>
      </c>
      <c r="AE160" s="98"/>
      <c r="AF160" s="98"/>
      <c r="AG160" s="98"/>
      <c r="AH160" s="98" t="s">
        <v>62</v>
      </c>
      <c r="AI160" s="98"/>
      <c r="AJ160" s="98"/>
      <c r="AK160" s="98"/>
      <c r="AL160" s="98" t="s">
        <v>63</v>
      </c>
      <c r="AM160" s="98"/>
      <c r="AN160" s="98"/>
      <c r="AO160" s="99"/>
    </row>
    <row r="161" spans="6:41" x14ac:dyDescent="0.4">
      <c r="F161" s="75" t="s">
        <v>81</v>
      </c>
      <c r="G161" s="75"/>
      <c r="H161" s="75"/>
      <c r="I161" s="21"/>
      <c r="J161" s="100" t="s">
        <v>92</v>
      </c>
      <c r="K161" s="101"/>
      <c r="L161" s="101"/>
      <c r="M161" s="101"/>
      <c r="N161" s="101"/>
      <c r="O161" s="101"/>
      <c r="P161" s="101"/>
      <c r="Q161" s="101"/>
      <c r="R161" s="101"/>
      <c r="S161" s="101"/>
      <c r="T161" s="101"/>
      <c r="U161" s="101"/>
      <c r="V161" s="101"/>
      <c r="W161" s="101"/>
      <c r="X161" s="101"/>
      <c r="Y161" s="101"/>
      <c r="Z161" s="101"/>
      <c r="AA161" s="101"/>
      <c r="AB161" s="101"/>
      <c r="AC161" s="101"/>
      <c r="AD161" s="101"/>
      <c r="AE161" s="101"/>
      <c r="AF161" s="101"/>
      <c r="AG161" s="101"/>
      <c r="AH161" s="101"/>
      <c r="AI161" s="101"/>
      <c r="AJ161" s="101"/>
      <c r="AK161" s="101"/>
      <c r="AL161" s="101"/>
      <c r="AM161" s="101"/>
      <c r="AN161" s="101"/>
      <c r="AO161" s="102"/>
    </row>
    <row r="162" spans="6:41" x14ac:dyDescent="0.4">
      <c r="F162" s="63"/>
      <c r="G162" s="63"/>
      <c r="H162" s="63"/>
      <c r="I162" s="2"/>
      <c r="J162" s="97" t="s">
        <v>64</v>
      </c>
      <c r="K162" s="98"/>
      <c r="L162" s="98"/>
      <c r="M162" s="98"/>
      <c r="N162" s="98" t="s">
        <v>65</v>
      </c>
      <c r="O162" s="98"/>
      <c r="P162" s="98"/>
      <c r="Q162" s="98"/>
      <c r="R162" s="98" t="s">
        <v>66</v>
      </c>
      <c r="S162" s="98"/>
      <c r="T162" s="98"/>
      <c r="U162" s="98"/>
      <c r="V162" s="98" t="s">
        <v>67</v>
      </c>
      <c r="W162" s="98"/>
      <c r="X162" s="98"/>
      <c r="Y162" s="98"/>
      <c r="Z162" s="98" t="s">
        <v>68</v>
      </c>
      <c r="AA162" s="98"/>
      <c r="AB162" s="98"/>
      <c r="AC162" s="98"/>
      <c r="AD162" s="98" t="s">
        <v>69</v>
      </c>
      <c r="AE162" s="98"/>
      <c r="AF162" s="98"/>
      <c r="AG162" s="98"/>
      <c r="AH162" s="98" t="s">
        <v>70</v>
      </c>
      <c r="AI162" s="98"/>
      <c r="AJ162" s="98"/>
      <c r="AK162" s="98"/>
      <c r="AL162" s="98" t="s">
        <v>71</v>
      </c>
      <c r="AM162" s="98"/>
      <c r="AN162" s="98"/>
      <c r="AO162" s="99"/>
    </row>
    <row r="163" spans="6:41" x14ac:dyDescent="0.4">
      <c r="F163" s="75" t="s">
        <v>82</v>
      </c>
      <c r="G163" s="75"/>
      <c r="H163" s="75"/>
      <c r="I163" s="21"/>
      <c r="J163" s="100" t="s">
        <v>92</v>
      </c>
      <c r="K163" s="101"/>
      <c r="L163" s="101"/>
      <c r="M163" s="101"/>
      <c r="N163" s="101"/>
      <c r="O163" s="101"/>
      <c r="P163" s="101"/>
      <c r="Q163" s="101"/>
      <c r="R163" s="101"/>
      <c r="S163" s="101"/>
      <c r="T163" s="101"/>
      <c r="U163" s="101"/>
      <c r="V163" s="101"/>
      <c r="W163" s="101"/>
      <c r="X163" s="101"/>
      <c r="Y163" s="101"/>
      <c r="Z163" s="101"/>
      <c r="AA163" s="101"/>
      <c r="AB163" s="101"/>
      <c r="AC163" s="101"/>
      <c r="AD163" s="101"/>
      <c r="AE163" s="101"/>
      <c r="AF163" s="101"/>
      <c r="AG163" s="101"/>
      <c r="AH163" s="101"/>
      <c r="AI163" s="101"/>
      <c r="AJ163" s="101"/>
      <c r="AK163" s="101"/>
      <c r="AL163" s="101"/>
      <c r="AM163" s="101"/>
      <c r="AN163" s="101"/>
      <c r="AO163" s="102"/>
    </row>
    <row r="164" spans="6:41" x14ac:dyDescent="0.4">
      <c r="F164" s="63"/>
      <c r="G164" s="63"/>
      <c r="H164" s="63"/>
      <c r="I164" s="2"/>
      <c r="J164" s="97" t="s">
        <v>72</v>
      </c>
      <c r="K164" s="98"/>
      <c r="L164" s="98"/>
      <c r="M164" s="98"/>
      <c r="N164" s="98" t="s">
        <v>73</v>
      </c>
      <c r="O164" s="98"/>
      <c r="P164" s="98"/>
      <c r="Q164" s="98"/>
      <c r="R164" s="98" t="s">
        <v>74</v>
      </c>
      <c r="S164" s="98"/>
      <c r="T164" s="98"/>
      <c r="U164" s="98"/>
      <c r="V164" s="98" t="s">
        <v>75</v>
      </c>
      <c r="W164" s="98"/>
      <c r="X164" s="98"/>
      <c r="Y164" s="98"/>
      <c r="Z164" s="98" t="s">
        <v>76</v>
      </c>
      <c r="AA164" s="98"/>
      <c r="AB164" s="98"/>
      <c r="AC164" s="98"/>
      <c r="AD164" s="98" t="s">
        <v>77</v>
      </c>
      <c r="AE164" s="98"/>
      <c r="AF164" s="98"/>
      <c r="AG164" s="98"/>
      <c r="AH164" s="98" t="s">
        <v>78</v>
      </c>
      <c r="AI164" s="98"/>
      <c r="AJ164" s="98"/>
      <c r="AK164" s="98"/>
      <c r="AL164" s="98" t="s">
        <v>79</v>
      </c>
      <c r="AM164" s="98"/>
      <c r="AN164" s="98"/>
      <c r="AO164" s="99"/>
    </row>
    <row r="165" spans="6:41" x14ac:dyDescent="0.4">
      <c r="F165" s="75" t="s">
        <v>83</v>
      </c>
      <c r="G165" s="75"/>
      <c r="H165" s="75"/>
      <c r="I165" s="21"/>
      <c r="J165" s="103" t="s">
        <v>92</v>
      </c>
      <c r="K165" s="104"/>
      <c r="L165" s="104"/>
      <c r="M165" s="104"/>
      <c r="N165" s="104"/>
      <c r="O165" s="104"/>
      <c r="P165" s="104"/>
      <c r="Q165" s="104"/>
      <c r="R165" s="104"/>
      <c r="S165" s="104"/>
      <c r="T165" s="104"/>
      <c r="U165" s="104"/>
      <c r="V165" s="104"/>
      <c r="W165" s="104"/>
      <c r="X165" s="104"/>
      <c r="Y165" s="104"/>
      <c r="Z165" s="104"/>
      <c r="AA165" s="104"/>
      <c r="AB165" s="104"/>
      <c r="AC165" s="104"/>
      <c r="AD165" s="104"/>
      <c r="AE165" s="104"/>
      <c r="AF165" s="104"/>
      <c r="AG165" s="104"/>
      <c r="AH165" s="104"/>
      <c r="AI165" s="104"/>
      <c r="AJ165" s="104"/>
      <c r="AK165" s="104"/>
      <c r="AL165" s="104"/>
      <c r="AM165" s="104"/>
      <c r="AN165" s="104"/>
      <c r="AO165" s="105"/>
    </row>
    <row r="166" spans="6:41" x14ac:dyDescent="0.4">
      <c r="F166" s="63"/>
      <c r="G166" s="63"/>
      <c r="H166" s="63"/>
      <c r="I166" s="2"/>
      <c r="J166" s="97" t="s">
        <v>138</v>
      </c>
      <c r="K166" s="98"/>
      <c r="L166" s="98"/>
      <c r="M166" s="98"/>
      <c r="N166" s="98" t="s">
        <v>139</v>
      </c>
      <c r="O166" s="98"/>
      <c r="P166" s="98"/>
      <c r="Q166" s="98"/>
      <c r="R166" s="98" t="s">
        <v>140</v>
      </c>
      <c r="S166" s="98"/>
      <c r="T166" s="98"/>
      <c r="U166" s="98"/>
      <c r="V166" s="98" t="s">
        <v>141</v>
      </c>
      <c r="W166" s="98"/>
      <c r="X166" s="98"/>
      <c r="Y166" s="98"/>
      <c r="Z166" s="98" t="s">
        <v>142</v>
      </c>
      <c r="AA166" s="98"/>
      <c r="AB166" s="98"/>
      <c r="AC166" s="98"/>
      <c r="AD166" s="98" t="s">
        <v>143</v>
      </c>
      <c r="AE166" s="98"/>
      <c r="AF166" s="98"/>
      <c r="AG166" s="98"/>
      <c r="AH166" s="98" t="s">
        <v>144</v>
      </c>
      <c r="AI166" s="98"/>
      <c r="AJ166" s="98"/>
      <c r="AK166" s="98"/>
      <c r="AL166" s="98" t="s">
        <v>145</v>
      </c>
      <c r="AM166" s="98"/>
      <c r="AN166" s="98"/>
      <c r="AO166" s="99"/>
    </row>
    <row r="167" spans="6:41" x14ac:dyDescent="0.4">
      <c r="F167" s="75" t="s">
        <v>84</v>
      </c>
      <c r="G167" s="75"/>
      <c r="H167" s="75"/>
      <c r="I167" s="21"/>
      <c r="J167" s="100" t="s">
        <v>92</v>
      </c>
      <c r="K167" s="101"/>
      <c r="L167" s="101"/>
      <c r="M167" s="101"/>
      <c r="N167" s="101"/>
      <c r="O167" s="101"/>
      <c r="P167" s="101"/>
      <c r="Q167" s="101"/>
      <c r="R167" s="101"/>
      <c r="S167" s="101"/>
      <c r="T167" s="101"/>
      <c r="U167" s="101"/>
      <c r="V167" s="101"/>
      <c r="W167" s="101"/>
      <c r="X167" s="101"/>
      <c r="Y167" s="101"/>
      <c r="Z167" s="101"/>
      <c r="AA167" s="101"/>
      <c r="AB167" s="101"/>
      <c r="AC167" s="101"/>
      <c r="AD167" s="101"/>
      <c r="AE167" s="101"/>
      <c r="AF167" s="101"/>
      <c r="AG167" s="101"/>
      <c r="AH167" s="101"/>
      <c r="AI167" s="101"/>
      <c r="AJ167" s="101"/>
      <c r="AK167" s="101"/>
      <c r="AL167" s="101"/>
      <c r="AM167" s="101"/>
      <c r="AN167" s="101"/>
      <c r="AO167" s="102"/>
    </row>
    <row r="168" spans="6:41" x14ac:dyDescent="0.4">
      <c r="F168" s="63"/>
      <c r="G168" s="63"/>
      <c r="H168" s="63"/>
      <c r="J168" s="97" t="s">
        <v>146</v>
      </c>
      <c r="K168" s="98"/>
      <c r="L168" s="98"/>
      <c r="M168" s="98"/>
      <c r="N168" s="98" t="s">
        <v>147</v>
      </c>
      <c r="O168" s="98"/>
      <c r="P168" s="98"/>
      <c r="Q168" s="98"/>
      <c r="R168" s="98" t="s">
        <v>148</v>
      </c>
      <c r="S168" s="98"/>
      <c r="T168" s="98"/>
      <c r="U168" s="98"/>
      <c r="V168" s="98" t="s">
        <v>149</v>
      </c>
      <c r="W168" s="98"/>
      <c r="X168" s="98"/>
      <c r="Y168" s="98"/>
      <c r="Z168" s="98" t="s">
        <v>150</v>
      </c>
      <c r="AA168" s="98"/>
      <c r="AB168" s="98"/>
      <c r="AC168" s="98"/>
      <c r="AD168" s="98" t="s">
        <v>151</v>
      </c>
      <c r="AE168" s="98"/>
      <c r="AF168" s="98"/>
      <c r="AG168" s="98"/>
      <c r="AH168" s="98" t="s">
        <v>152</v>
      </c>
      <c r="AI168" s="98"/>
      <c r="AJ168" s="98"/>
      <c r="AK168" s="98"/>
      <c r="AL168" s="98" t="s">
        <v>153</v>
      </c>
      <c r="AM168" s="98"/>
      <c r="AN168" s="98"/>
      <c r="AO168" s="99"/>
    </row>
    <row r="169" spans="6:41" x14ac:dyDescent="0.4">
      <c r="F169" s="75" t="s">
        <v>85</v>
      </c>
      <c r="G169" s="75"/>
      <c r="H169" s="75"/>
      <c r="I169" s="21"/>
      <c r="J169" s="100" t="s">
        <v>92</v>
      </c>
      <c r="K169" s="101"/>
      <c r="L169" s="101"/>
      <c r="M169" s="101"/>
      <c r="N169" s="101"/>
      <c r="O169" s="101"/>
      <c r="P169" s="101"/>
      <c r="Q169" s="101"/>
      <c r="R169" s="101"/>
      <c r="S169" s="101"/>
      <c r="T169" s="101"/>
      <c r="U169" s="101"/>
      <c r="V169" s="101"/>
      <c r="W169" s="101"/>
      <c r="X169" s="101"/>
      <c r="Y169" s="101"/>
      <c r="Z169" s="101"/>
      <c r="AA169" s="101"/>
      <c r="AB169" s="101"/>
      <c r="AC169" s="101"/>
      <c r="AD169" s="101"/>
      <c r="AE169" s="101"/>
      <c r="AF169" s="101"/>
      <c r="AG169" s="101"/>
      <c r="AH169" s="101"/>
      <c r="AI169" s="101"/>
      <c r="AJ169" s="101"/>
      <c r="AK169" s="101"/>
      <c r="AL169" s="101"/>
      <c r="AM169" s="101"/>
      <c r="AN169" s="101"/>
      <c r="AO169" s="102"/>
    </row>
    <row r="170" spans="6:41" x14ac:dyDescent="0.4">
      <c r="F170" s="93"/>
      <c r="G170" s="93"/>
      <c r="H170" s="93"/>
      <c r="I170" s="2"/>
      <c r="J170" s="97" t="s">
        <v>154</v>
      </c>
      <c r="K170" s="98"/>
      <c r="L170" s="98"/>
      <c r="M170" s="98"/>
      <c r="N170" s="98" t="s">
        <v>155</v>
      </c>
      <c r="O170" s="98"/>
      <c r="P170" s="98"/>
      <c r="Q170" s="98"/>
      <c r="R170" s="98" t="s">
        <v>156</v>
      </c>
      <c r="S170" s="98"/>
      <c r="T170" s="98"/>
      <c r="U170" s="98"/>
      <c r="V170" s="98" t="s">
        <v>157</v>
      </c>
      <c r="W170" s="98"/>
      <c r="X170" s="98"/>
      <c r="Y170" s="98"/>
      <c r="Z170" s="98" t="s">
        <v>158</v>
      </c>
      <c r="AA170" s="98"/>
      <c r="AB170" s="98"/>
      <c r="AC170" s="98"/>
      <c r="AD170" s="98" t="s">
        <v>159</v>
      </c>
      <c r="AE170" s="98"/>
      <c r="AF170" s="98"/>
      <c r="AG170" s="98"/>
      <c r="AH170" s="98" t="s">
        <v>160</v>
      </c>
      <c r="AI170" s="98"/>
      <c r="AJ170" s="98"/>
      <c r="AK170" s="98"/>
      <c r="AL170" s="98" t="s">
        <v>161</v>
      </c>
      <c r="AM170" s="98"/>
      <c r="AN170" s="98"/>
      <c r="AO170" s="99"/>
    </row>
    <row r="171" spans="6:41" x14ac:dyDescent="0.4">
      <c r="F171" s="75" t="s">
        <v>86</v>
      </c>
      <c r="G171" s="75"/>
      <c r="H171" s="75"/>
      <c r="I171" s="21"/>
      <c r="J171" s="100" t="s">
        <v>92</v>
      </c>
      <c r="K171" s="101"/>
      <c r="L171" s="101"/>
      <c r="M171" s="101"/>
      <c r="N171" s="101"/>
      <c r="O171" s="101"/>
      <c r="P171" s="101"/>
      <c r="Q171" s="101"/>
      <c r="R171" s="101"/>
      <c r="S171" s="101"/>
      <c r="T171" s="101"/>
      <c r="U171" s="101"/>
      <c r="V171" s="101"/>
      <c r="W171" s="101"/>
      <c r="X171" s="101"/>
      <c r="Y171" s="101"/>
      <c r="Z171" s="101"/>
      <c r="AA171" s="101"/>
      <c r="AB171" s="101"/>
      <c r="AC171" s="101"/>
      <c r="AD171" s="101"/>
      <c r="AE171" s="101"/>
      <c r="AF171" s="101"/>
      <c r="AG171" s="101"/>
      <c r="AH171" s="101"/>
      <c r="AI171" s="101"/>
      <c r="AJ171" s="101"/>
      <c r="AK171" s="101"/>
      <c r="AL171" s="101"/>
      <c r="AM171" s="101"/>
      <c r="AN171" s="101"/>
      <c r="AO171" s="102"/>
    </row>
    <row r="172" spans="6:41" ht="19.5" thickBot="1" x14ac:dyDescent="0.45">
      <c r="F172" s="63"/>
      <c r="G172" s="63"/>
      <c r="H172" s="63"/>
      <c r="I172" s="2"/>
      <c r="J172" s="89" t="s">
        <v>162</v>
      </c>
      <c r="K172" s="90"/>
      <c r="L172" s="90"/>
      <c r="M172" s="90"/>
      <c r="N172" s="90" t="s">
        <v>163</v>
      </c>
      <c r="O172" s="90"/>
      <c r="P172" s="90"/>
      <c r="Q172" s="90"/>
      <c r="R172" s="90" t="s">
        <v>164</v>
      </c>
      <c r="S172" s="90"/>
      <c r="T172" s="90"/>
      <c r="U172" s="90"/>
      <c r="V172" s="90" t="s">
        <v>165</v>
      </c>
      <c r="W172" s="90"/>
      <c r="X172" s="90"/>
      <c r="Y172" s="90"/>
      <c r="Z172" s="90" t="s">
        <v>166</v>
      </c>
      <c r="AA172" s="90"/>
      <c r="AB172" s="90"/>
      <c r="AC172" s="90"/>
      <c r="AD172" s="90" t="s">
        <v>167</v>
      </c>
      <c r="AE172" s="90"/>
      <c r="AF172" s="90"/>
      <c r="AG172" s="90"/>
      <c r="AH172" s="90" t="s">
        <v>168</v>
      </c>
      <c r="AI172" s="90"/>
      <c r="AJ172" s="90"/>
      <c r="AK172" s="90"/>
      <c r="AL172" s="90" t="s">
        <v>169</v>
      </c>
      <c r="AM172" s="90"/>
      <c r="AN172" s="90"/>
      <c r="AO172" s="92"/>
    </row>
    <row r="173" spans="6:41" ht="19.5" thickTop="1" x14ac:dyDescent="0.4">
      <c r="F173" s="75" t="s">
        <v>170</v>
      </c>
      <c r="G173" s="75"/>
      <c r="H173" s="75"/>
      <c r="I173" s="21"/>
      <c r="J173" s="112" t="s">
        <v>93</v>
      </c>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c r="AO173" s="114"/>
    </row>
    <row r="174" spans="6:41" x14ac:dyDescent="0.4">
      <c r="F174" s="93"/>
      <c r="G174" s="93"/>
      <c r="H174" s="93"/>
      <c r="I174" s="2"/>
      <c r="J174" s="97" t="s">
        <v>2</v>
      </c>
      <c r="K174" s="98"/>
      <c r="L174" s="98"/>
      <c r="M174" s="98"/>
      <c r="N174" s="98" t="s">
        <v>6</v>
      </c>
      <c r="O174" s="98"/>
      <c r="P174" s="98"/>
      <c r="Q174" s="98"/>
      <c r="R174" s="98" t="s">
        <v>5</v>
      </c>
      <c r="S174" s="98"/>
      <c r="T174" s="98"/>
      <c r="U174" s="98"/>
      <c r="V174" s="98" t="s">
        <v>4</v>
      </c>
      <c r="W174" s="98"/>
      <c r="X174" s="98"/>
      <c r="Y174" s="98"/>
      <c r="Z174" s="98" t="s">
        <v>3</v>
      </c>
      <c r="AA174" s="98"/>
      <c r="AB174" s="98"/>
      <c r="AC174" s="98"/>
      <c r="AD174" s="98" t="s">
        <v>53</v>
      </c>
      <c r="AE174" s="98"/>
      <c r="AF174" s="98"/>
      <c r="AG174" s="98"/>
      <c r="AH174" s="98" t="s">
        <v>54</v>
      </c>
      <c r="AI174" s="98"/>
      <c r="AJ174" s="98"/>
      <c r="AK174" s="98"/>
      <c r="AL174" s="98" t="s">
        <v>55</v>
      </c>
      <c r="AM174" s="98"/>
      <c r="AN174" s="98"/>
      <c r="AO174" s="99"/>
    </row>
    <row r="175" spans="6:41" x14ac:dyDescent="0.4">
      <c r="F175" s="63" t="s">
        <v>171</v>
      </c>
      <c r="G175" s="63"/>
      <c r="H175" s="63"/>
      <c r="I175" s="21"/>
      <c r="J175" s="118" t="s">
        <v>93</v>
      </c>
      <c r="K175" s="119"/>
      <c r="L175" s="119"/>
      <c r="M175" s="119"/>
      <c r="N175" s="119"/>
      <c r="O175" s="119"/>
      <c r="P175" s="119"/>
      <c r="Q175" s="119"/>
      <c r="R175" s="119"/>
      <c r="S175" s="119"/>
      <c r="T175" s="119"/>
      <c r="U175" s="119"/>
      <c r="V175" s="119"/>
      <c r="W175" s="119"/>
      <c r="X175" s="119"/>
      <c r="Y175" s="119"/>
      <c r="Z175" s="119"/>
      <c r="AA175" s="119"/>
      <c r="AB175" s="119"/>
      <c r="AC175" s="119"/>
      <c r="AD175" s="119"/>
      <c r="AE175" s="119"/>
      <c r="AF175" s="119"/>
      <c r="AG175" s="119"/>
      <c r="AH175" s="119"/>
      <c r="AI175" s="119"/>
      <c r="AJ175" s="119"/>
      <c r="AK175" s="119"/>
      <c r="AL175" s="119"/>
      <c r="AM175" s="119"/>
      <c r="AN175" s="119"/>
      <c r="AO175" s="120"/>
    </row>
    <row r="176" spans="6:41" x14ac:dyDescent="0.4">
      <c r="F176" s="63"/>
      <c r="G176" s="63"/>
      <c r="H176" s="63"/>
      <c r="J176" s="97" t="s">
        <v>56</v>
      </c>
      <c r="K176" s="98"/>
      <c r="L176" s="98"/>
      <c r="M176" s="98"/>
      <c r="N176" s="98" t="s">
        <v>57</v>
      </c>
      <c r="O176" s="98"/>
      <c r="P176" s="98"/>
      <c r="Q176" s="98"/>
      <c r="R176" s="98" t="s">
        <v>58</v>
      </c>
      <c r="S176" s="98"/>
      <c r="T176" s="98"/>
      <c r="U176" s="98"/>
      <c r="V176" s="98" t="s">
        <v>59</v>
      </c>
      <c r="W176" s="98"/>
      <c r="X176" s="98"/>
      <c r="Y176" s="98"/>
      <c r="Z176" s="98" t="s">
        <v>60</v>
      </c>
      <c r="AA176" s="98"/>
      <c r="AB176" s="98"/>
      <c r="AC176" s="98"/>
      <c r="AD176" s="98" t="s">
        <v>61</v>
      </c>
      <c r="AE176" s="98"/>
      <c r="AF176" s="98"/>
      <c r="AG176" s="98"/>
      <c r="AH176" s="98" t="s">
        <v>62</v>
      </c>
      <c r="AI176" s="98"/>
      <c r="AJ176" s="98"/>
      <c r="AK176" s="98"/>
      <c r="AL176" s="98" t="s">
        <v>63</v>
      </c>
      <c r="AM176" s="98"/>
      <c r="AN176" s="98"/>
      <c r="AO176" s="99"/>
    </row>
    <row r="177" spans="6:41" x14ac:dyDescent="0.4">
      <c r="F177" s="75" t="s">
        <v>172</v>
      </c>
      <c r="G177" s="75"/>
      <c r="H177" s="75"/>
      <c r="I177" s="21"/>
      <c r="J177" s="118" t="s">
        <v>93</v>
      </c>
      <c r="K177" s="119"/>
      <c r="L177" s="119"/>
      <c r="M177" s="119"/>
      <c r="N177" s="119"/>
      <c r="O177" s="119"/>
      <c r="P177" s="119"/>
      <c r="Q177" s="119"/>
      <c r="R177" s="119"/>
      <c r="S177" s="119"/>
      <c r="T177" s="119"/>
      <c r="U177" s="119"/>
      <c r="V177" s="119"/>
      <c r="W177" s="119"/>
      <c r="X177" s="119"/>
      <c r="Y177" s="119"/>
      <c r="Z177" s="119"/>
      <c r="AA177" s="119"/>
      <c r="AB177" s="119"/>
      <c r="AC177" s="119"/>
      <c r="AD177" s="119"/>
      <c r="AE177" s="119"/>
      <c r="AF177" s="119"/>
      <c r="AG177" s="119"/>
      <c r="AH177" s="119"/>
      <c r="AI177" s="119"/>
      <c r="AJ177" s="119"/>
      <c r="AK177" s="119"/>
      <c r="AL177" s="119"/>
      <c r="AM177" s="119"/>
      <c r="AN177" s="119"/>
      <c r="AO177" s="120"/>
    </row>
    <row r="178" spans="6:41" x14ac:dyDescent="0.4">
      <c r="F178" s="63"/>
      <c r="G178" s="63"/>
      <c r="H178" s="63"/>
      <c r="I178" s="2"/>
      <c r="J178" s="97" t="s">
        <v>64</v>
      </c>
      <c r="K178" s="98"/>
      <c r="L178" s="98"/>
      <c r="M178" s="98"/>
      <c r="N178" s="98" t="s">
        <v>65</v>
      </c>
      <c r="O178" s="98"/>
      <c r="P178" s="98"/>
      <c r="Q178" s="98"/>
      <c r="R178" s="98" t="s">
        <v>66</v>
      </c>
      <c r="S178" s="98"/>
      <c r="T178" s="98"/>
      <c r="U178" s="98"/>
      <c r="V178" s="98" t="s">
        <v>67</v>
      </c>
      <c r="W178" s="98"/>
      <c r="X178" s="98"/>
      <c r="Y178" s="98"/>
      <c r="Z178" s="98" t="s">
        <v>68</v>
      </c>
      <c r="AA178" s="98"/>
      <c r="AB178" s="98"/>
      <c r="AC178" s="98"/>
      <c r="AD178" s="98" t="s">
        <v>69</v>
      </c>
      <c r="AE178" s="98"/>
      <c r="AF178" s="98"/>
      <c r="AG178" s="98"/>
      <c r="AH178" s="98" t="s">
        <v>70</v>
      </c>
      <c r="AI178" s="98"/>
      <c r="AJ178" s="98"/>
      <c r="AK178" s="98"/>
      <c r="AL178" s="98" t="s">
        <v>71</v>
      </c>
      <c r="AM178" s="98"/>
      <c r="AN178" s="98"/>
      <c r="AO178" s="99"/>
    </row>
    <row r="179" spans="6:41" x14ac:dyDescent="0.4">
      <c r="F179" s="75" t="s">
        <v>173</v>
      </c>
      <c r="G179" s="75"/>
      <c r="H179" s="75"/>
      <c r="I179" s="21"/>
      <c r="J179" s="118" t="s">
        <v>93</v>
      </c>
      <c r="K179" s="119"/>
      <c r="L179" s="119"/>
      <c r="M179" s="119"/>
      <c r="N179" s="119"/>
      <c r="O179" s="119"/>
      <c r="P179" s="119"/>
      <c r="Q179" s="119"/>
      <c r="R179" s="119"/>
      <c r="S179" s="119"/>
      <c r="T179" s="119"/>
      <c r="U179" s="119"/>
      <c r="V179" s="119"/>
      <c r="W179" s="119"/>
      <c r="X179" s="119"/>
      <c r="Y179" s="119"/>
      <c r="Z179" s="119"/>
      <c r="AA179" s="119"/>
      <c r="AB179" s="119"/>
      <c r="AC179" s="119"/>
      <c r="AD179" s="119"/>
      <c r="AE179" s="119"/>
      <c r="AF179" s="119"/>
      <c r="AG179" s="119"/>
      <c r="AH179" s="119"/>
      <c r="AI179" s="119"/>
      <c r="AJ179" s="119"/>
      <c r="AK179" s="119"/>
      <c r="AL179" s="119"/>
      <c r="AM179" s="119"/>
      <c r="AN179" s="119"/>
      <c r="AO179" s="120"/>
    </row>
    <row r="180" spans="6:41" x14ac:dyDescent="0.4">
      <c r="F180" s="63"/>
      <c r="G180" s="63"/>
      <c r="H180" s="63"/>
      <c r="I180" s="2"/>
      <c r="J180" s="97" t="s">
        <v>72</v>
      </c>
      <c r="K180" s="98"/>
      <c r="L180" s="98"/>
      <c r="M180" s="98"/>
      <c r="N180" s="98" t="s">
        <v>73</v>
      </c>
      <c r="O180" s="98"/>
      <c r="P180" s="98"/>
      <c r="Q180" s="98"/>
      <c r="R180" s="98" t="s">
        <v>74</v>
      </c>
      <c r="S180" s="98"/>
      <c r="T180" s="98"/>
      <c r="U180" s="98"/>
      <c r="V180" s="98" t="s">
        <v>75</v>
      </c>
      <c r="W180" s="98"/>
      <c r="X180" s="98"/>
      <c r="Y180" s="98"/>
      <c r="Z180" s="98" t="s">
        <v>76</v>
      </c>
      <c r="AA180" s="98"/>
      <c r="AB180" s="98"/>
      <c r="AC180" s="98"/>
      <c r="AD180" s="98" t="s">
        <v>77</v>
      </c>
      <c r="AE180" s="98"/>
      <c r="AF180" s="98"/>
      <c r="AG180" s="98"/>
      <c r="AH180" s="98" t="s">
        <v>78</v>
      </c>
      <c r="AI180" s="98"/>
      <c r="AJ180" s="98"/>
      <c r="AK180" s="98"/>
      <c r="AL180" s="98" t="s">
        <v>79</v>
      </c>
      <c r="AM180" s="98"/>
      <c r="AN180" s="98"/>
      <c r="AO180" s="99"/>
    </row>
    <row r="181" spans="6:41" x14ac:dyDescent="0.4">
      <c r="F181" s="75" t="s">
        <v>175</v>
      </c>
      <c r="G181" s="75"/>
      <c r="H181" s="75"/>
      <c r="I181" s="21"/>
      <c r="J181" s="121" t="s">
        <v>93</v>
      </c>
      <c r="K181" s="122"/>
      <c r="L181" s="122"/>
      <c r="M181" s="122"/>
      <c r="N181" s="122"/>
      <c r="O181" s="122"/>
      <c r="P181" s="122"/>
      <c r="Q181" s="122"/>
      <c r="R181" s="122"/>
      <c r="S181" s="122"/>
      <c r="T181" s="122"/>
      <c r="U181" s="122"/>
      <c r="V181" s="122"/>
      <c r="W181" s="122"/>
      <c r="X181" s="122"/>
      <c r="Y181" s="122"/>
      <c r="Z181" s="122"/>
      <c r="AA181" s="122"/>
      <c r="AB181" s="122"/>
      <c r="AC181" s="122"/>
      <c r="AD181" s="122"/>
      <c r="AE181" s="122"/>
      <c r="AF181" s="122"/>
      <c r="AG181" s="122"/>
      <c r="AH181" s="122"/>
      <c r="AI181" s="122"/>
      <c r="AJ181" s="122"/>
      <c r="AK181" s="122"/>
      <c r="AL181" s="122"/>
      <c r="AM181" s="122"/>
      <c r="AN181" s="122"/>
      <c r="AO181" s="123"/>
    </row>
    <row r="182" spans="6:41" x14ac:dyDescent="0.4">
      <c r="F182" s="63"/>
      <c r="G182" s="63"/>
      <c r="H182" s="63"/>
      <c r="I182" s="2"/>
      <c r="J182" s="97" t="s">
        <v>138</v>
      </c>
      <c r="K182" s="98"/>
      <c r="L182" s="98"/>
      <c r="M182" s="98"/>
      <c r="N182" s="98" t="s">
        <v>139</v>
      </c>
      <c r="O182" s="98"/>
      <c r="P182" s="98"/>
      <c r="Q182" s="98"/>
      <c r="R182" s="98" t="s">
        <v>140</v>
      </c>
      <c r="S182" s="98"/>
      <c r="T182" s="98"/>
      <c r="U182" s="98"/>
      <c r="V182" s="98" t="s">
        <v>141</v>
      </c>
      <c r="W182" s="98"/>
      <c r="X182" s="98"/>
      <c r="Y182" s="98"/>
      <c r="Z182" s="98" t="s">
        <v>142</v>
      </c>
      <c r="AA182" s="98"/>
      <c r="AB182" s="98"/>
      <c r="AC182" s="98"/>
      <c r="AD182" s="98" t="s">
        <v>143</v>
      </c>
      <c r="AE182" s="98"/>
      <c r="AF182" s="98"/>
      <c r="AG182" s="98"/>
      <c r="AH182" s="98" t="s">
        <v>144</v>
      </c>
      <c r="AI182" s="98"/>
      <c r="AJ182" s="98"/>
      <c r="AK182" s="98"/>
      <c r="AL182" s="98" t="s">
        <v>145</v>
      </c>
      <c r="AM182" s="98"/>
      <c r="AN182" s="98"/>
      <c r="AO182" s="99"/>
    </row>
    <row r="183" spans="6:41" x14ac:dyDescent="0.4">
      <c r="F183" s="75" t="s">
        <v>176</v>
      </c>
      <c r="G183" s="75"/>
      <c r="H183" s="75"/>
      <c r="I183" s="21"/>
      <c r="J183" s="118" t="s">
        <v>93</v>
      </c>
      <c r="K183" s="119"/>
      <c r="L183" s="119"/>
      <c r="M183" s="119"/>
      <c r="N183" s="119"/>
      <c r="O183" s="119"/>
      <c r="P183" s="119"/>
      <c r="Q183" s="119"/>
      <c r="R183" s="119"/>
      <c r="S183" s="119"/>
      <c r="T183" s="119"/>
      <c r="U183" s="119"/>
      <c r="V183" s="119"/>
      <c r="W183" s="119"/>
      <c r="X183" s="119"/>
      <c r="Y183" s="119"/>
      <c r="Z183" s="119"/>
      <c r="AA183" s="119"/>
      <c r="AB183" s="119"/>
      <c r="AC183" s="119"/>
      <c r="AD183" s="119"/>
      <c r="AE183" s="119"/>
      <c r="AF183" s="119"/>
      <c r="AG183" s="119"/>
      <c r="AH183" s="119"/>
      <c r="AI183" s="119"/>
      <c r="AJ183" s="119"/>
      <c r="AK183" s="119"/>
      <c r="AL183" s="119"/>
      <c r="AM183" s="119"/>
      <c r="AN183" s="119"/>
      <c r="AO183" s="120"/>
    </row>
    <row r="184" spans="6:41" x14ac:dyDescent="0.4">
      <c r="F184" s="63"/>
      <c r="G184" s="63"/>
      <c r="H184" s="63"/>
      <c r="J184" s="97" t="s">
        <v>146</v>
      </c>
      <c r="K184" s="98"/>
      <c r="L184" s="98"/>
      <c r="M184" s="98"/>
      <c r="N184" s="98" t="s">
        <v>147</v>
      </c>
      <c r="O184" s="98"/>
      <c r="P184" s="98"/>
      <c r="Q184" s="98"/>
      <c r="R184" s="98" t="s">
        <v>148</v>
      </c>
      <c r="S184" s="98"/>
      <c r="T184" s="98"/>
      <c r="U184" s="98"/>
      <c r="V184" s="98" t="s">
        <v>149</v>
      </c>
      <c r="W184" s="98"/>
      <c r="X184" s="98"/>
      <c r="Y184" s="98"/>
      <c r="Z184" s="98" t="s">
        <v>150</v>
      </c>
      <c r="AA184" s="98"/>
      <c r="AB184" s="98"/>
      <c r="AC184" s="98"/>
      <c r="AD184" s="98" t="s">
        <v>151</v>
      </c>
      <c r="AE184" s="98"/>
      <c r="AF184" s="98"/>
      <c r="AG184" s="98"/>
      <c r="AH184" s="98" t="s">
        <v>152</v>
      </c>
      <c r="AI184" s="98"/>
      <c r="AJ184" s="98"/>
      <c r="AK184" s="98"/>
      <c r="AL184" s="98" t="s">
        <v>153</v>
      </c>
      <c r="AM184" s="98"/>
      <c r="AN184" s="98"/>
      <c r="AO184" s="99"/>
    </row>
    <row r="185" spans="6:41" x14ac:dyDescent="0.4">
      <c r="F185" s="75" t="s">
        <v>177</v>
      </c>
      <c r="G185" s="75"/>
      <c r="H185" s="75"/>
      <c r="I185" s="21"/>
      <c r="J185" s="118" t="s">
        <v>93</v>
      </c>
      <c r="K185" s="119"/>
      <c r="L185" s="119"/>
      <c r="M185" s="119"/>
      <c r="N185" s="119"/>
      <c r="O185" s="119"/>
      <c r="P185" s="119"/>
      <c r="Q185" s="119"/>
      <c r="R185" s="119"/>
      <c r="S185" s="119"/>
      <c r="T185" s="119"/>
      <c r="U185" s="119"/>
      <c r="V185" s="119"/>
      <c r="W185" s="119"/>
      <c r="X185" s="119"/>
      <c r="Y185" s="119"/>
      <c r="Z185" s="119"/>
      <c r="AA185" s="119"/>
      <c r="AB185" s="119"/>
      <c r="AC185" s="119"/>
      <c r="AD185" s="119"/>
      <c r="AE185" s="119"/>
      <c r="AF185" s="119"/>
      <c r="AG185" s="119"/>
      <c r="AH185" s="119"/>
      <c r="AI185" s="119"/>
      <c r="AJ185" s="119"/>
      <c r="AK185" s="119"/>
      <c r="AL185" s="119"/>
      <c r="AM185" s="119"/>
      <c r="AN185" s="119"/>
      <c r="AO185" s="120"/>
    </row>
    <row r="186" spans="6:41" x14ac:dyDescent="0.4">
      <c r="F186" s="93"/>
      <c r="G186" s="93"/>
      <c r="H186" s="93"/>
      <c r="I186" s="2"/>
      <c r="J186" s="97" t="s">
        <v>154</v>
      </c>
      <c r="K186" s="98"/>
      <c r="L186" s="98"/>
      <c r="M186" s="98"/>
      <c r="N186" s="98" t="s">
        <v>155</v>
      </c>
      <c r="O186" s="98"/>
      <c r="P186" s="98"/>
      <c r="Q186" s="98"/>
      <c r="R186" s="98" t="s">
        <v>156</v>
      </c>
      <c r="S186" s="98"/>
      <c r="T186" s="98"/>
      <c r="U186" s="98"/>
      <c r="V186" s="98" t="s">
        <v>157</v>
      </c>
      <c r="W186" s="98"/>
      <c r="X186" s="98"/>
      <c r="Y186" s="98"/>
      <c r="Z186" s="98" t="s">
        <v>158</v>
      </c>
      <c r="AA186" s="98"/>
      <c r="AB186" s="98"/>
      <c r="AC186" s="98"/>
      <c r="AD186" s="98" t="s">
        <v>159</v>
      </c>
      <c r="AE186" s="98"/>
      <c r="AF186" s="98"/>
      <c r="AG186" s="98"/>
      <c r="AH186" s="98" t="s">
        <v>160</v>
      </c>
      <c r="AI186" s="98"/>
      <c r="AJ186" s="98"/>
      <c r="AK186" s="98"/>
      <c r="AL186" s="98" t="s">
        <v>161</v>
      </c>
      <c r="AM186" s="98"/>
      <c r="AN186" s="98"/>
      <c r="AO186" s="99"/>
    </row>
    <row r="187" spans="6:41" x14ac:dyDescent="0.4">
      <c r="F187" s="75" t="s">
        <v>174</v>
      </c>
      <c r="G187" s="75"/>
      <c r="H187" s="75"/>
      <c r="I187" s="21"/>
      <c r="J187" s="118" t="s">
        <v>93</v>
      </c>
      <c r="K187" s="119"/>
      <c r="L187" s="119"/>
      <c r="M187" s="119"/>
      <c r="N187" s="119"/>
      <c r="O187" s="119"/>
      <c r="P187" s="119"/>
      <c r="Q187" s="119"/>
      <c r="R187" s="119"/>
      <c r="S187" s="119"/>
      <c r="T187" s="119"/>
      <c r="U187" s="119"/>
      <c r="V187" s="119"/>
      <c r="W187" s="119"/>
      <c r="X187" s="119"/>
      <c r="Y187" s="119"/>
      <c r="Z187" s="119"/>
      <c r="AA187" s="119"/>
      <c r="AB187" s="119"/>
      <c r="AC187" s="119"/>
      <c r="AD187" s="119"/>
      <c r="AE187" s="119"/>
      <c r="AF187" s="119"/>
      <c r="AG187" s="119"/>
      <c r="AH187" s="119"/>
      <c r="AI187" s="119"/>
      <c r="AJ187" s="119"/>
      <c r="AK187" s="119"/>
      <c r="AL187" s="119"/>
      <c r="AM187" s="119"/>
      <c r="AN187" s="119"/>
      <c r="AO187" s="120"/>
    </row>
    <row r="188" spans="6:41" ht="19.5" thickBot="1" x14ac:dyDescent="0.45">
      <c r="F188" s="63"/>
      <c r="G188" s="63"/>
      <c r="H188" s="63"/>
      <c r="I188" s="2"/>
      <c r="J188" s="89" t="s">
        <v>162</v>
      </c>
      <c r="K188" s="90"/>
      <c r="L188" s="90"/>
      <c r="M188" s="90"/>
      <c r="N188" s="90" t="s">
        <v>163</v>
      </c>
      <c r="O188" s="90"/>
      <c r="P188" s="90"/>
      <c r="Q188" s="90"/>
      <c r="R188" s="90" t="s">
        <v>164</v>
      </c>
      <c r="S188" s="90"/>
      <c r="T188" s="90"/>
      <c r="U188" s="90"/>
      <c r="V188" s="90" t="s">
        <v>165</v>
      </c>
      <c r="W188" s="90"/>
      <c r="X188" s="90"/>
      <c r="Y188" s="90"/>
      <c r="Z188" s="90" t="s">
        <v>166</v>
      </c>
      <c r="AA188" s="90"/>
      <c r="AB188" s="90"/>
      <c r="AC188" s="90"/>
      <c r="AD188" s="90" t="s">
        <v>167</v>
      </c>
      <c r="AE188" s="90"/>
      <c r="AF188" s="90"/>
      <c r="AG188" s="90"/>
      <c r="AH188" s="90" t="s">
        <v>168</v>
      </c>
      <c r="AI188" s="90"/>
      <c r="AJ188" s="90"/>
      <c r="AK188" s="90"/>
      <c r="AL188" s="90" t="s">
        <v>169</v>
      </c>
      <c r="AM188" s="90"/>
      <c r="AN188" s="90"/>
      <c r="AO188" s="92"/>
    </row>
    <row r="189" spans="6:41" ht="19.5" thickTop="1" x14ac:dyDescent="0.4">
      <c r="F189" s="75" t="s">
        <v>0</v>
      </c>
      <c r="G189" s="75"/>
      <c r="H189" s="75"/>
      <c r="I189" s="21"/>
      <c r="J189" s="106" t="s">
        <v>0</v>
      </c>
      <c r="K189" s="107"/>
      <c r="L189" s="107"/>
      <c r="M189" s="107"/>
      <c r="N189" s="107"/>
      <c r="O189" s="107"/>
      <c r="P189" s="107"/>
      <c r="Q189" s="107"/>
      <c r="R189" s="107"/>
      <c r="S189" s="107"/>
      <c r="T189" s="107"/>
      <c r="U189" s="107"/>
      <c r="V189" s="107"/>
      <c r="W189" s="107"/>
      <c r="X189" s="107"/>
      <c r="Y189" s="107"/>
      <c r="Z189" s="107"/>
      <c r="AA189" s="107"/>
      <c r="AB189" s="107"/>
      <c r="AC189" s="107"/>
      <c r="AD189" s="107"/>
      <c r="AE189" s="107"/>
      <c r="AF189" s="107"/>
      <c r="AG189" s="107"/>
      <c r="AH189" s="107"/>
      <c r="AI189" s="107"/>
      <c r="AJ189" s="107"/>
      <c r="AK189" s="107"/>
      <c r="AL189" s="107"/>
      <c r="AM189" s="107"/>
      <c r="AN189" s="107"/>
      <c r="AO189" s="108"/>
    </row>
    <row r="190" spans="6:41" ht="19.5" thickBot="1" x14ac:dyDescent="0.45">
      <c r="F190" s="63"/>
      <c r="G190" s="63"/>
      <c r="H190" s="63"/>
      <c r="I190" s="2"/>
      <c r="J190" s="109"/>
      <c r="K190" s="110"/>
      <c r="L190" s="110"/>
      <c r="M190" s="110"/>
      <c r="N190" s="110"/>
      <c r="O190" s="110"/>
      <c r="P190" s="110"/>
      <c r="Q190" s="110"/>
      <c r="R190" s="110"/>
      <c r="S190" s="110"/>
      <c r="T190" s="110"/>
      <c r="U190" s="110"/>
      <c r="V190" s="110"/>
      <c r="W190" s="110"/>
      <c r="X190" s="110"/>
      <c r="Y190" s="110"/>
      <c r="Z190" s="110"/>
      <c r="AA190" s="110"/>
      <c r="AB190" s="110"/>
      <c r="AC190" s="110"/>
      <c r="AD190" s="110"/>
      <c r="AE190" s="110"/>
      <c r="AF190" s="110"/>
      <c r="AG190" s="110"/>
      <c r="AH190" s="110"/>
      <c r="AI190" s="110"/>
      <c r="AJ190" s="110"/>
      <c r="AK190" s="110"/>
      <c r="AL190" s="110"/>
      <c r="AM190" s="110"/>
      <c r="AN190" s="110"/>
      <c r="AO190" s="111"/>
    </row>
    <row r="191" spans="6:41" ht="19.5" thickTop="1" x14ac:dyDescent="0.4">
      <c r="F191" s="115" t="s">
        <v>185</v>
      </c>
      <c r="G191" s="75"/>
      <c r="H191" s="75"/>
      <c r="I191" s="21"/>
      <c r="J191" s="94" t="s">
        <v>126</v>
      </c>
      <c r="K191" s="95"/>
      <c r="L191" s="95"/>
      <c r="M191" s="95"/>
      <c r="N191" s="95"/>
      <c r="O191" s="95"/>
      <c r="P191" s="95"/>
      <c r="Q191" s="95"/>
      <c r="R191" s="95"/>
      <c r="S191" s="95"/>
      <c r="T191" s="95"/>
      <c r="U191" s="95"/>
      <c r="V191" s="95"/>
      <c r="W191" s="95"/>
      <c r="X191" s="95"/>
      <c r="Y191" s="95"/>
      <c r="Z191" s="95"/>
      <c r="AA191" s="95"/>
      <c r="AB191" s="95"/>
      <c r="AC191" s="95"/>
      <c r="AD191" s="95"/>
      <c r="AE191" s="95"/>
      <c r="AF191" s="95"/>
      <c r="AG191" s="95"/>
      <c r="AH191" s="95"/>
      <c r="AI191" s="95"/>
      <c r="AJ191" s="95"/>
      <c r="AK191" s="95"/>
      <c r="AL191" s="95"/>
      <c r="AM191" s="95"/>
      <c r="AN191" s="95"/>
      <c r="AO191" s="96"/>
    </row>
    <row r="192" spans="6:41" x14ac:dyDescent="0.4">
      <c r="F192" s="93"/>
      <c r="G192" s="93"/>
      <c r="H192" s="93"/>
      <c r="I192" s="2"/>
      <c r="J192" s="97" t="s">
        <v>2</v>
      </c>
      <c r="K192" s="98"/>
      <c r="L192" s="98"/>
      <c r="M192" s="98"/>
      <c r="N192" s="98" t="s">
        <v>6</v>
      </c>
      <c r="O192" s="98"/>
      <c r="P192" s="98"/>
      <c r="Q192" s="98"/>
      <c r="R192" s="98" t="s">
        <v>5</v>
      </c>
      <c r="S192" s="98"/>
      <c r="T192" s="98"/>
      <c r="U192" s="98"/>
      <c r="V192" s="98" t="s">
        <v>4</v>
      </c>
      <c r="W192" s="98"/>
      <c r="X192" s="98"/>
      <c r="Y192" s="98"/>
      <c r="Z192" s="98" t="s">
        <v>3</v>
      </c>
      <c r="AA192" s="98"/>
      <c r="AB192" s="98"/>
      <c r="AC192" s="98"/>
      <c r="AD192" s="98" t="s">
        <v>53</v>
      </c>
      <c r="AE192" s="98"/>
      <c r="AF192" s="98"/>
      <c r="AG192" s="98"/>
      <c r="AH192" s="98" t="s">
        <v>54</v>
      </c>
      <c r="AI192" s="98"/>
      <c r="AJ192" s="98"/>
      <c r="AK192" s="98"/>
      <c r="AL192" s="98" t="s">
        <v>55</v>
      </c>
      <c r="AM192" s="98"/>
      <c r="AN192" s="98"/>
      <c r="AO192" s="99"/>
    </row>
    <row r="193" spans="6:41" x14ac:dyDescent="0.4">
      <c r="F193" s="115" t="s">
        <v>184</v>
      </c>
      <c r="G193" s="75"/>
      <c r="H193" s="75"/>
      <c r="I193" s="21"/>
      <c r="J193" s="100" t="s">
        <v>126</v>
      </c>
      <c r="K193" s="101"/>
      <c r="L193" s="101"/>
      <c r="M193" s="101"/>
      <c r="N193" s="101"/>
      <c r="O193" s="101"/>
      <c r="P193" s="101"/>
      <c r="Q193" s="101"/>
      <c r="R193" s="101"/>
      <c r="S193" s="101"/>
      <c r="T193" s="101"/>
      <c r="U193" s="101"/>
      <c r="V193" s="101"/>
      <c r="W193" s="101"/>
      <c r="X193" s="101"/>
      <c r="Y193" s="101"/>
      <c r="Z193" s="101"/>
      <c r="AA193" s="101"/>
      <c r="AB193" s="101"/>
      <c r="AC193" s="101"/>
      <c r="AD193" s="101"/>
      <c r="AE193" s="101"/>
      <c r="AF193" s="101"/>
      <c r="AG193" s="101"/>
      <c r="AH193" s="101"/>
      <c r="AI193" s="101"/>
      <c r="AJ193" s="101"/>
      <c r="AK193" s="101"/>
      <c r="AL193" s="101"/>
      <c r="AM193" s="101"/>
      <c r="AN193" s="101"/>
      <c r="AO193" s="102"/>
    </row>
    <row r="194" spans="6:41" x14ac:dyDescent="0.4">
      <c r="F194" s="93"/>
      <c r="G194" s="93"/>
      <c r="H194" s="93"/>
      <c r="J194" s="97" t="s">
        <v>56</v>
      </c>
      <c r="K194" s="98"/>
      <c r="L194" s="98"/>
      <c r="M194" s="98"/>
      <c r="N194" s="98" t="s">
        <v>57</v>
      </c>
      <c r="O194" s="98"/>
      <c r="P194" s="98"/>
      <c r="Q194" s="98"/>
      <c r="R194" s="98" t="s">
        <v>58</v>
      </c>
      <c r="S194" s="98"/>
      <c r="T194" s="98"/>
      <c r="U194" s="98"/>
      <c r="V194" s="98" t="s">
        <v>59</v>
      </c>
      <c r="W194" s="98"/>
      <c r="X194" s="98"/>
      <c r="Y194" s="98"/>
      <c r="Z194" s="98" t="s">
        <v>60</v>
      </c>
      <c r="AA194" s="98"/>
      <c r="AB194" s="98"/>
      <c r="AC194" s="98"/>
      <c r="AD194" s="98" t="s">
        <v>61</v>
      </c>
      <c r="AE194" s="98"/>
      <c r="AF194" s="98"/>
      <c r="AG194" s="98"/>
      <c r="AH194" s="98" t="s">
        <v>62</v>
      </c>
      <c r="AI194" s="98"/>
      <c r="AJ194" s="98"/>
      <c r="AK194" s="98"/>
      <c r="AL194" s="98" t="s">
        <v>63</v>
      </c>
      <c r="AM194" s="98"/>
      <c r="AN194" s="98"/>
      <c r="AO194" s="99"/>
    </row>
    <row r="195" spans="6:41" x14ac:dyDescent="0.4">
      <c r="F195" s="115" t="s">
        <v>183</v>
      </c>
      <c r="G195" s="75"/>
      <c r="H195" s="75"/>
      <c r="I195" s="21"/>
      <c r="J195" s="100" t="s">
        <v>126</v>
      </c>
      <c r="K195" s="101"/>
      <c r="L195" s="101"/>
      <c r="M195" s="101"/>
      <c r="N195" s="101"/>
      <c r="O195" s="101"/>
      <c r="P195" s="101"/>
      <c r="Q195" s="101"/>
      <c r="R195" s="101"/>
      <c r="S195" s="101"/>
      <c r="T195" s="101"/>
      <c r="U195" s="101"/>
      <c r="V195" s="101"/>
      <c r="W195" s="101"/>
      <c r="X195" s="101"/>
      <c r="Y195" s="101"/>
      <c r="Z195" s="101"/>
      <c r="AA195" s="101"/>
      <c r="AB195" s="101"/>
      <c r="AC195" s="101"/>
      <c r="AD195" s="101"/>
      <c r="AE195" s="101"/>
      <c r="AF195" s="101"/>
      <c r="AG195" s="101"/>
      <c r="AH195" s="101"/>
      <c r="AI195" s="101"/>
      <c r="AJ195" s="101"/>
      <c r="AK195" s="101"/>
      <c r="AL195" s="101"/>
      <c r="AM195" s="101"/>
      <c r="AN195" s="101"/>
      <c r="AO195" s="102"/>
    </row>
    <row r="196" spans="6:41" x14ac:dyDescent="0.4">
      <c r="F196" s="93"/>
      <c r="G196" s="93"/>
      <c r="H196" s="93"/>
      <c r="I196" s="2"/>
      <c r="J196" s="97" t="s">
        <v>64</v>
      </c>
      <c r="K196" s="98"/>
      <c r="L196" s="98"/>
      <c r="M196" s="98"/>
      <c r="N196" s="98" t="s">
        <v>65</v>
      </c>
      <c r="O196" s="98"/>
      <c r="P196" s="98"/>
      <c r="Q196" s="98"/>
      <c r="R196" s="98" t="s">
        <v>66</v>
      </c>
      <c r="S196" s="98"/>
      <c r="T196" s="98"/>
      <c r="U196" s="98"/>
      <c r="V196" s="98" t="s">
        <v>67</v>
      </c>
      <c r="W196" s="98"/>
      <c r="X196" s="98"/>
      <c r="Y196" s="98"/>
      <c r="Z196" s="98" t="s">
        <v>68</v>
      </c>
      <c r="AA196" s="98"/>
      <c r="AB196" s="98"/>
      <c r="AC196" s="98"/>
      <c r="AD196" s="98" t="s">
        <v>69</v>
      </c>
      <c r="AE196" s="98"/>
      <c r="AF196" s="98"/>
      <c r="AG196" s="98"/>
      <c r="AH196" s="98" t="s">
        <v>70</v>
      </c>
      <c r="AI196" s="98"/>
      <c r="AJ196" s="98"/>
      <c r="AK196" s="98"/>
      <c r="AL196" s="98" t="s">
        <v>71</v>
      </c>
      <c r="AM196" s="98"/>
      <c r="AN196" s="98"/>
      <c r="AO196" s="99"/>
    </row>
    <row r="197" spans="6:41" x14ac:dyDescent="0.4">
      <c r="F197" s="115" t="s">
        <v>182</v>
      </c>
      <c r="G197" s="75"/>
      <c r="H197" s="75"/>
      <c r="I197" s="21"/>
      <c r="J197" s="100" t="s">
        <v>126</v>
      </c>
      <c r="K197" s="101"/>
      <c r="L197" s="101"/>
      <c r="M197" s="101"/>
      <c r="N197" s="101"/>
      <c r="O197" s="101"/>
      <c r="P197" s="101"/>
      <c r="Q197" s="101"/>
      <c r="R197" s="101"/>
      <c r="S197" s="101"/>
      <c r="T197" s="101"/>
      <c r="U197" s="101"/>
      <c r="V197" s="101"/>
      <c r="W197" s="101"/>
      <c r="X197" s="101"/>
      <c r="Y197" s="101"/>
      <c r="Z197" s="101"/>
      <c r="AA197" s="101"/>
      <c r="AB197" s="101"/>
      <c r="AC197" s="101"/>
      <c r="AD197" s="101"/>
      <c r="AE197" s="101"/>
      <c r="AF197" s="101"/>
      <c r="AG197" s="101"/>
      <c r="AH197" s="101"/>
      <c r="AI197" s="101"/>
      <c r="AJ197" s="101"/>
      <c r="AK197" s="101"/>
      <c r="AL197" s="101"/>
      <c r="AM197" s="101"/>
      <c r="AN197" s="101"/>
      <c r="AO197" s="102"/>
    </row>
    <row r="198" spans="6:41" x14ac:dyDescent="0.4">
      <c r="F198" s="93"/>
      <c r="G198" s="93"/>
      <c r="H198" s="93"/>
      <c r="I198" s="2"/>
      <c r="J198" s="97" t="s">
        <v>72</v>
      </c>
      <c r="K198" s="98"/>
      <c r="L198" s="98"/>
      <c r="M198" s="98"/>
      <c r="N198" s="98" t="s">
        <v>73</v>
      </c>
      <c r="O198" s="98"/>
      <c r="P198" s="98"/>
      <c r="Q198" s="98"/>
      <c r="R198" s="98" t="s">
        <v>74</v>
      </c>
      <c r="S198" s="98"/>
      <c r="T198" s="98"/>
      <c r="U198" s="98"/>
      <c r="V198" s="98" t="s">
        <v>75</v>
      </c>
      <c r="W198" s="98"/>
      <c r="X198" s="98"/>
      <c r="Y198" s="98"/>
      <c r="Z198" s="98" t="s">
        <v>76</v>
      </c>
      <c r="AA198" s="98"/>
      <c r="AB198" s="98"/>
      <c r="AC198" s="98"/>
      <c r="AD198" s="98" t="s">
        <v>77</v>
      </c>
      <c r="AE198" s="98"/>
      <c r="AF198" s="98"/>
      <c r="AG198" s="98"/>
      <c r="AH198" s="98" t="s">
        <v>78</v>
      </c>
      <c r="AI198" s="98"/>
      <c r="AJ198" s="98"/>
      <c r="AK198" s="98"/>
      <c r="AL198" s="98" t="s">
        <v>79</v>
      </c>
      <c r="AM198" s="98"/>
      <c r="AN198" s="98"/>
      <c r="AO198" s="99"/>
    </row>
    <row r="199" spans="6:41" x14ac:dyDescent="0.4">
      <c r="F199" s="115" t="s">
        <v>178</v>
      </c>
      <c r="G199" s="115"/>
      <c r="H199" s="115"/>
      <c r="I199" s="21"/>
      <c r="J199" s="103" t="s">
        <v>126</v>
      </c>
      <c r="K199" s="104"/>
      <c r="L199" s="104"/>
      <c r="M199" s="104"/>
      <c r="N199" s="104"/>
      <c r="O199" s="104"/>
      <c r="P199" s="104"/>
      <c r="Q199" s="104"/>
      <c r="R199" s="104"/>
      <c r="S199" s="104"/>
      <c r="T199" s="104"/>
      <c r="U199" s="104"/>
      <c r="V199" s="104"/>
      <c r="W199" s="104"/>
      <c r="X199" s="104"/>
      <c r="Y199" s="104"/>
      <c r="Z199" s="104"/>
      <c r="AA199" s="104"/>
      <c r="AB199" s="104"/>
      <c r="AC199" s="104"/>
      <c r="AD199" s="104"/>
      <c r="AE199" s="104"/>
      <c r="AF199" s="104"/>
      <c r="AG199" s="104"/>
      <c r="AH199" s="104"/>
      <c r="AI199" s="104"/>
      <c r="AJ199" s="104"/>
      <c r="AK199" s="104"/>
      <c r="AL199" s="104"/>
      <c r="AM199" s="104"/>
      <c r="AN199" s="104"/>
      <c r="AO199" s="105"/>
    </row>
    <row r="200" spans="6:41" x14ac:dyDescent="0.4">
      <c r="F200" s="124"/>
      <c r="G200" s="124"/>
      <c r="H200" s="124"/>
      <c r="I200" s="2"/>
      <c r="J200" s="97" t="s">
        <v>138</v>
      </c>
      <c r="K200" s="98"/>
      <c r="L200" s="98"/>
      <c r="M200" s="98"/>
      <c r="N200" s="98" t="s">
        <v>139</v>
      </c>
      <c r="O200" s="98"/>
      <c r="P200" s="98"/>
      <c r="Q200" s="98"/>
      <c r="R200" s="98" t="s">
        <v>140</v>
      </c>
      <c r="S200" s="98"/>
      <c r="T200" s="98"/>
      <c r="U200" s="98"/>
      <c r="V200" s="98" t="s">
        <v>141</v>
      </c>
      <c r="W200" s="98"/>
      <c r="X200" s="98"/>
      <c r="Y200" s="98"/>
      <c r="Z200" s="98" t="s">
        <v>142</v>
      </c>
      <c r="AA200" s="98"/>
      <c r="AB200" s="98"/>
      <c r="AC200" s="98"/>
      <c r="AD200" s="98" t="s">
        <v>143</v>
      </c>
      <c r="AE200" s="98"/>
      <c r="AF200" s="98"/>
      <c r="AG200" s="98"/>
      <c r="AH200" s="98" t="s">
        <v>144</v>
      </c>
      <c r="AI200" s="98"/>
      <c r="AJ200" s="98"/>
      <c r="AK200" s="98"/>
      <c r="AL200" s="98" t="s">
        <v>145</v>
      </c>
      <c r="AM200" s="98"/>
      <c r="AN200" s="98"/>
      <c r="AO200" s="99"/>
    </row>
    <row r="201" spans="6:41" x14ac:dyDescent="0.4">
      <c r="F201" s="115" t="s">
        <v>181</v>
      </c>
      <c r="G201" s="115"/>
      <c r="H201" s="115"/>
      <c r="I201" s="21"/>
      <c r="J201" s="100" t="s">
        <v>126</v>
      </c>
      <c r="K201" s="101"/>
      <c r="L201" s="101"/>
      <c r="M201" s="101"/>
      <c r="N201" s="101"/>
      <c r="O201" s="101"/>
      <c r="P201" s="101"/>
      <c r="Q201" s="101"/>
      <c r="R201" s="101"/>
      <c r="S201" s="101"/>
      <c r="T201" s="101"/>
      <c r="U201" s="101"/>
      <c r="V201" s="101"/>
      <c r="W201" s="101"/>
      <c r="X201" s="101"/>
      <c r="Y201" s="101"/>
      <c r="Z201" s="101"/>
      <c r="AA201" s="101"/>
      <c r="AB201" s="101"/>
      <c r="AC201" s="101"/>
      <c r="AD201" s="101"/>
      <c r="AE201" s="101"/>
      <c r="AF201" s="101"/>
      <c r="AG201" s="101"/>
      <c r="AH201" s="101"/>
      <c r="AI201" s="101"/>
      <c r="AJ201" s="101"/>
      <c r="AK201" s="101"/>
      <c r="AL201" s="101"/>
      <c r="AM201" s="101"/>
      <c r="AN201" s="101"/>
      <c r="AO201" s="102"/>
    </row>
    <row r="202" spans="6:41" x14ac:dyDescent="0.4">
      <c r="F202" s="124"/>
      <c r="G202" s="124"/>
      <c r="H202" s="124"/>
      <c r="J202" s="97" t="s">
        <v>146</v>
      </c>
      <c r="K202" s="98"/>
      <c r="L202" s="98"/>
      <c r="M202" s="98"/>
      <c r="N202" s="98" t="s">
        <v>147</v>
      </c>
      <c r="O202" s="98"/>
      <c r="P202" s="98"/>
      <c r="Q202" s="98"/>
      <c r="R202" s="98" t="s">
        <v>148</v>
      </c>
      <c r="S202" s="98"/>
      <c r="T202" s="98"/>
      <c r="U202" s="98"/>
      <c r="V202" s="98" t="s">
        <v>149</v>
      </c>
      <c r="W202" s="98"/>
      <c r="X202" s="98"/>
      <c r="Y202" s="98"/>
      <c r="Z202" s="98" t="s">
        <v>150</v>
      </c>
      <c r="AA202" s="98"/>
      <c r="AB202" s="98"/>
      <c r="AC202" s="98"/>
      <c r="AD202" s="98" t="s">
        <v>151</v>
      </c>
      <c r="AE202" s="98"/>
      <c r="AF202" s="98"/>
      <c r="AG202" s="98"/>
      <c r="AH202" s="98" t="s">
        <v>152</v>
      </c>
      <c r="AI202" s="98"/>
      <c r="AJ202" s="98"/>
      <c r="AK202" s="98"/>
      <c r="AL202" s="98" t="s">
        <v>153</v>
      </c>
      <c r="AM202" s="98"/>
      <c r="AN202" s="98"/>
      <c r="AO202" s="99"/>
    </row>
    <row r="203" spans="6:41" x14ac:dyDescent="0.4">
      <c r="F203" s="115" t="s">
        <v>180</v>
      </c>
      <c r="G203" s="115"/>
      <c r="H203" s="115"/>
      <c r="I203" s="21"/>
      <c r="J203" s="100" t="s">
        <v>126</v>
      </c>
      <c r="K203" s="101"/>
      <c r="L203" s="101"/>
      <c r="M203" s="101"/>
      <c r="N203" s="101"/>
      <c r="O203" s="101"/>
      <c r="P203" s="101"/>
      <c r="Q203" s="101"/>
      <c r="R203" s="101"/>
      <c r="S203" s="101"/>
      <c r="T203" s="101"/>
      <c r="U203" s="101"/>
      <c r="V203" s="101"/>
      <c r="W203" s="101"/>
      <c r="X203" s="101"/>
      <c r="Y203" s="101"/>
      <c r="Z203" s="101"/>
      <c r="AA203" s="101"/>
      <c r="AB203" s="101"/>
      <c r="AC203" s="101"/>
      <c r="AD203" s="101"/>
      <c r="AE203" s="101"/>
      <c r="AF203" s="101"/>
      <c r="AG203" s="101"/>
      <c r="AH203" s="101"/>
      <c r="AI203" s="101"/>
      <c r="AJ203" s="101"/>
      <c r="AK203" s="101"/>
      <c r="AL203" s="101"/>
      <c r="AM203" s="101"/>
      <c r="AN203" s="101"/>
      <c r="AO203" s="102"/>
    </row>
    <row r="204" spans="6:41" x14ac:dyDescent="0.4">
      <c r="F204" s="124"/>
      <c r="G204" s="124"/>
      <c r="H204" s="124"/>
      <c r="I204" s="2"/>
      <c r="J204" s="97" t="s">
        <v>154</v>
      </c>
      <c r="K204" s="98"/>
      <c r="L204" s="98"/>
      <c r="M204" s="98"/>
      <c r="N204" s="98" t="s">
        <v>155</v>
      </c>
      <c r="O204" s="98"/>
      <c r="P204" s="98"/>
      <c r="Q204" s="98"/>
      <c r="R204" s="98" t="s">
        <v>156</v>
      </c>
      <c r="S204" s="98"/>
      <c r="T204" s="98"/>
      <c r="U204" s="98"/>
      <c r="V204" s="98" t="s">
        <v>157</v>
      </c>
      <c r="W204" s="98"/>
      <c r="X204" s="98"/>
      <c r="Y204" s="98"/>
      <c r="Z204" s="98" t="s">
        <v>158</v>
      </c>
      <c r="AA204" s="98"/>
      <c r="AB204" s="98"/>
      <c r="AC204" s="98"/>
      <c r="AD204" s="98" t="s">
        <v>159</v>
      </c>
      <c r="AE204" s="98"/>
      <c r="AF204" s="98"/>
      <c r="AG204" s="98"/>
      <c r="AH204" s="98" t="s">
        <v>160</v>
      </c>
      <c r="AI204" s="98"/>
      <c r="AJ204" s="98"/>
      <c r="AK204" s="98"/>
      <c r="AL204" s="98" t="s">
        <v>161</v>
      </c>
      <c r="AM204" s="98"/>
      <c r="AN204" s="98"/>
      <c r="AO204" s="99"/>
    </row>
    <row r="205" spans="6:41" x14ac:dyDescent="0.4">
      <c r="F205" s="75" t="s">
        <v>179</v>
      </c>
      <c r="G205" s="75"/>
      <c r="H205" s="75"/>
      <c r="I205" s="21"/>
      <c r="J205" s="100" t="s">
        <v>126</v>
      </c>
      <c r="K205" s="101"/>
      <c r="L205" s="101"/>
      <c r="M205" s="101"/>
      <c r="N205" s="101"/>
      <c r="O205" s="101"/>
      <c r="P205" s="101"/>
      <c r="Q205" s="101"/>
      <c r="R205" s="101"/>
      <c r="S205" s="101"/>
      <c r="T205" s="101"/>
      <c r="U205" s="101"/>
      <c r="V205" s="101"/>
      <c r="W205" s="101"/>
      <c r="X205" s="101"/>
      <c r="Y205" s="101"/>
      <c r="Z205" s="101"/>
      <c r="AA205" s="101"/>
      <c r="AB205" s="101"/>
      <c r="AC205" s="101"/>
      <c r="AD205" s="101"/>
      <c r="AE205" s="101"/>
      <c r="AF205" s="101"/>
      <c r="AG205" s="101"/>
      <c r="AH205" s="101"/>
      <c r="AI205" s="101"/>
      <c r="AJ205" s="101"/>
      <c r="AK205" s="101"/>
      <c r="AL205" s="101"/>
      <c r="AM205" s="101"/>
      <c r="AN205" s="101"/>
      <c r="AO205" s="102"/>
    </row>
    <row r="206" spans="6:41" ht="19.5" thickBot="1" x14ac:dyDescent="0.45">
      <c r="F206" s="93"/>
      <c r="G206" s="93"/>
      <c r="H206" s="93"/>
      <c r="I206" s="2"/>
      <c r="J206" s="89" t="s">
        <v>162</v>
      </c>
      <c r="K206" s="90"/>
      <c r="L206" s="90"/>
      <c r="M206" s="90"/>
      <c r="N206" s="90" t="s">
        <v>163</v>
      </c>
      <c r="O206" s="90"/>
      <c r="P206" s="90"/>
      <c r="Q206" s="90"/>
      <c r="R206" s="90" t="s">
        <v>164</v>
      </c>
      <c r="S206" s="90"/>
      <c r="T206" s="90"/>
      <c r="U206" s="90"/>
      <c r="V206" s="90" t="s">
        <v>165</v>
      </c>
      <c r="W206" s="90"/>
      <c r="X206" s="90"/>
      <c r="Y206" s="90"/>
      <c r="Z206" s="90" t="s">
        <v>166</v>
      </c>
      <c r="AA206" s="90"/>
      <c r="AB206" s="90"/>
      <c r="AC206" s="90"/>
      <c r="AD206" s="90" t="s">
        <v>167</v>
      </c>
      <c r="AE206" s="90"/>
      <c r="AF206" s="90"/>
      <c r="AG206" s="90"/>
      <c r="AH206" s="90" t="s">
        <v>168</v>
      </c>
      <c r="AI206" s="90"/>
      <c r="AJ206" s="90"/>
      <c r="AK206" s="90"/>
      <c r="AL206" s="90" t="s">
        <v>169</v>
      </c>
      <c r="AM206" s="90"/>
      <c r="AN206" s="90"/>
      <c r="AO206" s="92"/>
    </row>
    <row r="207" spans="6:41" ht="19.5" thickTop="1" x14ac:dyDescent="0.4"/>
    <row r="211" spans="6:41" ht="19.5" thickBot="1" x14ac:dyDescent="0.45">
      <c r="I211" s="3"/>
      <c r="J211" s="62" t="str">
        <f>"+0"</f>
        <v>+0</v>
      </c>
      <c r="K211" s="63"/>
      <c r="L211" s="63"/>
      <c r="M211" s="64"/>
      <c r="N211" s="78" t="str">
        <f>"+1"</f>
        <v>+1</v>
      </c>
      <c r="O211" s="79"/>
      <c r="P211" s="79"/>
      <c r="Q211" s="80"/>
      <c r="R211" s="62" t="str">
        <f>"+2"</f>
        <v>+2</v>
      </c>
      <c r="S211" s="63"/>
      <c r="T211" s="63"/>
      <c r="U211" s="64"/>
      <c r="V211" s="62" t="str">
        <f>"+3"</f>
        <v>+3</v>
      </c>
      <c r="W211" s="63"/>
      <c r="X211" s="63"/>
      <c r="Y211" s="64"/>
      <c r="Z211" s="62" t="str">
        <f>"+4"</f>
        <v>+4</v>
      </c>
      <c r="AA211" s="63"/>
      <c r="AB211" s="63"/>
      <c r="AC211" s="64"/>
      <c r="AD211" s="62" t="str">
        <f>"+5"</f>
        <v>+5</v>
      </c>
      <c r="AE211" s="63"/>
      <c r="AF211" s="63"/>
      <c r="AG211" s="64"/>
      <c r="AH211" s="62" t="str">
        <f>"+6"</f>
        <v>+6</v>
      </c>
      <c r="AI211" s="63"/>
      <c r="AJ211" s="63"/>
      <c r="AK211" s="64"/>
      <c r="AL211" s="62" t="str">
        <f>"+7"</f>
        <v>+7</v>
      </c>
      <c r="AM211" s="63"/>
      <c r="AN211" s="63"/>
      <c r="AO211" s="64"/>
    </row>
    <row r="212" spans="6:41" x14ac:dyDescent="0.4">
      <c r="F212" s="75" t="s">
        <v>7</v>
      </c>
      <c r="G212" s="75"/>
      <c r="H212" s="75"/>
      <c r="I212" s="21"/>
      <c r="J212" s="116" t="s">
        <v>123</v>
      </c>
      <c r="K212" s="117"/>
      <c r="L212" s="117"/>
      <c r="M212" s="117"/>
      <c r="N212" s="76" t="s">
        <v>1</v>
      </c>
      <c r="O212" s="76"/>
      <c r="P212" s="76"/>
      <c r="Q212" s="76"/>
      <c r="R212" s="76"/>
      <c r="S212" s="76"/>
      <c r="T212" s="76"/>
      <c r="U212" s="76"/>
      <c r="V212" s="76"/>
      <c r="W212" s="76"/>
      <c r="X212" s="76"/>
      <c r="Y212" s="76"/>
      <c r="Z212" s="76"/>
      <c r="AA212" s="76"/>
      <c r="AB212" s="76"/>
      <c r="AC212" s="76"/>
      <c r="AD212" s="76"/>
      <c r="AE212" s="76"/>
      <c r="AF212" s="76"/>
      <c r="AG212" s="77"/>
      <c r="AH212" s="46" t="s">
        <v>127</v>
      </c>
      <c r="AI212" s="46"/>
      <c r="AJ212" s="46"/>
      <c r="AK212" s="46"/>
      <c r="AL212" s="46"/>
      <c r="AM212" s="46"/>
      <c r="AN212" s="46"/>
      <c r="AO212" s="47"/>
    </row>
    <row r="213" spans="6:41" ht="19.5" thickBot="1" x14ac:dyDescent="0.45">
      <c r="F213" s="93"/>
      <c r="G213" s="93"/>
      <c r="H213" s="93"/>
      <c r="I213" s="2"/>
      <c r="J213" s="48" t="s">
        <v>2</v>
      </c>
      <c r="K213" s="43"/>
      <c r="L213" s="43"/>
      <c r="M213" s="43"/>
      <c r="N213" s="54" t="s">
        <v>3</v>
      </c>
      <c r="O213" s="43"/>
      <c r="P213" s="43"/>
      <c r="Q213" s="43"/>
      <c r="R213" s="43" t="s">
        <v>4</v>
      </c>
      <c r="S213" s="43"/>
      <c r="T213" s="43"/>
      <c r="U213" s="43"/>
      <c r="V213" s="43" t="s">
        <v>5</v>
      </c>
      <c r="W213" s="43"/>
      <c r="X213" s="43"/>
      <c r="Y213" s="43"/>
      <c r="Z213" s="43" t="s">
        <v>6</v>
      </c>
      <c r="AA213" s="43"/>
      <c r="AB213" s="43"/>
      <c r="AC213" s="43"/>
      <c r="AD213" s="43" t="s">
        <v>2</v>
      </c>
      <c r="AE213" s="43"/>
      <c r="AF213" s="43"/>
      <c r="AG213" s="43"/>
      <c r="AH213" s="43" t="s">
        <v>6</v>
      </c>
      <c r="AI213" s="43"/>
      <c r="AJ213" s="43"/>
      <c r="AK213" s="43"/>
      <c r="AL213" s="43" t="s">
        <v>2</v>
      </c>
      <c r="AM213" s="43"/>
      <c r="AN213" s="43"/>
      <c r="AO213" s="44"/>
    </row>
  </sheetData>
  <mergeCells count="788">
    <mergeCell ref="F205:H206"/>
    <mergeCell ref="J205:AO205"/>
    <mergeCell ref="J206:M206"/>
    <mergeCell ref="N206:Q206"/>
    <mergeCell ref="R206:U206"/>
    <mergeCell ref="V206:Y206"/>
    <mergeCell ref="Z206:AC206"/>
    <mergeCell ref="AD206:AG206"/>
    <mergeCell ref="AH206:AK206"/>
    <mergeCell ref="AL206:AO206"/>
    <mergeCell ref="F203:H204"/>
    <mergeCell ref="J203:AO203"/>
    <mergeCell ref="J204:M204"/>
    <mergeCell ref="N204:Q204"/>
    <mergeCell ref="R204:U204"/>
    <mergeCell ref="V204:Y204"/>
    <mergeCell ref="Z204:AC204"/>
    <mergeCell ref="AD204:AG204"/>
    <mergeCell ref="AH204:AK204"/>
    <mergeCell ref="AL204:AO204"/>
    <mergeCell ref="F201:H202"/>
    <mergeCell ref="J201:AO201"/>
    <mergeCell ref="J202:M202"/>
    <mergeCell ref="N202:Q202"/>
    <mergeCell ref="R202:U202"/>
    <mergeCell ref="V202:Y202"/>
    <mergeCell ref="Z202:AC202"/>
    <mergeCell ref="AD202:AG202"/>
    <mergeCell ref="AH202:AK202"/>
    <mergeCell ref="AL202:AO202"/>
    <mergeCell ref="F199:H200"/>
    <mergeCell ref="J199:AO199"/>
    <mergeCell ref="J200:M200"/>
    <mergeCell ref="N200:Q200"/>
    <mergeCell ref="R200:U200"/>
    <mergeCell ref="V200:Y200"/>
    <mergeCell ref="Z200:AC200"/>
    <mergeCell ref="AD200:AG200"/>
    <mergeCell ref="AH200:AK200"/>
    <mergeCell ref="AL200:AO200"/>
    <mergeCell ref="F197:H198"/>
    <mergeCell ref="J197:AO197"/>
    <mergeCell ref="J198:M198"/>
    <mergeCell ref="N198:Q198"/>
    <mergeCell ref="R198:U198"/>
    <mergeCell ref="V198:Y198"/>
    <mergeCell ref="Z198:AC198"/>
    <mergeCell ref="AD198:AG198"/>
    <mergeCell ref="AH198:AK198"/>
    <mergeCell ref="AL198:AO198"/>
    <mergeCell ref="F195:H196"/>
    <mergeCell ref="J195:AO195"/>
    <mergeCell ref="J196:M196"/>
    <mergeCell ref="N196:Q196"/>
    <mergeCell ref="R196:U196"/>
    <mergeCell ref="V196:Y196"/>
    <mergeCell ref="Z196:AC196"/>
    <mergeCell ref="AD196:AG196"/>
    <mergeCell ref="AH196:AK196"/>
    <mergeCell ref="AL196:AO196"/>
    <mergeCell ref="F193:H194"/>
    <mergeCell ref="J193:AO193"/>
    <mergeCell ref="J194:M194"/>
    <mergeCell ref="N194:Q194"/>
    <mergeCell ref="R194:U194"/>
    <mergeCell ref="V194:Y194"/>
    <mergeCell ref="Z194:AC194"/>
    <mergeCell ref="AD194:AG194"/>
    <mergeCell ref="AH194:AK194"/>
    <mergeCell ref="AL194:AO194"/>
    <mergeCell ref="F189:H190"/>
    <mergeCell ref="J189:AO190"/>
    <mergeCell ref="F191:H192"/>
    <mergeCell ref="J191:AO191"/>
    <mergeCell ref="J192:M192"/>
    <mergeCell ref="N192:Q192"/>
    <mergeCell ref="R192:U192"/>
    <mergeCell ref="V192:Y192"/>
    <mergeCell ref="Z192:AC192"/>
    <mergeCell ref="AD192:AG192"/>
    <mergeCell ref="AH192:AK192"/>
    <mergeCell ref="AL192:AO192"/>
    <mergeCell ref="F187:H188"/>
    <mergeCell ref="J187:AO187"/>
    <mergeCell ref="J188:M188"/>
    <mergeCell ref="N188:Q188"/>
    <mergeCell ref="R188:U188"/>
    <mergeCell ref="V188:Y188"/>
    <mergeCell ref="Z188:AC188"/>
    <mergeCell ref="AD188:AG188"/>
    <mergeCell ref="AH188:AK188"/>
    <mergeCell ref="AL188:AO188"/>
    <mergeCell ref="F185:H186"/>
    <mergeCell ref="J185:AO185"/>
    <mergeCell ref="J186:M186"/>
    <mergeCell ref="N186:Q186"/>
    <mergeCell ref="R186:U186"/>
    <mergeCell ref="V186:Y186"/>
    <mergeCell ref="Z186:AC186"/>
    <mergeCell ref="AD186:AG186"/>
    <mergeCell ref="AH186:AK186"/>
    <mergeCell ref="AL186:AO186"/>
    <mergeCell ref="F183:H184"/>
    <mergeCell ref="J183:AO183"/>
    <mergeCell ref="J184:M184"/>
    <mergeCell ref="N184:Q184"/>
    <mergeCell ref="R184:U184"/>
    <mergeCell ref="V184:Y184"/>
    <mergeCell ref="Z184:AC184"/>
    <mergeCell ref="AD184:AG184"/>
    <mergeCell ref="AH184:AK184"/>
    <mergeCell ref="AL184:AO184"/>
    <mergeCell ref="F181:H182"/>
    <mergeCell ref="J181:AO181"/>
    <mergeCell ref="J182:M182"/>
    <mergeCell ref="N182:Q182"/>
    <mergeCell ref="R182:U182"/>
    <mergeCell ref="V182:Y182"/>
    <mergeCell ref="Z182:AC182"/>
    <mergeCell ref="AD182:AG182"/>
    <mergeCell ref="AH182:AK182"/>
    <mergeCell ref="AL182:AO182"/>
    <mergeCell ref="F179:H180"/>
    <mergeCell ref="J179:AO179"/>
    <mergeCell ref="J180:M180"/>
    <mergeCell ref="N180:Q180"/>
    <mergeCell ref="R180:U180"/>
    <mergeCell ref="V180:Y180"/>
    <mergeCell ref="Z180:AC180"/>
    <mergeCell ref="AD180:AG180"/>
    <mergeCell ref="AH180:AK180"/>
    <mergeCell ref="AL180:AO180"/>
    <mergeCell ref="F177:H178"/>
    <mergeCell ref="J177:AO177"/>
    <mergeCell ref="J178:M178"/>
    <mergeCell ref="N178:Q178"/>
    <mergeCell ref="R178:U178"/>
    <mergeCell ref="V178:Y178"/>
    <mergeCell ref="Z178:AC178"/>
    <mergeCell ref="AD178:AG178"/>
    <mergeCell ref="AH178:AK178"/>
    <mergeCell ref="AL178:AO178"/>
    <mergeCell ref="F175:H176"/>
    <mergeCell ref="J175:AO175"/>
    <mergeCell ref="J176:M176"/>
    <mergeCell ref="N176:Q176"/>
    <mergeCell ref="R176:U176"/>
    <mergeCell ref="V176:Y176"/>
    <mergeCell ref="Z176:AC176"/>
    <mergeCell ref="AD176:AG176"/>
    <mergeCell ref="AH176:AK176"/>
    <mergeCell ref="AL176:AO176"/>
    <mergeCell ref="F173:H174"/>
    <mergeCell ref="J173:AO173"/>
    <mergeCell ref="J174:M174"/>
    <mergeCell ref="N174:Q174"/>
    <mergeCell ref="R174:U174"/>
    <mergeCell ref="V174:Y174"/>
    <mergeCell ref="Z174:AC174"/>
    <mergeCell ref="AD174:AG174"/>
    <mergeCell ref="AH174:AK174"/>
    <mergeCell ref="AL174:AO174"/>
    <mergeCell ref="F171:H172"/>
    <mergeCell ref="J171:AO171"/>
    <mergeCell ref="J172:M172"/>
    <mergeCell ref="N172:Q172"/>
    <mergeCell ref="R172:U172"/>
    <mergeCell ref="V172:Y172"/>
    <mergeCell ref="Z172:AC172"/>
    <mergeCell ref="AD172:AG172"/>
    <mergeCell ref="AH172:AK172"/>
    <mergeCell ref="AL172:AO172"/>
    <mergeCell ref="F169:H170"/>
    <mergeCell ref="J169:AO169"/>
    <mergeCell ref="J170:M170"/>
    <mergeCell ref="N170:Q170"/>
    <mergeCell ref="R170:U170"/>
    <mergeCell ref="V170:Y170"/>
    <mergeCell ref="Z170:AC170"/>
    <mergeCell ref="AD170:AG170"/>
    <mergeCell ref="AH170:AK170"/>
    <mergeCell ref="AL170:AO170"/>
    <mergeCell ref="F167:H168"/>
    <mergeCell ref="J167:AO167"/>
    <mergeCell ref="J168:M168"/>
    <mergeCell ref="N168:Q168"/>
    <mergeCell ref="R168:U168"/>
    <mergeCell ref="V168:Y168"/>
    <mergeCell ref="Z168:AC168"/>
    <mergeCell ref="AD168:AG168"/>
    <mergeCell ref="AH168:AK168"/>
    <mergeCell ref="AL168:AO168"/>
    <mergeCell ref="F165:H166"/>
    <mergeCell ref="J165:AO165"/>
    <mergeCell ref="J166:M166"/>
    <mergeCell ref="N166:Q166"/>
    <mergeCell ref="R166:U166"/>
    <mergeCell ref="V166:Y166"/>
    <mergeCell ref="Z166:AC166"/>
    <mergeCell ref="AD166:AG166"/>
    <mergeCell ref="AH166:AK166"/>
    <mergeCell ref="AL166:AO166"/>
    <mergeCell ref="F163:H164"/>
    <mergeCell ref="J163:AO163"/>
    <mergeCell ref="J164:M164"/>
    <mergeCell ref="N164:Q164"/>
    <mergeCell ref="R164:U164"/>
    <mergeCell ref="V164:Y164"/>
    <mergeCell ref="Z164:AC164"/>
    <mergeCell ref="AD164:AG164"/>
    <mergeCell ref="AH164:AK164"/>
    <mergeCell ref="AL164:AO164"/>
    <mergeCell ref="F161:H162"/>
    <mergeCell ref="J161:AO161"/>
    <mergeCell ref="J162:M162"/>
    <mergeCell ref="N162:Q162"/>
    <mergeCell ref="R162:U162"/>
    <mergeCell ref="V162:Y162"/>
    <mergeCell ref="Z162:AC162"/>
    <mergeCell ref="AD162:AG162"/>
    <mergeCell ref="AH162:AK162"/>
    <mergeCell ref="AL162:AO162"/>
    <mergeCell ref="F159:H160"/>
    <mergeCell ref="J159:AO159"/>
    <mergeCell ref="J160:M160"/>
    <mergeCell ref="N160:Q160"/>
    <mergeCell ref="R160:U160"/>
    <mergeCell ref="V160:Y160"/>
    <mergeCell ref="Z160:AC160"/>
    <mergeCell ref="AD160:AG160"/>
    <mergeCell ref="AH160:AK160"/>
    <mergeCell ref="AL160:AO160"/>
    <mergeCell ref="F157:H158"/>
    <mergeCell ref="J157:AO157"/>
    <mergeCell ref="J158:M158"/>
    <mergeCell ref="N158:Q158"/>
    <mergeCell ref="R158:U158"/>
    <mergeCell ref="V158:Y158"/>
    <mergeCell ref="Z158:AC158"/>
    <mergeCell ref="AD158:AG158"/>
    <mergeCell ref="AH158:AK158"/>
    <mergeCell ref="AL158:AO158"/>
    <mergeCell ref="J154:M154"/>
    <mergeCell ref="N154:Q154"/>
    <mergeCell ref="R154:U154"/>
    <mergeCell ref="V154:Y154"/>
    <mergeCell ref="Z154:AC154"/>
    <mergeCell ref="AD154:AG154"/>
    <mergeCell ref="AH154:AK154"/>
    <mergeCell ref="AL154:AO154"/>
    <mergeCell ref="F155:H156"/>
    <mergeCell ref="J155:M155"/>
    <mergeCell ref="N155:AG155"/>
    <mergeCell ref="AH155:AO155"/>
    <mergeCell ref="J156:M156"/>
    <mergeCell ref="N156:Q156"/>
    <mergeCell ref="R156:U156"/>
    <mergeCell ref="V156:Y156"/>
    <mergeCell ref="Z156:AC156"/>
    <mergeCell ref="AD156:AG156"/>
    <mergeCell ref="AH156:AK156"/>
    <mergeCell ref="AL156:AO156"/>
    <mergeCell ref="F150:H151"/>
    <mergeCell ref="J150:AO150"/>
    <mergeCell ref="J151:M151"/>
    <mergeCell ref="N151:Q151"/>
    <mergeCell ref="R151:U151"/>
    <mergeCell ref="V151:Y151"/>
    <mergeCell ref="Z151:AC151"/>
    <mergeCell ref="AD151:AG151"/>
    <mergeCell ref="AH151:AK151"/>
    <mergeCell ref="AL151:AO151"/>
    <mergeCell ref="F148:H149"/>
    <mergeCell ref="J148:AO148"/>
    <mergeCell ref="J149:M149"/>
    <mergeCell ref="N149:Q149"/>
    <mergeCell ref="R149:U149"/>
    <mergeCell ref="V149:Y149"/>
    <mergeCell ref="Z149:AC149"/>
    <mergeCell ref="AD149:AG149"/>
    <mergeCell ref="AH149:AK149"/>
    <mergeCell ref="AL149:AO149"/>
    <mergeCell ref="F146:H147"/>
    <mergeCell ref="J146:AO146"/>
    <mergeCell ref="J147:M147"/>
    <mergeCell ref="N147:Q147"/>
    <mergeCell ref="R147:U147"/>
    <mergeCell ref="V147:Y147"/>
    <mergeCell ref="Z147:AC147"/>
    <mergeCell ref="AD147:AG147"/>
    <mergeCell ref="AH147:AK147"/>
    <mergeCell ref="AL147:AO147"/>
    <mergeCell ref="F144:H145"/>
    <mergeCell ref="J144:AO144"/>
    <mergeCell ref="J145:M145"/>
    <mergeCell ref="N145:Q145"/>
    <mergeCell ref="R145:U145"/>
    <mergeCell ref="V145:Y145"/>
    <mergeCell ref="Z145:AC145"/>
    <mergeCell ref="AD145:AG145"/>
    <mergeCell ref="AH145:AK145"/>
    <mergeCell ref="AL145:AO145"/>
    <mergeCell ref="F132:H133"/>
    <mergeCell ref="J132:AO132"/>
    <mergeCell ref="J133:M133"/>
    <mergeCell ref="N133:Q133"/>
    <mergeCell ref="R133:U133"/>
    <mergeCell ref="V133:Y133"/>
    <mergeCell ref="Z133:AC133"/>
    <mergeCell ref="AD133:AG133"/>
    <mergeCell ref="AH133:AK133"/>
    <mergeCell ref="AL133:AO133"/>
    <mergeCell ref="F130:H131"/>
    <mergeCell ref="J130:AO130"/>
    <mergeCell ref="J131:M131"/>
    <mergeCell ref="N131:Q131"/>
    <mergeCell ref="R131:U131"/>
    <mergeCell ref="V131:Y131"/>
    <mergeCell ref="Z131:AC131"/>
    <mergeCell ref="AD131:AG131"/>
    <mergeCell ref="AH131:AK131"/>
    <mergeCell ref="AL131:AO131"/>
    <mergeCell ref="F128:H129"/>
    <mergeCell ref="J128:AO128"/>
    <mergeCell ref="J129:M129"/>
    <mergeCell ref="N129:Q129"/>
    <mergeCell ref="R129:U129"/>
    <mergeCell ref="V129:Y129"/>
    <mergeCell ref="Z129:AC129"/>
    <mergeCell ref="AD129:AG129"/>
    <mergeCell ref="AH129:AK129"/>
    <mergeCell ref="AL129:AO129"/>
    <mergeCell ref="F126:H127"/>
    <mergeCell ref="J126:AO126"/>
    <mergeCell ref="J127:M127"/>
    <mergeCell ref="N127:Q127"/>
    <mergeCell ref="R127:U127"/>
    <mergeCell ref="V127:Y127"/>
    <mergeCell ref="Z127:AC127"/>
    <mergeCell ref="AD127:AG127"/>
    <mergeCell ref="AH127:AK127"/>
    <mergeCell ref="AL127:AO127"/>
    <mergeCell ref="F124:H125"/>
    <mergeCell ref="J124:AO124"/>
    <mergeCell ref="J125:M125"/>
    <mergeCell ref="N125:Q125"/>
    <mergeCell ref="R125:U125"/>
    <mergeCell ref="V125:Y125"/>
    <mergeCell ref="Z125:AC125"/>
    <mergeCell ref="AD125:AG125"/>
    <mergeCell ref="AH125:AK125"/>
    <mergeCell ref="AL125:AO125"/>
    <mergeCell ref="F122:H123"/>
    <mergeCell ref="J122:AO122"/>
    <mergeCell ref="J123:M123"/>
    <mergeCell ref="N123:Q123"/>
    <mergeCell ref="R123:U123"/>
    <mergeCell ref="V123:Y123"/>
    <mergeCell ref="Z123:AC123"/>
    <mergeCell ref="AD123:AG123"/>
    <mergeCell ref="AH123:AK123"/>
    <mergeCell ref="AL123:AO123"/>
    <mergeCell ref="J119:M119"/>
    <mergeCell ref="N119:Q119"/>
    <mergeCell ref="R119:U119"/>
    <mergeCell ref="V119:Y119"/>
    <mergeCell ref="Z119:AC119"/>
    <mergeCell ref="AD119:AG119"/>
    <mergeCell ref="AH119:AK119"/>
    <mergeCell ref="AL119:AO119"/>
    <mergeCell ref="F120:H121"/>
    <mergeCell ref="J120:AO120"/>
    <mergeCell ref="J121:M121"/>
    <mergeCell ref="N121:Q121"/>
    <mergeCell ref="R121:U121"/>
    <mergeCell ref="V121:Y121"/>
    <mergeCell ref="Z121:AC121"/>
    <mergeCell ref="AD121:AG121"/>
    <mergeCell ref="AH121:AK121"/>
    <mergeCell ref="AL121:AO121"/>
    <mergeCell ref="Z213:AC213"/>
    <mergeCell ref="AD213:AG213"/>
    <mergeCell ref="AH213:AK213"/>
    <mergeCell ref="AL213:AO213"/>
    <mergeCell ref="AH211:AK211"/>
    <mergeCell ref="AL211:AO211"/>
    <mergeCell ref="F212:H213"/>
    <mergeCell ref="J212:M212"/>
    <mergeCell ref="N212:AG212"/>
    <mergeCell ref="AH212:AO212"/>
    <mergeCell ref="J213:M213"/>
    <mergeCell ref="N213:Q213"/>
    <mergeCell ref="R213:U213"/>
    <mergeCell ref="V213:Y213"/>
    <mergeCell ref="J211:M211"/>
    <mergeCell ref="N211:Q211"/>
    <mergeCell ref="R211:U211"/>
    <mergeCell ref="V211:Y211"/>
    <mergeCell ref="Z211:AC211"/>
    <mergeCell ref="AD211:AG211"/>
    <mergeCell ref="F142:H143"/>
    <mergeCell ref="J142:AO142"/>
    <mergeCell ref="J143:M143"/>
    <mergeCell ref="N143:Q143"/>
    <mergeCell ref="R143:U143"/>
    <mergeCell ref="V143:Y143"/>
    <mergeCell ref="Z143:AC143"/>
    <mergeCell ref="AD143:AG143"/>
    <mergeCell ref="AH143:AK143"/>
    <mergeCell ref="AL143:AO143"/>
    <mergeCell ref="F140:H141"/>
    <mergeCell ref="J140:AO140"/>
    <mergeCell ref="J141:M141"/>
    <mergeCell ref="N141:Q141"/>
    <mergeCell ref="R141:U141"/>
    <mergeCell ref="V141:Y141"/>
    <mergeCell ref="Z141:AC141"/>
    <mergeCell ref="AD141:AG141"/>
    <mergeCell ref="AH141:AK141"/>
    <mergeCell ref="AL141:AO141"/>
    <mergeCell ref="F138:H139"/>
    <mergeCell ref="J138:AO138"/>
    <mergeCell ref="J139:M139"/>
    <mergeCell ref="N139:Q139"/>
    <mergeCell ref="R139:U139"/>
    <mergeCell ref="V139:Y139"/>
    <mergeCell ref="Z139:AC139"/>
    <mergeCell ref="AD139:AG139"/>
    <mergeCell ref="AH139:AK139"/>
    <mergeCell ref="AL139:AO139"/>
    <mergeCell ref="F136:H137"/>
    <mergeCell ref="J136:AO136"/>
    <mergeCell ref="J137:M137"/>
    <mergeCell ref="N137:Q137"/>
    <mergeCell ref="R137:U137"/>
    <mergeCell ref="V137:Y137"/>
    <mergeCell ref="Z137:AC137"/>
    <mergeCell ref="AD137:AG137"/>
    <mergeCell ref="AH137:AK137"/>
    <mergeCell ref="AL137:AO137"/>
    <mergeCell ref="F134:H135"/>
    <mergeCell ref="Z115:AC115"/>
    <mergeCell ref="AD115:AG115"/>
    <mergeCell ref="AH115:AK115"/>
    <mergeCell ref="AL115:AO115"/>
    <mergeCell ref="F116:H117"/>
    <mergeCell ref="J116:AO116"/>
    <mergeCell ref="J117:M117"/>
    <mergeCell ref="N117:Q117"/>
    <mergeCell ref="R117:U117"/>
    <mergeCell ref="V117:Y117"/>
    <mergeCell ref="J134:AO135"/>
    <mergeCell ref="F114:H115"/>
    <mergeCell ref="J114:AO114"/>
    <mergeCell ref="J115:M115"/>
    <mergeCell ref="N115:Q115"/>
    <mergeCell ref="R115:U115"/>
    <mergeCell ref="V115:Y115"/>
    <mergeCell ref="Z117:AC117"/>
    <mergeCell ref="AD117:AG117"/>
    <mergeCell ref="AH117:AK117"/>
    <mergeCell ref="AL117:AO117"/>
    <mergeCell ref="F118:H119"/>
    <mergeCell ref="J118:AO118"/>
    <mergeCell ref="F112:H113"/>
    <mergeCell ref="J112:AO112"/>
    <mergeCell ref="J113:M113"/>
    <mergeCell ref="N113:Q113"/>
    <mergeCell ref="R113:U113"/>
    <mergeCell ref="V113:Y113"/>
    <mergeCell ref="Z113:AC113"/>
    <mergeCell ref="AD113:AG113"/>
    <mergeCell ref="AH113:AK113"/>
    <mergeCell ref="AL113:AO113"/>
    <mergeCell ref="F110:H111"/>
    <mergeCell ref="J110:AO110"/>
    <mergeCell ref="J111:M111"/>
    <mergeCell ref="N111:Q111"/>
    <mergeCell ref="R111:U111"/>
    <mergeCell ref="V111:Y111"/>
    <mergeCell ref="Z111:AC111"/>
    <mergeCell ref="AD111:AG111"/>
    <mergeCell ref="AH111:AK111"/>
    <mergeCell ref="AL111:AO111"/>
    <mergeCell ref="F108:H109"/>
    <mergeCell ref="J108:AO108"/>
    <mergeCell ref="J109:M109"/>
    <mergeCell ref="N109:Q109"/>
    <mergeCell ref="R109:U109"/>
    <mergeCell ref="V109:Y109"/>
    <mergeCell ref="Z109:AC109"/>
    <mergeCell ref="AD109:AG109"/>
    <mergeCell ref="AH109:AK109"/>
    <mergeCell ref="AL109:AO109"/>
    <mergeCell ref="F106:H107"/>
    <mergeCell ref="J106:AO106"/>
    <mergeCell ref="J107:M107"/>
    <mergeCell ref="N107:Q107"/>
    <mergeCell ref="R107:U107"/>
    <mergeCell ref="V107:Y107"/>
    <mergeCell ref="Z107:AC107"/>
    <mergeCell ref="AD107:AG107"/>
    <mergeCell ref="AH107:AK107"/>
    <mergeCell ref="AL107:AO107"/>
    <mergeCell ref="F104:H105"/>
    <mergeCell ref="J104:AO104"/>
    <mergeCell ref="J105:M105"/>
    <mergeCell ref="N105:Q105"/>
    <mergeCell ref="R105:U105"/>
    <mergeCell ref="V105:Y105"/>
    <mergeCell ref="Z105:AC105"/>
    <mergeCell ref="AD105:AG105"/>
    <mergeCell ref="AH105:AK105"/>
    <mergeCell ref="AL105:AO105"/>
    <mergeCell ref="F102:H103"/>
    <mergeCell ref="J102:AO102"/>
    <mergeCell ref="J103:M103"/>
    <mergeCell ref="N103:Q103"/>
    <mergeCell ref="R103:U103"/>
    <mergeCell ref="V103:Y103"/>
    <mergeCell ref="Z103:AC103"/>
    <mergeCell ref="AD103:AG103"/>
    <mergeCell ref="AH103:AK103"/>
    <mergeCell ref="AL103:AO103"/>
    <mergeCell ref="AD94:AG94"/>
    <mergeCell ref="AH99:AK99"/>
    <mergeCell ref="AL99:AO99"/>
    <mergeCell ref="F100:H101"/>
    <mergeCell ref="J100:M100"/>
    <mergeCell ref="N100:AG100"/>
    <mergeCell ref="AH100:AO100"/>
    <mergeCell ref="J101:M101"/>
    <mergeCell ref="N101:Q101"/>
    <mergeCell ref="R101:U101"/>
    <mergeCell ref="V101:Y101"/>
    <mergeCell ref="J99:M99"/>
    <mergeCell ref="N99:Q99"/>
    <mergeCell ref="R99:U99"/>
    <mergeCell ref="V99:Y99"/>
    <mergeCell ref="Z99:AC99"/>
    <mergeCell ref="AD99:AG99"/>
    <mergeCell ref="Z101:AC101"/>
    <mergeCell ref="AD101:AG101"/>
    <mergeCell ref="AH101:AK101"/>
    <mergeCell ref="AL101:AO101"/>
    <mergeCell ref="G88:H89"/>
    <mergeCell ref="J88:Q88"/>
    <mergeCell ref="R88:Y88"/>
    <mergeCell ref="J89:M89"/>
    <mergeCell ref="N89:Q89"/>
    <mergeCell ref="Z96:AC96"/>
    <mergeCell ref="AD96:AG96"/>
    <mergeCell ref="AH96:AK96"/>
    <mergeCell ref="AL96:AO96"/>
    <mergeCell ref="AH94:AK94"/>
    <mergeCell ref="AL94:AO94"/>
    <mergeCell ref="F95:H96"/>
    <mergeCell ref="J95:M95"/>
    <mergeCell ref="N95:AG95"/>
    <mergeCell ref="AH95:AO95"/>
    <mergeCell ref="J96:M96"/>
    <mergeCell ref="N96:Q96"/>
    <mergeCell ref="R96:U96"/>
    <mergeCell ref="V96:Y96"/>
    <mergeCell ref="J94:M94"/>
    <mergeCell ref="N94:Q94"/>
    <mergeCell ref="R94:U94"/>
    <mergeCell ref="V94:Y94"/>
    <mergeCell ref="Z94:AC94"/>
    <mergeCell ref="J85:M85"/>
    <mergeCell ref="N85:Q85"/>
    <mergeCell ref="R85:U85"/>
    <mergeCell ref="V85:Y85"/>
    <mergeCell ref="G86:H87"/>
    <mergeCell ref="N86:Y86"/>
    <mergeCell ref="N87:Q87"/>
    <mergeCell ref="J86:M86"/>
    <mergeCell ref="J87:M87"/>
    <mergeCell ref="R87:U87"/>
    <mergeCell ref="V87:Y87"/>
    <mergeCell ref="F78:H79"/>
    <mergeCell ref="J78:Y78"/>
    <mergeCell ref="J79:M79"/>
    <mergeCell ref="N79:Q79"/>
    <mergeCell ref="R79:U79"/>
    <mergeCell ref="V79:Y79"/>
    <mergeCell ref="F80:H81"/>
    <mergeCell ref="J80:Y81"/>
    <mergeCell ref="F82:H83"/>
    <mergeCell ref="J82:Y82"/>
    <mergeCell ref="J83:M83"/>
    <mergeCell ref="N83:Q83"/>
    <mergeCell ref="R83:U83"/>
    <mergeCell ref="V83:Y83"/>
    <mergeCell ref="F74:H75"/>
    <mergeCell ref="J74:Q74"/>
    <mergeCell ref="R74:Y74"/>
    <mergeCell ref="J75:M75"/>
    <mergeCell ref="N75:Q75"/>
    <mergeCell ref="R75:U75"/>
    <mergeCell ref="V75:Y75"/>
    <mergeCell ref="F76:H77"/>
    <mergeCell ref="J76:Y76"/>
    <mergeCell ref="J77:M77"/>
    <mergeCell ref="N77:Q77"/>
    <mergeCell ref="R77:U77"/>
    <mergeCell ref="V77:Y77"/>
    <mergeCell ref="R71:U71"/>
    <mergeCell ref="V71:Y71"/>
    <mergeCell ref="F72:H73"/>
    <mergeCell ref="N72:Y72"/>
    <mergeCell ref="N73:Q73"/>
    <mergeCell ref="R73:U73"/>
    <mergeCell ref="V73:Y73"/>
    <mergeCell ref="J72:M72"/>
    <mergeCell ref="J73:M73"/>
    <mergeCell ref="J57:M57"/>
    <mergeCell ref="J58:M58"/>
    <mergeCell ref="F57:H58"/>
    <mergeCell ref="N57:Y57"/>
    <mergeCell ref="N58:Q58"/>
    <mergeCell ref="R58:U58"/>
    <mergeCell ref="V58:Y58"/>
    <mergeCell ref="F59:H60"/>
    <mergeCell ref="F63:H64"/>
    <mergeCell ref="J63:Y63"/>
    <mergeCell ref="J64:M64"/>
    <mergeCell ref="N64:Q64"/>
    <mergeCell ref="R64:U64"/>
    <mergeCell ref="V64:Y64"/>
    <mergeCell ref="F31:H32"/>
    <mergeCell ref="J31:Y31"/>
    <mergeCell ref="J32:M32"/>
    <mergeCell ref="N32:Q32"/>
    <mergeCell ref="R32:U32"/>
    <mergeCell ref="V32:Y32"/>
    <mergeCell ref="F33:H34"/>
    <mergeCell ref="J33:Y33"/>
    <mergeCell ref="J34:M34"/>
    <mergeCell ref="N34:Q34"/>
    <mergeCell ref="R34:U34"/>
    <mergeCell ref="V34:Y34"/>
    <mergeCell ref="G6:H7"/>
    <mergeCell ref="J6:Q6"/>
    <mergeCell ref="R6:Y6"/>
    <mergeCell ref="J7:M7"/>
    <mergeCell ref="N7:Q7"/>
    <mergeCell ref="R7:U7"/>
    <mergeCell ref="V7:Y7"/>
    <mergeCell ref="F14:H15"/>
    <mergeCell ref="J14:Q14"/>
    <mergeCell ref="R14:Y14"/>
    <mergeCell ref="J15:M15"/>
    <mergeCell ref="N15:Q15"/>
    <mergeCell ref="R15:U15"/>
    <mergeCell ref="V15:Y15"/>
    <mergeCell ref="J11:M11"/>
    <mergeCell ref="N11:Q11"/>
    <mergeCell ref="R11:U11"/>
    <mergeCell ref="V11:Y11"/>
    <mergeCell ref="F12:H13"/>
    <mergeCell ref="N12:Y12"/>
    <mergeCell ref="N13:Q13"/>
    <mergeCell ref="R13:U13"/>
    <mergeCell ref="V13:Y13"/>
    <mergeCell ref="J12:M12"/>
    <mergeCell ref="J3:M3"/>
    <mergeCell ref="N3:Q3"/>
    <mergeCell ref="R3:U3"/>
    <mergeCell ref="V3:Y3"/>
    <mergeCell ref="G4:H5"/>
    <mergeCell ref="N4:Y4"/>
    <mergeCell ref="N5:Q5"/>
    <mergeCell ref="R5:U5"/>
    <mergeCell ref="V5:Y5"/>
    <mergeCell ref="J4:M4"/>
    <mergeCell ref="J5:M5"/>
    <mergeCell ref="J13:M13"/>
    <mergeCell ref="J16:Y16"/>
    <mergeCell ref="J17:M17"/>
    <mergeCell ref="N17:Q17"/>
    <mergeCell ref="R17:U17"/>
    <mergeCell ref="V17:Y17"/>
    <mergeCell ref="F18:H19"/>
    <mergeCell ref="J18:Y18"/>
    <mergeCell ref="J19:M19"/>
    <mergeCell ref="N19:Q19"/>
    <mergeCell ref="R19:U19"/>
    <mergeCell ref="V19:Y19"/>
    <mergeCell ref="F16:H17"/>
    <mergeCell ref="F20:H21"/>
    <mergeCell ref="J20:Y21"/>
    <mergeCell ref="F22:H23"/>
    <mergeCell ref="J22:Y22"/>
    <mergeCell ref="J23:M23"/>
    <mergeCell ref="N23:Q23"/>
    <mergeCell ref="R23:U23"/>
    <mergeCell ref="V23:Y23"/>
    <mergeCell ref="J26:M26"/>
    <mergeCell ref="N26:Q26"/>
    <mergeCell ref="R26:U26"/>
    <mergeCell ref="V26:Y26"/>
    <mergeCell ref="F27:H28"/>
    <mergeCell ref="N27:Y27"/>
    <mergeCell ref="N28:Q28"/>
    <mergeCell ref="R28:U28"/>
    <mergeCell ref="V28:Y28"/>
    <mergeCell ref="F29:H30"/>
    <mergeCell ref="J29:Q29"/>
    <mergeCell ref="R29:Y29"/>
    <mergeCell ref="J30:M30"/>
    <mergeCell ref="N30:Q30"/>
    <mergeCell ref="R30:U30"/>
    <mergeCell ref="V30:Y30"/>
    <mergeCell ref="J27:M27"/>
    <mergeCell ref="J28:M28"/>
    <mergeCell ref="F35:H36"/>
    <mergeCell ref="J35:Y36"/>
    <mergeCell ref="F37:H38"/>
    <mergeCell ref="J37:Y37"/>
    <mergeCell ref="J38:M38"/>
    <mergeCell ref="N38:Q38"/>
    <mergeCell ref="R38:U38"/>
    <mergeCell ref="V38:Y38"/>
    <mergeCell ref="J40:M40"/>
    <mergeCell ref="N40:Q40"/>
    <mergeCell ref="R40:U40"/>
    <mergeCell ref="V40:Y40"/>
    <mergeCell ref="G41:H42"/>
    <mergeCell ref="N41:Y41"/>
    <mergeCell ref="N42:Q42"/>
    <mergeCell ref="R42:U42"/>
    <mergeCell ref="V42:Y42"/>
    <mergeCell ref="J41:M41"/>
    <mergeCell ref="J42:M42"/>
    <mergeCell ref="R44:U44"/>
    <mergeCell ref="V44:Y44"/>
    <mergeCell ref="G43:H44"/>
    <mergeCell ref="J43:Q43"/>
    <mergeCell ref="R43:Y43"/>
    <mergeCell ref="J44:M44"/>
    <mergeCell ref="N44:Q44"/>
    <mergeCell ref="J48:M48"/>
    <mergeCell ref="N48:Q48"/>
    <mergeCell ref="R48:U48"/>
    <mergeCell ref="V48:Y48"/>
    <mergeCell ref="G49:H50"/>
    <mergeCell ref="N49:Y49"/>
    <mergeCell ref="N50:Q50"/>
    <mergeCell ref="R50:U50"/>
    <mergeCell ref="V50:Y50"/>
    <mergeCell ref="J49:M49"/>
    <mergeCell ref="J50:M50"/>
    <mergeCell ref="G51:H52"/>
    <mergeCell ref="J51:Q51"/>
    <mergeCell ref="R51:Y51"/>
    <mergeCell ref="J52:M52"/>
    <mergeCell ref="N52:Q52"/>
    <mergeCell ref="R52:U52"/>
    <mergeCell ref="V52:Y52"/>
    <mergeCell ref="J56:M56"/>
    <mergeCell ref="N56:Q56"/>
    <mergeCell ref="R56:U56"/>
    <mergeCell ref="V56:Y56"/>
    <mergeCell ref="R89:U89"/>
    <mergeCell ref="V89:Y89"/>
    <mergeCell ref="J59:Q59"/>
    <mergeCell ref="R59:Y59"/>
    <mergeCell ref="J60:M60"/>
    <mergeCell ref="N60:Q60"/>
    <mergeCell ref="R60:U60"/>
    <mergeCell ref="V60:Y60"/>
    <mergeCell ref="F61:H62"/>
    <mergeCell ref="J61:Y61"/>
    <mergeCell ref="J62:M62"/>
    <mergeCell ref="N62:Q62"/>
    <mergeCell ref="R62:U62"/>
    <mergeCell ref="V62:Y62"/>
    <mergeCell ref="F65:H66"/>
    <mergeCell ref="J65:Y66"/>
    <mergeCell ref="F67:H68"/>
    <mergeCell ref="J67:Y67"/>
    <mergeCell ref="J68:M68"/>
    <mergeCell ref="N68:Q68"/>
    <mergeCell ref="R68:U68"/>
    <mergeCell ref="V68:Y68"/>
    <mergeCell ref="J71:M71"/>
    <mergeCell ref="N71:Q71"/>
  </mergeCells>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4D98F-90C9-4FC7-869D-8293E316DFE0}">
  <sheetPr codeName="Sheet5"/>
  <dimension ref="F4:AY168"/>
  <sheetViews>
    <sheetView showGridLines="0" zoomScale="55" zoomScaleNormal="55" workbookViewId="0">
      <selection activeCell="AH52" sqref="AH52"/>
    </sheetView>
  </sheetViews>
  <sheetFormatPr defaultRowHeight="18.75" x14ac:dyDescent="0.4"/>
  <cols>
    <col min="1" max="45" width="3.625" customWidth="1"/>
    <col min="46" max="46" width="3.625" style="1" customWidth="1"/>
    <col min="47" max="264" width="3.625" customWidth="1"/>
  </cols>
  <sheetData>
    <row r="4" spans="6:51" x14ac:dyDescent="0.4">
      <c r="AV4" s="63" t="s">
        <v>19</v>
      </c>
      <c r="AW4" s="63"/>
      <c r="AX4" s="63"/>
      <c r="AY4" s="63"/>
    </row>
    <row r="5" spans="6:51" x14ac:dyDescent="0.4">
      <c r="F5" s="128">
        <v>255</v>
      </c>
      <c r="G5" s="129"/>
      <c r="H5" s="2"/>
      <c r="I5" s="50">
        <v>224</v>
      </c>
      <c r="J5" s="130"/>
      <c r="K5" s="129">
        <v>223</v>
      </c>
      <c r="L5" s="129"/>
      <c r="N5" s="50">
        <v>192</v>
      </c>
      <c r="O5" s="130"/>
      <c r="P5" s="129">
        <v>191</v>
      </c>
      <c r="Q5" s="129"/>
      <c r="S5" s="50">
        <v>160</v>
      </c>
      <c r="T5" s="130"/>
      <c r="U5" s="129">
        <v>159</v>
      </c>
      <c r="V5" s="129"/>
      <c r="X5" s="50">
        <v>128</v>
      </c>
      <c r="Y5" s="130"/>
      <c r="Z5" s="129">
        <v>127</v>
      </c>
      <c r="AA5" s="129"/>
      <c r="AD5" s="10">
        <v>96</v>
      </c>
      <c r="AE5" s="7">
        <v>95</v>
      </c>
      <c r="AI5" s="10">
        <v>64</v>
      </c>
      <c r="AJ5" s="7">
        <v>63</v>
      </c>
      <c r="AN5" s="8">
        <v>32</v>
      </c>
      <c r="AO5" s="9">
        <v>31</v>
      </c>
      <c r="AP5" s="2"/>
      <c r="AQ5" s="2"/>
      <c r="AR5" s="2"/>
      <c r="AS5" s="8">
        <v>0</v>
      </c>
      <c r="AT5" s="27"/>
      <c r="AV5" s="140" t="s">
        <v>41</v>
      </c>
      <c r="AW5" s="140"/>
      <c r="AX5" s="140"/>
      <c r="AY5" s="140"/>
    </row>
    <row r="6" spans="6:51" x14ac:dyDescent="0.4">
      <c r="F6" s="125" t="s">
        <v>11</v>
      </c>
      <c r="G6" s="125"/>
      <c r="H6" s="125"/>
      <c r="I6" s="125"/>
      <c r="J6" s="125"/>
      <c r="K6" s="101" t="s">
        <v>12</v>
      </c>
      <c r="L6" s="101"/>
      <c r="M6" s="101"/>
      <c r="N6" s="101"/>
      <c r="O6" s="101"/>
      <c r="P6" s="125" t="s">
        <v>13</v>
      </c>
      <c r="Q6" s="125"/>
      <c r="R6" s="125"/>
      <c r="S6" s="125"/>
      <c r="T6" s="125"/>
      <c r="U6" s="101" t="s">
        <v>14</v>
      </c>
      <c r="V6" s="101"/>
      <c r="W6" s="101"/>
      <c r="X6" s="101"/>
      <c r="Y6" s="101"/>
      <c r="Z6" s="125" t="s">
        <v>15</v>
      </c>
      <c r="AA6" s="125"/>
      <c r="AB6" s="125"/>
      <c r="AC6" s="125"/>
      <c r="AD6" s="125"/>
      <c r="AE6" s="101" t="s">
        <v>16</v>
      </c>
      <c r="AF6" s="101"/>
      <c r="AG6" s="101"/>
      <c r="AH6" s="101"/>
      <c r="AI6" s="101"/>
      <c r="AJ6" s="125" t="s">
        <v>17</v>
      </c>
      <c r="AK6" s="125"/>
      <c r="AL6" s="125"/>
      <c r="AM6" s="125"/>
      <c r="AN6" s="125"/>
      <c r="AO6" s="101" t="s">
        <v>18</v>
      </c>
      <c r="AP6" s="101"/>
      <c r="AQ6" s="101"/>
      <c r="AR6" s="101"/>
      <c r="AS6" s="101"/>
      <c r="AT6" s="11">
        <v>0</v>
      </c>
      <c r="AU6" s="3"/>
      <c r="AV6" s="134" t="s">
        <v>42</v>
      </c>
      <c r="AW6" s="135"/>
      <c r="AX6" s="135"/>
      <c r="AY6" s="136"/>
    </row>
    <row r="7" spans="6:51" x14ac:dyDescent="0.4">
      <c r="F7" s="125" t="s">
        <v>27</v>
      </c>
      <c r="G7" s="125"/>
      <c r="H7" s="125"/>
      <c r="I7" s="125"/>
      <c r="J7" s="125"/>
      <c r="K7" s="101" t="s">
        <v>26</v>
      </c>
      <c r="L7" s="101"/>
      <c r="M7" s="101"/>
      <c r="N7" s="101"/>
      <c r="O7" s="101"/>
      <c r="P7" s="125" t="s">
        <v>25</v>
      </c>
      <c r="Q7" s="125"/>
      <c r="R7" s="125"/>
      <c r="S7" s="125"/>
      <c r="T7" s="125"/>
      <c r="U7" s="101" t="s">
        <v>24</v>
      </c>
      <c r="V7" s="101"/>
      <c r="W7" s="101"/>
      <c r="X7" s="101"/>
      <c r="Y7" s="101"/>
      <c r="Z7" s="125" t="s">
        <v>23</v>
      </c>
      <c r="AA7" s="125"/>
      <c r="AB7" s="125"/>
      <c r="AC7" s="125"/>
      <c r="AD7" s="125"/>
      <c r="AE7" s="101" t="s">
        <v>22</v>
      </c>
      <c r="AF7" s="101"/>
      <c r="AG7" s="101"/>
      <c r="AH7" s="101"/>
      <c r="AI7" s="101"/>
      <c r="AJ7" s="125" t="s">
        <v>21</v>
      </c>
      <c r="AK7" s="125"/>
      <c r="AL7" s="125"/>
      <c r="AM7" s="125"/>
      <c r="AN7" s="125"/>
      <c r="AO7" s="101" t="s">
        <v>20</v>
      </c>
      <c r="AP7" s="101"/>
      <c r="AQ7" s="101"/>
      <c r="AR7" s="101"/>
      <c r="AS7" s="101"/>
      <c r="AT7" s="11">
        <v>1</v>
      </c>
      <c r="AU7" s="3"/>
      <c r="AV7" s="134" t="s">
        <v>43</v>
      </c>
      <c r="AW7" s="135"/>
      <c r="AX7" s="135"/>
      <c r="AY7" s="136"/>
    </row>
    <row r="8" spans="6:51" x14ac:dyDescent="0.4">
      <c r="F8" s="98" t="s">
        <v>0</v>
      </c>
      <c r="G8" s="98"/>
      <c r="H8" s="98"/>
      <c r="I8" s="98"/>
      <c r="J8" s="98"/>
      <c r="K8" s="98"/>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12" t="s">
        <v>0</v>
      </c>
      <c r="AU8" s="3"/>
      <c r="AV8" s="131" t="s">
        <v>0</v>
      </c>
      <c r="AW8" s="132"/>
      <c r="AX8" s="132"/>
      <c r="AY8" s="133"/>
    </row>
    <row r="9" spans="6:51" x14ac:dyDescent="0.4">
      <c r="F9" s="125" t="s">
        <v>35</v>
      </c>
      <c r="G9" s="125"/>
      <c r="H9" s="125"/>
      <c r="I9" s="125"/>
      <c r="J9" s="125"/>
      <c r="K9" s="101" t="s">
        <v>34</v>
      </c>
      <c r="L9" s="101"/>
      <c r="M9" s="101"/>
      <c r="N9" s="101"/>
      <c r="O9" s="101"/>
      <c r="P9" s="125" t="s">
        <v>32</v>
      </c>
      <c r="Q9" s="125"/>
      <c r="R9" s="125"/>
      <c r="S9" s="125"/>
      <c r="T9" s="125"/>
      <c r="U9" s="101" t="s">
        <v>33</v>
      </c>
      <c r="V9" s="101"/>
      <c r="W9" s="101"/>
      <c r="X9" s="101"/>
      <c r="Y9" s="101"/>
      <c r="Z9" s="125" t="s">
        <v>31</v>
      </c>
      <c r="AA9" s="125"/>
      <c r="AB9" s="125"/>
      <c r="AC9" s="125"/>
      <c r="AD9" s="125"/>
      <c r="AE9" s="101" t="s">
        <v>30</v>
      </c>
      <c r="AF9" s="101"/>
      <c r="AG9" s="101"/>
      <c r="AH9" s="101"/>
      <c r="AI9" s="101"/>
      <c r="AJ9" s="125" t="s">
        <v>29</v>
      </c>
      <c r="AK9" s="125"/>
      <c r="AL9" s="125"/>
      <c r="AM9" s="125"/>
      <c r="AN9" s="125"/>
      <c r="AO9" s="101" t="s">
        <v>28</v>
      </c>
      <c r="AP9" s="101"/>
      <c r="AQ9" s="101"/>
      <c r="AR9" s="101"/>
      <c r="AS9" s="101"/>
      <c r="AT9" s="11" t="s">
        <v>40</v>
      </c>
      <c r="AU9" s="3"/>
      <c r="AV9" s="134" t="s">
        <v>44</v>
      </c>
      <c r="AW9" s="135"/>
      <c r="AX9" s="135"/>
      <c r="AY9" s="136"/>
    </row>
    <row r="11" spans="6:51" x14ac:dyDescent="0.4">
      <c r="X11" s="1"/>
      <c r="Y11" s="1"/>
      <c r="Z11" s="1"/>
      <c r="AA11" s="1"/>
      <c r="AB11" s="1"/>
      <c r="AC11" s="1"/>
    </row>
    <row r="12" spans="6:51" x14ac:dyDescent="0.4">
      <c r="U12" s="141">
        <v>31</v>
      </c>
      <c r="V12" s="142"/>
      <c r="W12" s="7">
        <v>30</v>
      </c>
      <c r="Z12" s="8">
        <v>23</v>
      </c>
      <c r="AA12" s="7">
        <v>22</v>
      </c>
      <c r="AI12" s="8">
        <v>0</v>
      </c>
    </row>
    <row r="13" spans="6:51" x14ac:dyDescent="0.4">
      <c r="U13" s="125" t="s">
        <v>38</v>
      </c>
      <c r="V13" s="125"/>
      <c r="W13" s="125" t="s">
        <v>37</v>
      </c>
      <c r="X13" s="125"/>
      <c r="Y13" s="125"/>
      <c r="Z13" s="125"/>
      <c r="AA13" s="125" t="s">
        <v>36</v>
      </c>
      <c r="AB13" s="125"/>
      <c r="AC13" s="125"/>
      <c r="AD13" s="125"/>
      <c r="AE13" s="125"/>
      <c r="AF13" s="125"/>
      <c r="AG13" s="125"/>
      <c r="AH13" s="125"/>
      <c r="AI13" s="125"/>
    </row>
    <row r="14" spans="6:51" x14ac:dyDescent="0.4">
      <c r="Y14" s="75" t="s">
        <v>39</v>
      </c>
      <c r="Z14" s="75"/>
      <c r="AA14" s="75"/>
      <c r="AB14" s="75"/>
      <c r="AC14" s="75"/>
      <c r="AD14" s="75"/>
      <c r="AE14" s="75"/>
    </row>
    <row r="20" spans="6:46" x14ac:dyDescent="0.4">
      <c r="AQ20" s="63" t="s">
        <v>19</v>
      </c>
      <c r="AR20" s="63"/>
      <c r="AS20" s="63"/>
      <c r="AT20" s="63"/>
    </row>
    <row r="21" spans="6:46" x14ac:dyDescent="0.4">
      <c r="F21" s="137">
        <v>511</v>
      </c>
      <c r="G21" s="138"/>
      <c r="I21" s="49">
        <v>496</v>
      </c>
      <c r="J21" s="139"/>
      <c r="K21" s="138">
        <v>495</v>
      </c>
      <c r="L21" s="138"/>
      <c r="N21" s="49">
        <v>480</v>
      </c>
      <c r="O21" s="139"/>
      <c r="P21" s="138"/>
      <c r="Q21" s="138"/>
      <c r="S21" s="49"/>
      <c r="T21" s="139"/>
      <c r="U21" s="138">
        <v>63</v>
      </c>
      <c r="V21" s="138"/>
      <c r="Y21" s="16">
        <v>48</v>
      </c>
      <c r="Z21" s="7">
        <v>47</v>
      </c>
      <c r="AD21" s="16">
        <v>32</v>
      </c>
      <c r="AE21" s="7">
        <v>31</v>
      </c>
      <c r="AI21" s="3">
        <v>16</v>
      </c>
      <c r="AJ21" s="7">
        <v>15</v>
      </c>
      <c r="AN21" s="3">
        <v>0</v>
      </c>
      <c r="AQ21" s="140" t="s">
        <v>41</v>
      </c>
      <c r="AR21" s="140"/>
      <c r="AS21" s="140"/>
      <c r="AT21" s="140"/>
    </row>
    <row r="22" spans="6:46" x14ac:dyDescent="0.4">
      <c r="F22" s="125" t="s">
        <v>49</v>
      </c>
      <c r="G22" s="125"/>
      <c r="H22" s="125"/>
      <c r="I22" s="125"/>
      <c r="J22" s="125"/>
      <c r="K22" s="101" t="s">
        <v>48</v>
      </c>
      <c r="L22" s="101"/>
      <c r="M22" s="101"/>
      <c r="N22" s="101"/>
      <c r="O22" s="101"/>
      <c r="P22" s="98" t="s">
        <v>0</v>
      </c>
      <c r="Q22" s="98"/>
      <c r="R22" s="98"/>
      <c r="S22" s="98"/>
      <c r="T22" s="98"/>
      <c r="U22" s="125" t="s">
        <v>15</v>
      </c>
      <c r="V22" s="125"/>
      <c r="W22" s="125"/>
      <c r="X22" s="125"/>
      <c r="Y22" s="125"/>
      <c r="Z22" s="101" t="s">
        <v>16</v>
      </c>
      <c r="AA22" s="101"/>
      <c r="AB22" s="101"/>
      <c r="AC22" s="101"/>
      <c r="AD22" s="101"/>
      <c r="AE22" s="125" t="s">
        <v>17</v>
      </c>
      <c r="AF22" s="125"/>
      <c r="AG22" s="125"/>
      <c r="AH22" s="125"/>
      <c r="AI22" s="125"/>
      <c r="AJ22" s="101" t="s">
        <v>18</v>
      </c>
      <c r="AK22" s="101"/>
      <c r="AL22" s="101"/>
      <c r="AM22" s="101"/>
      <c r="AN22" s="101"/>
      <c r="AO22" s="17">
        <v>0</v>
      </c>
      <c r="AP22" s="3"/>
      <c r="AQ22" s="134" t="s">
        <v>42</v>
      </c>
      <c r="AR22" s="135"/>
      <c r="AS22" s="135"/>
      <c r="AT22" s="136"/>
    </row>
    <row r="23" spans="6:46" x14ac:dyDescent="0.4">
      <c r="F23" s="125" t="s">
        <v>199</v>
      </c>
      <c r="G23" s="125"/>
      <c r="H23" s="125"/>
      <c r="I23" s="125"/>
      <c r="J23" s="125"/>
      <c r="K23" s="101" t="s">
        <v>198</v>
      </c>
      <c r="L23" s="101"/>
      <c r="M23" s="101"/>
      <c r="N23" s="101"/>
      <c r="O23" s="101"/>
      <c r="P23" s="98" t="s">
        <v>0</v>
      </c>
      <c r="Q23" s="98"/>
      <c r="R23" s="98"/>
      <c r="S23" s="98"/>
      <c r="T23" s="98"/>
      <c r="U23" s="125" t="s">
        <v>189</v>
      </c>
      <c r="V23" s="125"/>
      <c r="W23" s="125"/>
      <c r="X23" s="125"/>
      <c r="Y23" s="125"/>
      <c r="Z23" s="101" t="s">
        <v>188</v>
      </c>
      <c r="AA23" s="101"/>
      <c r="AB23" s="101"/>
      <c r="AC23" s="101"/>
      <c r="AD23" s="101"/>
      <c r="AE23" s="125" t="s">
        <v>187</v>
      </c>
      <c r="AF23" s="125"/>
      <c r="AG23" s="125"/>
      <c r="AH23" s="125"/>
      <c r="AI23" s="125"/>
      <c r="AJ23" s="101" t="s">
        <v>186</v>
      </c>
      <c r="AK23" s="101"/>
      <c r="AL23" s="101"/>
      <c r="AM23" s="101"/>
      <c r="AN23" s="101"/>
      <c r="AO23" s="17">
        <v>1</v>
      </c>
      <c r="AP23" s="3"/>
      <c r="AQ23" s="134" t="s">
        <v>196</v>
      </c>
      <c r="AR23" s="135"/>
      <c r="AS23" s="135"/>
      <c r="AT23" s="136"/>
    </row>
    <row r="24" spans="6:46" x14ac:dyDescent="0.4">
      <c r="F24" s="98" t="s">
        <v>0</v>
      </c>
      <c r="G24" s="98"/>
      <c r="H24" s="98"/>
      <c r="I24" s="98"/>
      <c r="J24" s="98"/>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18" t="s">
        <v>0</v>
      </c>
      <c r="AP24" s="3"/>
      <c r="AQ24" s="131" t="s">
        <v>0</v>
      </c>
      <c r="AR24" s="132"/>
      <c r="AS24" s="132"/>
      <c r="AT24" s="133"/>
    </row>
    <row r="25" spans="6:46" x14ac:dyDescent="0.4">
      <c r="F25" s="125" t="s">
        <v>195</v>
      </c>
      <c r="G25" s="125"/>
      <c r="H25" s="125"/>
      <c r="I25" s="125"/>
      <c r="J25" s="125"/>
      <c r="K25" s="101" t="s">
        <v>194</v>
      </c>
      <c r="L25" s="101"/>
      <c r="M25" s="101"/>
      <c r="N25" s="101"/>
      <c r="O25" s="101"/>
      <c r="P25" s="98" t="s">
        <v>0</v>
      </c>
      <c r="Q25" s="98"/>
      <c r="R25" s="98"/>
      <c r="S25" s="98"/>
      <c r="T25" s="98"/>
      <c r="U25" s="125" t="s">
        <v>193</v>
      </c>
      <c r="V25" s="125"/>
      <c r="W25" s="125"/>
      <c r="X25" s="125"/>
      <c r="Y25" s="125"/>
      <c r="Z25" s="101" t="s">
        <v>192</v>
      </c>
      <c r="AA25" s="101"/>
      <c r="AB25" s="101"/>
      <c r="AC25" s="101"/>
      <c r="AD25" s="101"/>
      <c r="AE25" s="125" t="s">
        <v>191</v>
      </c>
      <c r="AF25" s="125"/>
      <c r="AG25" s="125"/>
      <c r="AH25" s="125"/>
      <c r="AI25" s="125"/>
      <c r="AJ25" s="101" t="s">
        <v>190</v>
      </c>
      <c r="AK25" s="101"/>
      <c r="AL25" s="101"/>
      <c r="AM25" s="101"/>
      <c r="AN25" s="101"/>
      <c r="AO25" s="17" t="s">
        <v>40</v>
      </c>
      <c r="AP25" s="3"/>
      <c r="AQ25" s="134" t="s">
        <v>197</v>
      </c>
      <c r="AR25" s="135"/>
      <c r="AS25" s="135"/>
      <c r="AT25" s="136"/>
    </row>
    <row r="27" spans="6:46" x14ac:dyDescent="0.4">
      <c r="P27" s="138"/>
      <c r="Q27" s="138"/>
      <c r="R27" s="7"/>
      <c r="T27" s="14">
        <v>15</v>
      </c>
      <c r="U27" s="7"/>
      <c r="V27" s="7"/>
      <c r="Z27" s="8">
        <v>0</v>
      </c>
    </row>
    <row r="28" spans="6:46" x14ac:dyDescent="0.4">
      <c r="P28" s="138"/>
      <c r="Q28" s="138"/>
      <c r="T28" s="19" t="s">
        <v>52</v>
      </c>
      <c r="U28" s="20"/>
      <c r="V28" s="20"/>
      <c r="W28" s="20"/>
      <c r="X28" s="20"/>
      <c r="Y28" s="143" t="s">
        <v>51</v>
      </c>
      <c r="Z28" s="144"/>
    </row>
    <row r="29" spans="6:46" x14ac:dyDescent="0.4">
      <c r="T29" s="63" t="s">
        <v>50</v>
      </c>
      <c r="U29" s="63"/>
      <c r="V29" s="63"/>
      <c r="W29" s="63"/>
      <c r="X29" s="63"/>
      <c r="Y29" s="63"/>
      <c r="Z29" s="63"/>
    </row>
    <row r="35" spans="6:46" x14ac:dyDescent="0.4">
      <c r="AE35" s="63" t="s">
        <v>19</v>
      </c>
      <c r="AF35" s="63"/>
      <c r="AG35" s="63"/>
      <c r="AH35" s="63"/>
      <c r="AQ35" s="63"/>
      <c r="AR35" s="63"/>
      <c r="AS35" s="63"/>
      <c r="AT35" s="63"/>
    </row>
    <row r="36" spans="6:46" x14ac:dyDescent="0.4">
      <c r="F36" s="137">
        <v>255</v>
      </c>
      <c r="G36" s="138"/>
      <c r="J36" s="49">
        <v>254</v>
      </c>
      <c r="K36" s="139"/>
      <c r="L36" s="138"/>
      <c r="M36" s="138"/>
      <c r="O36" s="49"/>
      <c r="P36" s="139"/>
      <c r="Q36" s="7">
        <v>3</v>
      </c>
      <c r="V36" s="3">
        <v>2</v>
      </c>
      <c r="W36" s="7">
        <v>1</v>
      </c>
      <c r="AB36" s="3">
        <v>0</v>
      </c>
      <c r="AE36" s="140" t="s">
        <v>41</v>
      </c>
      <c r="AF36" s="140"/>
      <c r="AG36" s="140"/>
      <c r="AH36" s="140"/>
    </row>
    <row r="37" spans="6:46" x14ac:dyDescent="0.4">
      <c r="F37" s="125" t="s">
        <v>106</v>
      </c>
      <c r="G37" s="125"/>
      <c r="H37" s="125"/>
      <c r="I37" s="125"/>
      <c r="J37" s="125"/>
      <c r="K37" s="125"/>
      <c r="L37" s="98" t="s">
        <v>0</v>
      </c>
      <c r="M37" s="98"/>
      <c r="N37" s="98"/>
      <c r="O37" s="98"/>
      <c r="P37" s="98"/>
      <c r="Q37" s="125" t="s">
        <v>105</v>
      </c>
      <c r="R37" s="125"/>
      <c r="S37" s="125"/>
      <c r="T37" s="125"/>
      <c r="U37" s="125"/>
      <c r="V37" s="125"/>
      <c r="W37" s="125" t="s">
        <v>104</v>
      </c>
      <c r="X37" s="125"/>
      <c r="Y37" s="125"/>
      <c r="Z37" s="125"/>
      <c r="AA37" s="125"/>
      <c r="AB37" s="125"/>
      <c r="AC37" s="17">
        <v>0</v>
      </c>
      <c r="AD37" s="3"/>
      <c r="AE37" s="134" t="s">
        <v>42</v>
      </c>
      <c r="AF37" s="135"/>
      <c r="AG37" s="135"/>
      <c r="AH37" s="136"/>
    </row>
    <row r="38" spans="6:46" x14ac:dyDescent="0.4">
      <c r="F38" s="125" t="s">
        <v>109</v>
      </c>
      <c r="G38" s="125"/>
      <c r="H38" s="125"/>
      <c r="I38" s="125"/>
      <c r="J38" s="125"/>
      <c r="K38" s="125"/>
      <c r="L38" s="98" t="s">
        <v>0</v>
      </c>
      <c r="M38" s="98"/>
      <c r="N38" s="98"/>
      <c r="O38" s="98"/>
      <c r="P38" s="98"/>
      <c r="Q38" s="125" t="s">
        <v>108</v>
      </c>
      <c r="R38" s="125"/>
      <c r="S38" s="125"/>
      <c r="T38" s="125"/>
      <c r="U38" s="125"/>
      <c r="V38" s="125"/>
      <c r="W38" s="125" t="s">
        <v>107</v>
      </c>
      <c r="X38" s="125"/>
      <c r="Y38" s="125"/>
      <c r="Z38" s="125"/>
      <c r="AA38" s="125"/>
      <c r="AB38" s="125"/>
      <c r="AC38" s="17">
        <v>1</v>
      </c>
      <c r="AD38" s="3"/>
      <c r="AE38" s="134" t="s">
        <v>43</v>
      </c>
      <c r="AF38" s="135"/>
      <c r="AG38" s="135"/>
      <c r="AH38" s="136"/>
    </row>
    <row r="39" spans="6:46" x14ac:dyDescent="0.4">
      <c r="F39" s="98" t="s">
        <v>0</v>
      </c>
      <c r="G39" s="98"/>
      <c r="H39" s="98"/>
      <c r="I39" s="98"/>
      <c r="J39" s="98"/>
      <c r="K39" s="98"/>
      <c r="L39" s="98"/>
      <c r="M39" s="98"/>
      <c r="N39" s="98"/>
      <c r="O39" s="98"/>
      <c r="P39" s="98"/>
      <c r="Q39" s="98"/>
      <c r="R39" s="98"/>
      <c r="S39" s="98"/>
      <c r="T39" s="98"/>
      <c r="U39" s="98"/>
      <c r="V39" s="98"/>
      <c r="W39" s="98"/>
      <c r="X39" s="98"/>
      <c r="Y39" s="98"/>
      <c r="Z39" s="98"/>
      <c r="AA39" s="98"/>
      <c r="AB39" s="98"/>
      <c r="AC39" s="18" t="s">
        <v>0</v>
      </c>
      <c r="AD39" s="3"/>
      <c r="AE39" s="131" t="s">
        <v>0</v>
      </c>
      <c r="AF39" s="132"/>
      <c r="AG39" s="132"/>
      <c r="AH39" s="133"/>
    </row>
    <row r="40" spans="6:46" x14ac:dyDescent="0.4">
      <c r="F40" s="125" t="s">
        <v>112</v>
      </c>
      <c r="G40" s="125"/>
      <c r="H40" s="125"/>
      <c r="I40" s="125"/>
      <c r="J40" s="125"/>
      <c r="K40" s="125"/>
      <c r="L40" s="98" t="s">
        <v>0</v>
      </c>
      <c r="M40" s="98"/>
      <c r="N40" s="98"/>
      <c r="O40" s="98"/>
      <c r="P40" s="98"/>
      <c r="Q40" s="125" t="s">
        <v>111</v>
      </c>
      <c r="R40" s="125"/>
      <c r="S40" s="125"/>
      <c r="T40" s="125"/>
      <c r="U40" s="125"/>
      <c r="V40" s="125"/>
      <c r="W40" s="125" t="s">
        <v>110</v>
      </c>
      <c r="X40" s="125"/>
      <c r="Y40" s="125"/>
      <c r="Z40" s="125"/>
      <c r="AA40" s="125"/>
      <c r="AB40" s="125"/>
      <c r="AC40" s="17" t="s">
        <v>40</v>
      </c>
      <c r="AD40" s="3"/>
      <c r="AE40" s="134" t="s">
        <v>44</v>
      </c>
      <c r="AF40" s="135"/>
      <c r="AG40" s="135"/>
      <c r="AH40" s="136"/>
    </row>
    <row r="42" spans="6:46" x14ac:dyDescent="0.4">
      <c r="P42" s="23">
        <v>1</v>
      </c>
      <c r="Q42" s="7"/>
      <c r="R42" s="7"/>
      <c r="S42" s="7"/>
      <c r="W42" s="3">
        <v>0</v>
      </c>
    </row>
    <row r="43" spans="6:46" x14ac:dyDescent="0.4">
      <c r="P43" s="24" t="s">
        <v>52</v>
      </c>
      <c r="Q43" s="19"/>
      <c r="R43" s="20"/>
      <c r="S43" s="20"/>
      <c r="T43" s="20"/>
      <c r="U43" s="20"/>
      <c r="V43" s="144" t="s">
        <v>51</v>
      </c>
      <c r="W43" s="145"/>
    </row>
    <row r="44" spans="6:46" x14ac:dyDescent="0.4">
      <c r="P44" s="75" t="s">
        <v>113</v>
      </c>
      <c r="Q44" s="75"/>
      <c r="R44" s="75"/>
      <c r="S44" s="75"/>
      <c r="T44" s="75"/>
      <c r="U44" s="75"/>
      <c r="V44" s="75"/>
      <c r="W44" s="75"/>
    </row>
    <row r="45" spans="6:46" x14ac:dyDescent="0.4">
      <c r="P45" s="1"/>
      <c r="Q45" s="1"/>
      <c r="R45" s="1"/>
      <c r="S45" s="1"/>
      <c r="T45" s="1"/>
      <c r="U45" s="1"/>
      <c r="V45" s="1"/>
      <c r="W45" s="1"/>
    </row>
    <row r="47" spans="6:46" x14ac:dyDescent="0.4">
      <c r="G47" s="63" t="s">
        <v>103</v>
      </c>
      <c r="H47" s="63"/>
      <c r="I47" s="63"/>
      <c r="J47" s="63"/>
      <c r="K47" s="63"/>
      <c r="L47" s="63"/>
      <c r="M47" s="63"/>
      <c r="O47" s="63" t="s">
        <v>1</v>
      </c>
      <c r="P47" s="63"/>
      <c r="Q47" s="63"/>
      <c r="R47" s="63"/>
      <c r="S47" s="63"/>
      <c r="T47" s="63"/>
      <c r="U47" s="63"/>
      <c r="V47" s="63"/>
      <c r="W47" s="63"/>
      <c r="X47" s="63"/>
      <c r="Y47" s="63"/>
      <c r="AA47" s="63" t="s">
        <v>778</v>
      </c>
      <c r="AB47" s="63"/>
      <c r="AC47" s="63"/>
      <c r="AD47" s="63"/>
    </row>
    <row r="48" spans="6:46" x14ac:dyDescent="0.4">
      <c r="G48" s="101" t="s">
        <v>94</v>
      </c>
      <c r="H48" s="101"/>
      <c r="I48" s="101"/>
      <c r="J48" s="101"/>
      <c r="K48" s="101"/>
      <c r="L48" s="101"/>
      <c r="M48" s="101"/>
      <c r="O48" s="125" t="s">
        <v>129</v>
      </c>
      <c r="P48" s="125"/>
      <c r="Q48" s="125"/>
      <c r="R48" s="125"/>
      <c r="S48" s="126"/>
      <c r="T48" s="15" t="s">
        <v>102</v>
      </c>
      <c r="U48" s="127" t="s">
        <v>861</v>
      </c>
      <c r="V48" s="125"/>
      <c r="W48" s="125"/>
      <c r="X48" s="125"/>
      <c r="Y48" s="125"/>
      <c r="AA48" s="125" t="s">
        <v>877</v>
      </c>
      <c r="AB48" s="125"/>
      <c r="AC48" s="125"/>
      <c r="AD48" s="125"/>
    </row>
    <row r="49" spans="7:30" x14ac:dyDescent="0.4">
      <c r="G49" s="101" t="s">
        <v>95</v>
      </c>
      <c r="H49" s="101"/>
      <c r="I49" s="101"/>
      <c r="J49" s="101"/>
      <c r="K49" s="101"/>
      <c r="L49" s="101"/>
      <c r="M49" s="101"/>
      <c r="O49" s="125" t="s">
        <v>783</v>
      </c>
      <c r="P49" s="125"/>
      <c r="Q49" s="125"/>
      <c r="R49" s="125"/>
      <c r="S49" s="126"/>
      <c r="T49" s="15" t="s">
        <v>102</v>
      </c>
      <c r="U49" s="127" t="s">
        <v>862</v>
      </c>
      <c r="V49" s="125"/>
      <c r="W49" s="125"/>
      <c r="X49" s="125"/>
      <c r="Y49" s="125"/>
      <c r="AA49" s="125" t="s">
        <v>877</v>
      </c>
      <c r="AB49" s="125"/>
      <c r="AC49" s="125"/>
      <c r="AD49" s="125"/>
    </row>
    <row r="50" spans="7:30" x14ac:dyDescent="0.4">
      <c r="G50" s="101" t="s">
        <v>96</v>
      </c>
      <c r="H50" s="101"/>
      <c r="I50" s="101"/>
      <c r="J50" s="101"/>
      <c r="K50" s="101"/>
      <c r="L50" s="101"/>
      <c r="M50" s="101"/>
      <c r="O50" s="125" t="s">
        <v>130</v>
      </c>
      <c r="P50" s="125"/>
      <c r="Q50" s="125"/>
      <c r="R50" s="125"/>
      <c r="S50" s="126"/>
      <c r="T50" s="15" t="s">
        <v>102</v>
      </c>
      <c r="U50" s="127" t="s">
        <v>863</v>
      </c>
      <c r="V50" s="125"/>
      <c r="W50" s="125"/>
      <c r="X50" s="125"/>
      <c r="Y50" s="125"/>
      <c r="AA50" s="125" t="s">
        <v>877</v>
      </c>
      <c r="AB50" s="125"/>
      <c r="AC50" s="125"/>
      <c r="AD50" s="125"/>
    </row>
    <row r="51" spans="7:30" x14ac:dyDescent="0.4">
      <c r="G51" s="101" t="s">
        <v>97</v>
      </c>
      <c r="H51" s="101"/>
      <c r="I51" s="101"/>
      <c r="J51" s="101"/>
      <c r="K51" s="101"/>
      <c r="L51" s="101"/>
      <c r="M51" s="101"/>
      <c r="O51" s="125" t="s">
        <v>790</v>
      </c>
      <c r="P51" s="125"/>
      <c r="Q51" s="125"/>
      <c r="R51" s="125"/>
      <c r="S51" s="126"/>
      <c r="T51" s="15" t="s">
        <v>102</v>
      </c>
      <c r="U51" s="127" t="s">
        <v>864</v>
      </c>
      <c r="V51" s="125"/>
      <c r="W51" s="125"/>
      <c r="X51" s="125"/>
      <c r="Y51" s="125"/>
      <c r="AA51" s="125" t="s">
        <v>877</v>
      </c>
      <c r="AB51" s="125"/>
      <c r="AC51" s="125"/>
      <c r="AD51" s="125"/>
    </row>
    <row r="52" spans="7:30" x14ac:dyDescent="0.4">
      <c r="G52" s="101" t="s">
        <v>98</v>
      </c>
      <c r="H52" s="101"/>
      <c r="I52" s="101"/>
      <c r="J52" s="101"/>
      <c r="K52" s="101"/>
      <c r="L52" s="101"/>
      <c r="M52" s="101"/>
      <c r="O52" s="125" t="s">
        <v>131</v>
      </c>
      <c r="P52" s="125"/>
      <c r="Q52" s="125"/>
      <c r="R52" s="125"/>
      <c r="S52" s="126"/>
      <c r="T52" s="15" t="s">
        <v>102</v>
      </c>
      <c r="U52" s="127" t="s">
        <v>865</v>
      </c>
      <c r="V52" s="125"/>
      <c r="W52" s="125"/>
      <c r="X52" s="125"/>
      <c r="Y52" s="125"/>
      <c r="AA52" s="125" t="s">
        <v>877</v>
      </c>
      <c r="AB52" s="125"/>
      <c r="AC52" s="125"/>
      <c r="AD52" s="125"/>
    </row>
    <row r="53" spans="7:30" x14ac:dyDescent="0.4">
      <c r="G53" s="101" t="s">
        <v>99</v>
      </c>
      <c r="H53" s="101"/>
      <c r="I53" s="101"/>
      <c r="J53" s="101"/>
      <c r="K53" s="101"/>
      <c r="L53" s="101"/>
      <c r="M53" s="101"/>
      <c r="O53" s="125" t="s">
        <v>797</v>
      </c>
      <c r="P53" s="125"/>
      <c r="Q53" s="125"/>
      <c r="R53" s="125"/>
      <c r="S53" s="126"/>
      <c r="T53" s="15" t="s">
        <v>102</v>
      </c>
      <c r="U53" s="127" t="s">
        <v>866</v>
      </c>
      <c r="V53" s="125"/>
      <c r="W53" s="125"/>
      <c r="X53" s="125"/>
      <c r="Y53" s="125"/>
      <c r="AA53" s="125" t="s">
        <v>877</v>
      </c>
      <c r="AB53" s="125"/>
      <c r="AC53" s="125"/>
      <c r="AD53" s="125"/>
    </row>
    <row r="54" spans="7:30" x14ac:dyDescent="0.4">
      <c r="G54" s="101" t="s">
        <v>100</v>
      </c>
      <c r="H54" s="101"/>
      <c r="I54" s="101"/>
      <c r="J54" s="101"/>
      <c r="K54" s="101"/>
      <c r="L54" s="101"/>
      <c r="M54" s="101"/>
      <c r="O54" s="125" t="s">
        <v>132</v>
      </c>
      <c r="P54" s="125"/>
      <c r="Q54" s="125"/>
      <c r="R54" s="125"/>
      <c r="S54" s="126"/>
      <c r="T54" s="15" t="s">
        <v>102</v>
      </c>
      <c r="U54" s="127" t="s">
        <v>867</v>
      </c>
      <c r="V54" s="125"/>
      <c r="W54" s="125"/>
      <c r="X54" s="125"/>
      <c r="Y54" s="125"/>
      <c r="AA54" s="125" t="s">
        <v>877</v>
      </c>
      <c r="AB54" s="125"/>
      <c r="AC54" s="125"/>
      <c r="AD54" s="125"/>
    </row>
    <row r="55" spans="7:30" x14ac:dyDescent="0.4">
      <c r="G55" s="101" t="s">
        <v>101</v>
      </c>
      <c r="H55" s="101"/>
      <c r="I55" s="101"/>
      <c r="J55" s="101"/>
      <c r="K55" s="101"/>
      <c r="L55" s="101"/>
      <c r="M55" s="101"/>
      <c r="O55" s="125" t="s">
        <v>804</v>
      </c>
      <c r="P55" s="125"/>
      <c r="Q55" s="125"/>
      <c r="R55" s="125"/>
      <c r="S55" s="126"/>
      <c r="T55" s="15" t="s">
        <v>102</v>
      </c>
      <c r="U55" s="127" t="s">
        <v>868</v>
      </c>
      <c r="V55" s="125"/>
      <c r="W55" s="125"/>
      <c r="X55" s="125"/>
      <c r="Y55" s="125"/>
      <c r="AA55" s="125" t="s">
        <v>877</v>
      </c>
      <c r="AB55" s="125"/>
      <c r="AC55" s="125"/>
      <c r="AD55" s="125"/>
    </row>
    <row r="56" spans="7:30" x14ac:dyDescent="0.4">
      <c r="G56" s="101" t="s">
        <v>853</v>
      </c>
      <c r="H56" s="101"/>
      <c r="I56" s="101"/>
      <c r="J56" s="101"/>
      <c r="K56" s="101"/>
      <c r="L56" s="101"/>
      <c r="M56" s="101"/>
      <c r="O56" s="125" t="s">
        <v>133</v>
      </c>
      <c r="P56" s="125"/>
      <c r="Q56" s="125"/>
      <c r="R56" s="125"/>
      <c r="S56" s="126"/>
      <c r="T56" s="15" t="s">
        <v>102</v>
      </c>
      <c r="U56" s="127" t="s">
        <v>869</v>
      </c>
      <c r="V56" s="125"/>
      <c r="W56" s="125"/>
      <c r="X56" s="125"/>
      <c r="Y56" s="125"/>
      <c r="AA56" s="125" t="s">
        <v>877</v>
      </c>
      <c r="AB56" s="125"/>
      <c r="AC56" s="125"/>
      <c r="AD56" s="125"/>
    </row>
    <row r="57" spans="7:30" x14ac:dyDescent="0.4">
      <c r="G57" s="101" t="s">
        <v>854</v>
      </c>
      <c r="H57" s="101"/>
      <c r="I57" s="101"/>
      <c r="J57" s="101"/>
      <c r="K57" s="101"/>
      <c r="L57" s="101"/>
      <c r="M57" s="101"/>
      <c r="O57" s="125" t="s">
        <v>811</v>
      </c>
      <c r="P57" s="125"/>
      <c r="Q57" s="125"/>
      <c r="R57" s="125"/>
      <c r="S57" s="126"/>
      <c r="T57" s="15" t="s">
        <v>102</v>
      </c>
      <c r="U57" s="127" t="s">
        <v>870</v>
      </c>
      <c r="V57" s="125"/>
      <c r="W57" s="125"/>
      <c r="X57" s="125"/>
      <c r="Y57" s="125"/>
      <c r="AA57" s="125" t="s">
        <v>877</v>
      </c>
      <c r="AB57" s="125"/>
      <c r="AC57" s="125"/>
      <c r="AD57" s="125"/>
    </row>
    <row r="58" spans="7:30" x14ac:dyDescent="0.4">
      <c r="G58" s="101" t="s">
        <v>855</v>
      </c>
      <c r="H58" s="101"/>
      <c r="I58" s="101"/>
      <c r="J58" s="101"/>
      <c r="K58" s="101"/>
      <c r="L58" s="101"/>
      <c r="M58" s="101"/>
      <c r="O58" s="125" t="s">
        <v>134</v>
      </c>
      <c r="P58" s="125"/>
      <c r="Q58" s="125"/>
      <c r="R58" s="125"/>
      <c r="S58" s="126"/>
      <c r="T58" s="15" t="s">
        <v>102</v>
      </c>
      <c r="U58" s="127" t="s">
        <v>871</v>
      </c>
      <c r="V58" s="125"/>
      <c r="W58" s="125"/>
      <c r="X58" s="125"/>
      <c r="Y58" s="125"/>
      <c r="AA58" s="125" t="s">
        <v>877</v>
      </c>
      <c r="AB58" s="125"/>
      <c r="AC58" s="125"/>
      <c r="AD58" s="125"/>
    </row>
    <row r="59" spans="7:30" x14ac:dyDescent="0.4">
      <c r="G59" s="101" t="s">
        <v>856</v>
      </c>
      <c r="H59" s="101"/>
      <c r="I59" s="101"/>
      <c r="J59" s="101"/>
      <c r="K59" s="101"/>
      <c r="L59" s="101"/>
      <c r="M59" s="101"/>
      <c r="O59" s="125" t="s">
        <v>818</v>
      </c>
      <c r="P59" s="125"/>
      <c r="Q59" s="125"/>
      <c r="R59" s="125"/>
      <c r="S59" s="126"/>
      <c r="T59" s="15" t="s">
        <v>102</v>
      </c>
      <c r="U59" s="127" t="s">
        <v>872</v>
      </c>
      <c r="V59" s="125"/>
      <c r="W59" s="125"/>
      <c r="X59" s="125"/>
      <c r="Y59" s="125"/>
      <c r="AA59" s="125" t="s">
        <v>877</v>
      </c>
      <c r="AB59" s="125"/>
      <c r="AC59" s="125"/>
      <c r="AD59" s="125"/>
    </row>
    <row r="60" spans="7:30" x14ac:dyDescent="0.4">
      <c r="G60" s="101" t="s">
        <v>857</v>
      </c>
      <c r="H60" s="101"/>
      <c r="I60" s="101"/>
      <c r="J60" s="101"/>
      <c r="K60" s="101"/>
      <c r="L60" s="101"/>
      <c r="M60" s="101"/>
      <c r="O60" s="125" t="s">
        <v>135</v>
      </c>
      <c r="P60" s="125"/>
      <c r="Q60" s="125"/>
      <c r="R60" s="125"/>
      <c r="S60" s="126"/>
      <c r="T60" s="15" t="s">
        <v>102</v>
      </c>
      <c r="U60" s="127" t="s">
        <v>873</v>
      </c>
      <c r="V60" s="125"/>
      <c r="W60" s="125"/>
      <c r="X60" s="125"/>
      <c r="Y60" s="125"/>
      <c r="AA60" s="125" t="s">
        <v>877</v>
      </c>
      <c r="AB60" s="125"/>
      <c r="AC60" s="125"/>
      <c r="AD60" s="125"/>
    </row>
    <row r="61" spans="7:30" x14ac:dyDescent="0.4">
      <c r="G61" s="101" t="s">
        <v>858</v>
      </c>
      <c r="H61" s="101"/>
      <c r="I61" s="101"/>
      <c r="J61" s="101"/>
      <c r="K61" s="101"/>
      <c r="L61" s="101"/>
      <c r="M61" s="101"/>
      <c r="O61" s="125" t="s">
        <v>825</v>
      </c>
      <c r="P61" s="125"/>
      <c r="Q61" s="125"/>
      <c r="R61" s="125"/>
      <c r="S61" s="126"/>
      <c r="T61" s="15" t="s">
        <v>102</v>
      </c>
      <c r="U61" s="127" t="s">
        <v>874</v>
      </c>
      <c r="V61" s="125"/>
      <c r="W61" s="125"/>
      <c r="X61" s="125"/>
      <c r="Y61" s="125"/>
      <c r="AA61" s="125" t="s">
        <v>877</v>
      </c>
      <c r="AB61" s="125"/>
      <c r="AC61" s="125"/>
      <c r="AD61" s="125"/>
    </row>
    <row r="62" spans="7:30" x14ac:dyDescent="0.4">
      <c r="G62" s="101" t="s">
        <v>859</v>
      </c>
      <c r="H62" s="101"/>
      <c r="I62" s="101"/>
      <c r="J62" s="101"/>
      <c r="K62" s="101"/>
      <c r="L62" s="101"/>
      <c r="M62" s="101"/>
      <c r="O62" s="125" t="s">
        <v>136</v>
      </c>
      <c r="P62" s="125"/>
      <c r="Q62" s="125"/>
      <c r="R62" s="125"/>
      <c r="S62" s="126"/>
      <c r="T62" s="15" t="s">
        <v>102</v>
      </c>
      <c r="U62" s="127" t="s">
        <v>875</v>
      </c>
      <c r="V62" s="125"/>
      <c r="W62" s="125"/>
      <c r="X62" s="125"/>
      <c r="Y62" s="125"/>
      <c r="AA62" s="125" t="s">
        <v>877</v>
      </c>
      <c r="AB62" s="125"/>
      <c r="AC62" s="125"/>
      <c r="AD62" s="125"/>
    </row>
    <row r="63" spans="7:30" x14ac:dyDescent="0.4">
      <c r="G63" s="101" t="s">
        <v>860</v>
      </c>
      <c r="H63" s="101"/>
      <c r="I63" s="101"/>
      <c r="J63" s="101"/>
      <c r="K63" s="101"/>
      <c r="L63" s="101"/>
      <c r="M63" s="101"/>
      <c r="O63" s="125" t="s">
        <v>832</v>
      </c>
      <c r="P63" s="125"/>
      <c r="Q63" s="125"/>
      <c r="R63" s="125"/>
      <c r="S63" s="126"/>
      <c r="T63" s="15" t="s">
        <v>102</v>
      </c>
      <c r="U63" s="127" t="s">
        <v>876</v>
      </c>
      <c r="V63" s="125"/>
      <c r="W63" s="125"/>
      <c r="X63" s="125"/>
      <c r="Y63" s="125"/>
      <c r="AA63" s="125" t="s">
        <v>877</v>
      </c>
      <c r="AB63" s="125"/>
      <c r="AC63" s="125"/>
      <c r="AD63" s="125"/>
    </row>
    <row r="69" spans="9:51" x14ac:dyDescent="0.4">
      <c r="AT69"/>
      <c r="AY69" s="1"/>
    </row>
    <row r="70" spans="9:51" x14ac:dyDescent="0.4">
      <c r="S70" s="63" t="s">
        <v>19</v>
      </c>
      <c r="T70" s="63"/>
      <c r="U70" s="63"/>
      <c r="V70" s="63"/>
      <c r="AT70"/>
      <c r="AY70" s="1"/>
    </row>
    <row r="71" spans="9:51" x14ac:dyDescent="0.4">
      <c r="S71" s="140" t="s">
        <v>41</v>
      </c>
      <c r="T71" s="140"/>
      <c r="U71" s="140"/>
      <c r="V71" s="140"/>
      <c r="AT71"/>
      <c r="AX71" s="1"/>
    </row>
    <row r="72" spans="9:51" x14ac:dyDescent="0.4">
      <c r="I72" s="149" t="s">
        <v>837</v>
      </c>
      <c r="J72" s="150"/>
      <c r="K72" s="150"/>
      <c r="L72" s="151"/>
      <c r="N72" s="125" t="s">
        <v>87</v>
      </c>
      <c r="O72" s="125"/>
      <c r="P72" s="125"/>
      <c r="Q72" s="125"/>
      <c r="S72" s="134" t="s">
        <v>129</v>
      </c>
      <c r="T72" s="135"/>
      <c r="U72" s="135"/>
      <c r="V72" s="136"/>
      <c r="AT72"/>
      <c r="AX72" s="1"/>
    </row>
    <row r="73" spans="9:51" x14ac:dyDescent="0.4">
      <c r="I73" s="152"/>
      <c r="J73" s="153"/>
      <c r="K73" s="153"/>
      <c r="L73" s="154"/>
      <c r="N73" s="125" t="s">
        <v>88</v>
      </c>
      <c r="O73" s="125"/>
      <c r="P73" s="125"/>
      <c r="Q73" s="125"/>
      <c r="S73" s="134" t="s">
        <v>780</v>
      </c>
      <c r="T73" s="135"/>
      <c r="U73" s="135"/>
      <c r="V73" s="136"/>
      <c r="AT73"/>
      <c r="AX73" s="1"/>
    </row>
    <row r="74" spans="9:51" x14ac:dyDescent="0.4">
      <c r="I74" s="152"/>
      <c r="J74" s="153"/>
      <c r="K74" s="153"/>
      <c r="L74" s="154"/>
      <c r="N74" s="125" t="s">
        <v>89</v>
      </c>
      <c r="O74" s="125"/>
      <c r="P74" s="125"/>
      <c r="Q74" s="125"/>
      <c r="S74" s="134" t="s">
        <v>781</v>
      </c>
      <c r="T74" s="135"/>
      <c r="U74" s="135"/>
      <c r="V74" s="136"/>
      <c r="AT74"/>
      <c r="AX74" s="1"/>
    </row>
    <row r="75" spans="9:51" x14ac:dyDescent="0.4">
      <c r="I75" s="152"/>
      <c r="J75" s="153"/>
      <c r="K75" s="153"/>
      <c r="L75" s="154"/>
      <c r="N75" s="98" t="s">
        <v>0</v>
      </c>
      <c r="O75" s="98"/>
      <c r="P75" s="98"/>
      <c r="Q75" s="98"/>
      <c r="S75" s="131" t="s">
        <v>0</v>
      </c>
      <c r="T75" s="132"/>
      <c r="U75" s="132"/>
      <c r="V75" s="133"/>
      <c r="AT75"/>
      <c r="AX75" s="1"/>
    </row>
    <row r="76" spans="9:51" x14ac:dyDescent="0.4">
      <c r="I76" s="155"/>
      <c r="J76" s="156"/>
      <c r="K76" s="156"/>
      <c r="L76" s="157"/>
      <c r="N76" s="125" t="s">
        <v>836</v>
      </c>
      <c r="O76" s="125"/>
      <c r="P76" s="125"/>
      <c r="Q76" s="125"/>
      <c r="S76" s="134" t="s">
        <v>782</v>
      </c>
      <c r="T76" s="135"/>
      <c r="U76" s="135"/>
      <c r="V76" s="136"/>
      <c r="AT76"/>
      <c r="AX76" s="1"/>
    </row>
    <row r="77" spans="9:51" x14ac:dyDescent="0.4">
      <c r="S77" s="146" t="s">
        <v>777</v>
      </c>
      <c r="T77" s="147"/>
      <c r="U77" s="147"/>
      <c r="V77" s="148"/>
      <c r="AT77"/>
      <c r="AX77" s="1"/>
    </row>
    <row r="78" spans="9:51" x14ac:dyDescent="0.4">
      <c r="I78" s="149" t="s">
        <v>838</v>
      </c>
      <c r="J78" s="150"/>
      <c r="K78" s="150"/>
      <c r="L78" s="151"/>
      <c r="N78" s="125" t="s">
        <v>87</v>
      </c>
      <c r="O78" s="125"/>
      <c r="P78" s="125"/>
      <c r="Q78" s="125"/>
      <c r="S78" s="134" t="s">
        <v>783</v>
      </c>
      <c r="T78" s="135"/>
      <c r="U78" s="135"/>
      <c r="V78" s="136"/>
      <c r="AT78"/>
      <c r="AX78" s="1"/>
    </row>
    <row r="79" spans="9:51" x14ac:dyDescent="0.4">
      <c r="I79" s="152"/>
      <c r="J79" s="153"/>
      <c r="K79" s="153"/>
      <c r="L79" s="154"/>
      <c r="N79" s="125" t="s">
        <v>88</v>
      </c>
      <c r="O79" s="125"/>
      <c r="P79" s="125"/>
      <c r="Q79" s="125"/>
      <c r="S79" s="134" t="s">
        <v>784</v>
      </c>
      <c r="T79" s="135"/>
      <c r="U79" s="135"/>
      <c r="V79" s="136"/>
      <c r="AT79"/>
      <c r="AX79" s="1"/>
    </row>
    <row r="80" spans="9:51" x14ac:dyDescent="0.4">
      <c r="I80" s="152"/>
      <c r="J80" s="153"/>
      <c r="K80" s="153"/>
      <c r="L80" s="154"/>
      <c r="N80" s="125" t="s">
        <v>89</v>
      </c>
      <c r="O80" s="125"/>
      <c r="P80" s="125"/>
      <c r="Q80" s="125"/>
      <c r="S80" s="134" t="s">
        <v>785</v>
      </c>
      <c r="T80" s="135"/>
      <c r="U80" s="135"/>
      <c r="V80" s="136"/>
      <c r="AT80"/>
      <c r="AX80" s="1"/>
    </row>
    <row r="81" spans="9:50" x14ac:dyDescent="0.4">
      <c r="I81" s="152"/>
      <c r="J81" s="153"/>
      <c r="K81" s="153"/>
      <c r="L81" s="154"/>
      <c r="N81" s="98" t="s">
        <v>0</v>
      </c>
      <c r="O81" s="98"/>
      <c r="P81" s="98"/>
      <c r="Q81" s="98"/>
      <c r="S81" s="131" t="s">
        <v>0</v>
      </c>
      <c r="T81" s="132"/>
      <c r="U81" s="132"/>
      <c r="V81" s="133"/>
      <c r="AT81"/>
      <c r="AX81" s="1"/>
    </row>
    <row r="82" spans="9:50" x14ac:dyDescent="0.4">
      <c r="I82" s="155"/>
      <c r="J82" s="156"/>
      <c r="K82" s="156"/>
      <c r="L82" s="157"/>
      <c r="N82" s="125" t="s">
        <v>836</v>
      </c>
      <c r="O82" s="125"/>
      <c r="P82" s="125"/>
      <c r="Q82" s="125"/>
      <c r="S82" s="134" t="s">
        <v>786</v>
      </c>
      <c r="T82" s="135"/>
      <c r="U82" s="135"/>
      <c r="V82" s="136"/>
      <c r="AT82"/>
      <c r="AX82" s="1"/>
    </row>
    <row r="83" spans="9:50" x14ac:dyDescent="0.4">
      <c r="S83" s="146" t="s">
        <v>777</v>
      </c>
      <c r="T83" s="147"/>
      <c r="U83" s="147"/>
      <c r="V83" s="148"/>
      <c r="AT83"/>
      <c r="AX83" s="1"/>
    </row>
    <row r="84" spans="9:50" x14ac:dyDescent="0.4">
      <c r="I84" s="149" t="s">
        <v>839</v>
      </c>
      <c r="J84" s="150"/>
      <c r="K84" s="150"/>
      <c r="L84" s="151"/>
      <c r="N84" s="125" t="s">
        <v>87</v>
      </c>
      <c r="O84" s="125"/>
      <c r="P84" s="125"/>
      <c r="Q84" s="125"/>
      <c r="S84" s="134" t="s">
        <v>130</v>
      </c>
      <c r="T84" s="135"/>
      <c r="U84" s="135"/>
      <c r="V84" s="136"/>
      <c r="AT84"/>
      <c r="AX84" s="1"/>
    </row>
    <row r="85" spans="9:50" x14ac:dyDescent="0.4">
      <c r="I85" s="152"/>
      <c r="J85" s="153"/>
      <c r="K85" s="153"/>
      <c r="L85" s="154"/>
      <c r="N85" s="125" t="s">
        <v>88</v>
      </c>
      <c r="O85" s="125"/>
      <c r="P85" s="125"/>
      <c r="Q85" s="125"/>
      <c r="S85" s="134" t="s">
        <v>787</v>
      </c>
      <c r="T85" s="135"/>
      <c r="U85" s="135"/>
      <c r="V85" s="136"/>
      <c r="AT85"/>
      <c r="AX85" s="1"/>
    </row>
    <row r="86" spans="9:50" x14ac:dyDescent="0.4">
      <c r="I86" s="152"/>
      <c r="J86" s="153"/>
      <c r="K86" s="153"/>
      <c r="L86" s="154"/>
      <c r="N86" s="125" t="s">
        <v>89</v>
      </c>
      <c r="O86" s="125"/>
      <c r="P86" s="125"/>
      <c r="Q86" s="125"/>
      <c r="S86" s="134" t="s">
        <v>788</v>
      </c>
      <c r="T86" s="135"/>
      <c r="U86" s="135"/>
      <c r="V86" s="136"/>
      <c r="AT86"/>
      <c r="AX86" s="1"/>
    </row>
    <row r="87" spans="9:50" x14ac:dyDescent="0.4">
      <c r="I87" s="152"/>
      <c r="J87" s="153"/>
      <c r="K87" s="153"/>
      <c r="L87" s="154"/>
      <c r="N87" s="98" t="s">
        <v>0</v>
      </c>
      <c r="O87" s="98"/>
      <c r="P87" s="98"/>
      <c r="Q87" s="98"/>
      <c r="S87" s="131" t="s">
        <v>0</v>
      </c>
      <c r="T87" s="132"/>
      <c r="U87" s="132"/>
      <c r="V87" s="133"/>
      <c r="AT87"/>
      <c r="AX87" s="1"/>
    </row>
    <row r="88" spans="9:50" x14ac:dyDescent="0.4">
      <c r="I88" s="155"/>
      <c r="J88" s="156"/>
      <c r="K88" s="156"/>
      <c r="L88" s="157"/>
      <c r="N88" s="125" t="s">
        <v>836</v>
      </c>
      <c r="O88" s="125"/>
      <c r="P88" s="125"/>
      <c r="Q88" s="125"/>
      <c r="S88" s="134" t="s">
        <v>789</v>
      </c>
      <c r="T88" s="135"/>
      <c r="U88" s="135"/>
      <c r="V88" s="136"/>
      <c r="AT88"/>
      <c r="AX88" s="1"/>
    </row>
    <row r="89" spans="9:50" x14ac:dyDescent="0.4">
      <c r="S89" s="146" t="s">
        <v>777</v>
      </c>
      <c r="T89" s="147"/>
      <c r="U89" s="147"/>
      <c r="V89" s="148"/>
      <c r="AT89"/>
      <c r="AX89" s="1"/>
    </row>
    <row r="90" spans="9:50" x14ac:dyDescent="0.4">
      <c r="I90" s="149" t="s">
        <v>840</v>
      </c>
      <c r="J90" s="150"/>
      <c r="K90" s="150"/>
      <c r="L90" s="151"/>
      <c r="N90" s="125" t="s">
        <v>87</v>
      </c>
      <c r="O90" s="125"/>
      <c r="P90" s="125"/>
      <c r="Q90" s="125"/>
      <c r="S90" s="134" t="s">
        <v>790</v>
      </c>
      <c r="T90" s="135"/>
      <c r="U90" s="135"/>
      <c r="V90" s="136"/>
      <c r="AT90"/>
      <c r="AX90" s="1"/>
    </row>
    <row r="91" spans="9:50" x14ac:dyDescent="0.4">
      <c r="I91" s="152"/>
      <c r="J91" s="153"/>
      <c r="K91" s="153"/>
      <c r="L91" s="154"/>
      <c r="N91" s="125" t="s">
        <v>88</v>
      </c>
      <c r="O91" s="125"/>
      <c r="P91" s="125"/>
      <c r="Q91" s="125"/>
      <c r="S91" s="134" t="s">
        <v>791</v>
      </c>
      <c r="T91" s="135"/>
      <c r="U91" s="135"/>
      <c r="V91" s="136"/>
      <c r="AT91"/>
      <c r="AX91" s="1"/>
    </row>
    <row r="92" spans="9:50" x14ac:dyDescent="0.4">
      <c r="I92" s="152"/>
      <c r="J92" s="153"/>
      <c r="K92" s="153"/>
      <c r="L92" s="154"/>
      <c r="N92" s="125" t="s">
        <v>89</v>
      </c>
      <c r="O92" s="125"/>
      <c r="P92" s="125"/>
      <c r="Q92" s="125"/>
      <c r="S92" s="134" t="s">
        <v>792</v>
      </c>
      <c r="T92" s="135"/>
      <c r="U92" s="135"/>
      <c r="V92" s="136"/>
      <c r="AT92"/>
      <c r="AX92" s="1"/>
    </row>
    <row r="93" spans="9:50" x14ac:dyDescent="0.4">
      <c r="I93" s="152"/>
      <c r="J93" s="153"/>
      <c r="K93" s="153"/>
      <c r="L93" s="154"/>
      <c r="N93" s="98" t="s">
        <v>0</v>
      </c>
      <c r="O93" s="98"/>
      <c r="P93" s="98"/>
      <c r="Q93" s="98"/>
      <c r="S93" s="131" t="s">
        <v>0</v>
      </c>
      <c r="T93" s="132"/>
      <c r="U93" s="132"/>
      <c r="V93" s="133"/>
      <c r="AT93"/>
      <c r="AX93" s="1"/>
    </row>
    <row r="94" spans="9:50" x14ac:dyDescent="0.4">
      <c r="I94" s="155"/>
      <c r="J94" s="156"/>
      <c r="K94" s="156"/>
      <c r="L94" s="157"/>
      <c r="N94" s="125" t="s">
        <v>836</v>
      </c>
      <c r="O94" s="125"/>
      <c r="P94" s="125"/>
      <c r="Q94" s="125"/>
      <c r="S94" s="134" t="s">
        <v>793</v>
      </c>
      <c r="T94" s="135"/>
      <c r="U94" s="135"/>
      <c r="V94" s="136"/>
      <c r="AT94"/>
      <c r="AX94" s="1"/>
    </row>
    <row r="95" spans="9:50" x14ac:dyDescent="0.4">
      <c r="S95" s="146" t="s">
        <v>777</v>
      </c>
      <c r="T95" s="147"/>
      <c r="U95" s="147"/>
      <c r="V95" s="148"/>
      <c r="AT95"/>
      <c r="AX95" s="1"/>
    </row>
    <row r="96" spans="9:50" x14ac:dyDescent="0.4">
      <c r="I96" s="149" t="s">
        <v>841</v>
      </c>
      <c r="J96" s="150"/>
      <c r="K96" s="150"/>
      <c r="L96" s="151"/>
      <c r="N96" s="125" t="s">
        <v>87</v>
      </c>
      <c r="O96" s="125"/>
      <c r="P96" s="125"/>
      <c r="Q96" s="125"/>
      <c r="S96" s="134" t="s">
        <v>131</v>
      </c>
      <c r="T96" s="135"/>
      <c r="U96" s="135"/>
      <c r="V96" s="136"/>
      <c r="AT96"/>
      <c r="AX96" s="1"/>
    </row>
    <row r="97" spans="9:50" x14ac:dyDescent="0.4">
      <c r="I97" s="152"/>
      <c r="J97" s="153"/>
      <c r="K97" s="153"/>
      <c r="L97" s="154"/>
      <c r="N97" s="125" t="s">
        <v>88</v>
      </c>
      <c r="O97" s="125"/>
      <c r="P97" s="125"/>
      <c r="Q97" s="125"/>
      <c r="S97" s="134" t="s">
        <v>794</v>
      </c>
      <c r="T97" s="135"/>
      <c r="U97" s="135"/>
      <c r="V97" s="136"/>
      <c r="AT97"/>
      <c r="AX97" s="1"/>
    </row>
    <row r="98" spans="9:50" x14ac:dyDescent="0.4">
      <c r="I98" s="152"/>
      <c r="J98" s="153"/>
      <c r="K98" s="153"/>
      <c r="L98" s="154"/>
      <c r="N98" s="125" t="s">
        <v>89</v>
      </c>
      <c r="O98" s="125"/>
      <c r="P98" s="125"/>
      <c r="Q98" s="125"/>
      <c r="S98" s="134" t="s">
        <v>795</v>
      </c>
      <c r="T98" s="135"/>
      <c r="U98" s="135"/>
      <c r="V98" s="136"/>
      <c r="AT98"/>
      <c r="AX98" s="1"/>
    </row>
    <row r="99" spans="9:50" x14ac:dyDescent="0.4">
      <c r="I99" s="152"/>
      <c r="J99" s="153"/>
      <c r="K99" s="153"/>
      <c r="L99" s="154"/>
      <c r="N99" s="98" t="s">
        <v>0</v>
      </c>
      <c r="O99" s="98"/>
      <c r="P99" s="98"/>
      <c r="Q99" s="98"/>
      <c r="S99" s="131" t="s">
        <v>0</v>
      </c>
      <c r="T99" s="132"/>
      <c r="U99" s="132"/>
      <c r="V99" s="133"/>
      <c r="AT99"/>
      <c r="AX99" s="1"/>
    </row>
    <row r="100" spans="9:50" x14ac:dyDescent="0.4">
      <c r="I100" s="155"/>
      <c r="J100" s="156"/>
      <c r="K100" s="156"/>
      <c r="L100" s="157"/>
      <c r="N100" s="125" t="s">
        <v>836</v>
      </c>
      <c r="O100" s="125"/>
      <c r="P100" s="125"/>
      <c r="Q100" s="125"/>
      <c r="S100" s="134" t="s">
        <v>796</v>
      </c>
      <c r="T100" s="135"/>
      <c r="U100" s="135"/>
      <c r="V100" s="136"/>
      <c r="AT100"/>
      <c r="AX100" s="1"/>
    </row>
    <row r="101" spans="9:50" x14ac:dyDescent="0.4">
      <c r="I101" s="40"/>
      <c r="S101" s="146" t="s">
        <v>777</v>
      </c>
      <c r="T101" s="147"/>
      <c r="U101" s="147"/>
      <c r="V101" s="148"/>
      <c r="AT101"/>
      <c r="AX101" s="1"/>
    </row>
    <row r="102" spans="9:50" x14ac:dyDescent="0.4">
      <c r="I102" s="149" t="s">
        <v>842</v>
      </c>
      <c r="J102" s="150"/>
      <c r="K102" s="150"/>
      <c r="L102" s="151"/>
      <c r="N102" s="125" t="s">
        <v>87</v>
      </c>
      <c r="O102" s="125"/>
      <c r="P102" s="125"/>
      <c r="Q102" s="125"/>
      <c r="S102" s="134" t="s">
        <v>797</v>
      </c>
      <c r="T102" s="135"/>
      <c r="U102" s="135"/>
      <c r="V102" s="136"/>
      <c r="AT102"/>
      <c r="AX102" s="1"/>
    </row>
    <row r="103" spans="9:50" x14ac:dyDescent="0.4">
      <c r="I103" s="152"/>
      <c r="J103" s="153"/>
      <c r="K103" s="153"/>
      <c r="L103" s="154"/>
      <c r="N103" s="125" t="s">
        <v>88</v>
      </c>
      <c r="O103" s="125"/>
      <c r="P103" s="125"/>
      <c r="Q103" s="125"/>
      <c r="S103" s="134" t="s">
        <v>798</v>
      </c>
      <c r="T103" s="135"/>
      <c r="U103" s="135"/>
      <c r="V103" s="136"/>
      <c r="AT103"/>
      <c r="AX103" s="1"/>
    </row>
    <row r="104" spans="9:50" x14ac:dyDescent="0.4">
      <c r="I104" s="152"/>
      <c r="J104" s="153"/>
      <c r="K104" s="153"/>
      <c r="L104" s="154"/>
      <c r="N104" s="125" t="s">
        <v>89</v>
      </c>
      <c r="O104" s="125"/>
      <c r="P104" s="125"/>
      <c r="Q104" s="125"/>
      <c r="S104" s="134" t="s">
        <v>799</v>
      </c>
      <c r="T104" s="135"/>
      <c r="U104" s="135"/>
      <c r="V104" s="136"/>
      <c r="AT104"/>
      <c r="AX104" s="1"/>
    </row>
    <row r="105" spans="9:50" x14ac:dyDescent="0.4">
      <c r="I105" s="152"/>
      <c r="J105" s="153"/>
      <c r="K105" s="153"/>
      <c r="L105" s="154"/>
      <c r="N105" s="98" t="s">
        <v>0</v>
      </c>
      <c r="O105" s="98"/>
      <c r="P105" s="98"/>
      <c r="Q105" s="98"/>
      <c r="S105" s="131" t="s">
        <v>0</v>
      </c>
      <c r="T105" s="132"/>
      <c r="U105" s="132"/>
      <c r="V105" s="133"/>
      <c r="AT105"/>
      <c r="AX105" s="1"/>
    </row>
    <row r="106" spans="9:50" x14ac:dyDescent="0.4">
      <c r="I106" s="155"/>
      <c r="J106" s="156"/>
      <c r="K106" s="156"/>
      <c r="L106" s="157"/>
      <c r="N106" s="125" t="s">
        <v>836</v>
      </c>
      <c r="O106" s="125"/>
      <c r="P106" s="125"/>
      <c r="Q106" s="125"/>
      <c r="S106" s="134" t="s">
        <v>800</v>
      </c>
      <c r="T106" s="135"/>
      <c r="U106" s="135"/>
      <c r="V106" s="136"/>
      <c r="AT106"/>
      <c r="AX106" s="1"/>
    </row>
    <row r="107" spans="9:50" x14ac:dyDescent="0.4">
      <c r="S107" s="146" t="s">
        <v>777</v>
      </c>
      <c r="T107" s="147"/>
      <c r="U107" s="147"/>
      <c r="V107" s="148"/>
      <c r="AT107"/>
      <c r="AX107" s="1"/>
    </row>
    <row r="108" spans="9:50" x14ac:dyDescent="0.4">
      <c r="I108" s="149" t="s">
        <v>843</v>
      </c>
      <c r="J108" s="150"/>
      <c r="K108" s="150"/>
      <c r="L108" s="151"/>
      <c r="N108" s="125" t="s">
        <v>87</v>
      </c>
      <c r="O108" s="125"/>
      <c r="P108" s="125"/>
      <c r="Q108" s="125"/>
      <c r="S108" s="134" t="s">
        <v>132</v>
      </c>
      <c r="T108" s="135"/>
      <c r="U108" s="135"/>
      <c r="V108" s="136"/>
      <c r="AT108"/>
      <c r="AX108" s="1"/>
    </row>
    <row r="109" spans="9:50" x14ac:dyDescent="0.4">
      <c r="I109" s="152"/>
      <c r="J109" s="153"/>
      <c r="K109" s="153"/>
      <c r="L109" s="154"/>
      <c r="N109" s="125" t="s">
        <v>88</v>
      </c>
      <c r="O109" s="125"/>
      <c r="P109" s="125"/>
      <c r="Q109" s="125"/>
      <c r="S109" s="134" t="s">
        <v>801</v>
      </c>
      <c r="T109" s="135"/>
      <c r="U109" s="135"/>
      <c r="V109" s="136"/>
      <c r="AT109"/>
      <c r="AX109" s="1"/>
    </row>
    <row r="110" spans="9:50" x14ac:dyDescent="0.4">
      <c r="I110" s="152"/>
      <c r="J110" s="153"/>
      <c r="K110" s="153"/>
      <c r="L110" s="154"/>
      <c r="N110" s="125" t="s">
        <v>89</v>
      </c>
      <c r="O110" s="125"/>
      <c r="P110" s="125"/>
      <c r="Q110" s="125"/>
      <c r="S110" s="134" t="s">
        <v>802</v>
      </c>
      <c r="T110" s="135"/>
      <c r="U110" s="135"/>
      <c r="V110" s="136"/>
      <c r="AT110"/>
      <c r="AX110" s="1"/>
    </row>
    <row r="111" spans="9:50" x14ac:dyDescent="0.4">
      <c r="I111" s="152"/>
      <c r="J111" s="153"/>
      <c r="K111" s="153"/>
      <c r="L111" s="154"/>
      <c r="N111" s="98" t="s">
        <v>0</v>
      </c>
      <c r="O111" s="98"/>
      <c r="P111" s="98"/>
      <c r="Q111" s="98"/>
      <c r="S111" s="131" t="s">
        <v>0</v>
      </c>
      <c r="T111" s="132"/>
      <c r="U111" s="132"/>
      <c r="V111" s="133"/>
      <c r="AT111"/>
      <c r="AX111" s="1"/>
    </row>
    <row r="112" spans="9:50" x14ac:dyDescent="0.4">
      <c r="I112" s="155"/>
      <c r="J112" s="156"/>
      <c r="K112" s="156"/>
      <c r="L112" s="157"/>
      <c r="N112" s="125" t="s">
        <v>836</v>
      </c>
      <c r="O112" s="125"/>
      <c r="P112" s="125"/>
      <c r="Q112" s="125"/>
      <c r="S112" s="134" t="s">
        <v>803</v>
      </c>
      <c r="T112" s="135"/>
      <c r="U112" s="135"/>
      <c r="V112" s="136"/>
      <c r="AT112"/>
      <c r="AX112" s="1"/>
    </row>
    <row r="113" spans="9:50" x14ac:dyDescent="0.4">
      <c r="S113" s="146" t="s">
        <v>777</v>
      </c>
      <c r="T113" s="147"/>
      <c r="U113" s="147"/>
      <c r="V113" s="148"/>
      <c r="AT113"/>
      <c r="AX113" s="1"/>
    </row>
    <row r="114" spans="9:50" x14ac:dyDescent="0.4">
      <c r="I114" s="149" t="s">
        <v>844</v>
      </c>
      <c r="J114" s="150"/>
      <c r="K114" s="150"/>
      <c r="L114" s="151"/>
      <c r="N114" s="125" t="s">
        <v>87</v>
      </c>
      <c r="O114" s="125"/>
      <c r="P114" s="125"/>
      <c r="Q114" s="125"/>
      <c r="S114" s="134" t="s">
        <v>804</v>
      </c>
      <c r="T114" s="135"/>
      <c r="U114" s="135"/>
      <c r="V114" s="136"/>
      <c r="AT114"/>
      <c r="AX114" s="1"/>
    </row>
    <row r="115" spans="9:50" x14ac:dyDescent="0.4">
      <c r="I115" s="152"/>
      <c r="J115" s="153"/>
      <c r="K115" s="153"/>
      <c r="L115" s="154"/>
      <c r="N115" s="125" t="s">
        <v>88</v>
      </c>
      <c r="O115" s="125"/>
      <c r="P115" s="125"/>
      <c r="Q115" s="125"/>
      <c r="S115" s="134" t="s">
        <v>805</v>
      </c>
      <c r="T115" s="135"/>
      <c r="U115" s="135"/>
      <c r="V115" s="136"/>
      <c r="AT115"/>
      <c r="AX115" s="1"/>
    </row>
    <row r="116" spans="9:50" x14ac:dyDescent="0.4">
      <c r="I116" s="152"/>
      <c r="J116" s="153"/>
      <c r="K116" s="153"/>
      <c r="L116" s="154"/>
      <c r="N116" s="125" t="s">
        <v>89</v>
      </c>
      <c r="O116" s="125"/>
      <c r="P116" s="125"/>
      <c r="Q116" s="125"/>
      <c r="S116" s="134" t="s">
        <v>806</v>
      </c>
      <c r="T116" s="135"/>
      <c r="U116" s="135"/>
      <c r="V116" s="136"/>
      <c r="AT116"/>
      <c r="AX116" s="1"/>
    </row>
    <row r="117" spans="9:50" x14ac:dyDescent="0.4">
      <c r="I117" s="152"/>
      <c r="J117" s="153"/>
      <c r="K117" s="153"/>
      <c r="L117" s="154"/>
      <c r="N117" s="98" t="s">
        <v>0</v>
      </c>
      <c r="O117" s="98"/>
      <c r="P117" s="98"/>
      <c r="Q117" s="98"/>
      <c r="S117" s="131" t="s">
        <v>0</v>
      </c>
      <c r="T117" s="132"/>
      <c r="U117" s="132"/>
      <c r="V117" s="133"/>
      <c r="AT117"/>
      <c r="AX117" s="1"/>
    </row>
    <row r="118" spans="9:50" x14ac:dyDescent="0.4">
      <c r="I118" s="155"/>
      <c r="J118" s="156"/>
      <c r="K118" s="156"/>
      <c r="L118" s="157"/>
      <c r="N118" s="125" t="s">
        <v>836</v>
      </c>
      <c r="O118" s="125"/>
      <c r="P118" s="125"/>
      <c r="Q118" s="125"/>
      <c r="S118" s="134" t="s">
        <v>807</v>
      </c>
      <c r="T118" s="135"/>
      <c r="U118" s="135"/>
      <c r="V118" s="136"/>
      <c r="AT118"/>
      <c r="AX118" s="1"/>
    </row>
    <row r="119" spans="9:50" x14ac:dyDescent="0.4">
      <c r="S119" s="146" t="s">
        <v>777</v>
      </c>
      <c r="T119" s="147"/>
      <c r="U119" s="147"/>
      <c r="V119" s="148"/>
      <c r="AT119"/>
      <c r="AX119" s="1"/>
    </row>
    <row r="120" spans="9:50" x14ac:dyDescent="0.4">
      <c r="I120" s="149" t="s">
        <v>845</v>
      </c>
      <c r="J120" s="150"/>
      <c r="K120" s="150"/>
      <c r="L120" s="151"/>
      <c r="N120" s="125" t="s">
        <v>87</v>
      </c>
      <c r="O120" s="125"/>
      <c r="P120" s="125"/>
      <c r="Q120" s="125"/>
      <c r="S120" s="134" t="s">
        <v>133</v>
      </c>
      <c r="T120" s="135"/>
      <c r="U120" s="135"/>
      <c r="V120" s="136"/>
      <c r="AT120"/>
      <c r="AX120" s="1"/>
    </row>
    <row r="121" spans="9:50" x14ac:dyDescent="0.4">
      <c r="I121" s="152"/>
      <c r="J121" s="153"/>
      <c r="K121" s="153"/>
      <c r="L121" s="154"/>
      <c r="N121" s="125" t="s">
        <v>88</v>
      </c>
      <c r="O121" s="125"/>
      <c r="P121" s="125"/>
      <c r="Q121" s="125"/>
      <c r="S121" s="134" t="s">
        <v>808</v>
      </c>
      <c r="T121" s="135"/>
      <c r="U121" s="135"/>
      <c r="V121" s="136"/>
      <c r="AT121"/>
      <c r="AX121" s="1"/>
    </row>
    <row r="122" spans="9:50" x14ac:dyDescent="0.4">
      <c r="I122" s="152"/>
      <c r="J122" s="153"/>
      <c r="K122" s="153"/>
      <c r="L122" s="154"/>
      <c r="N122" s="125" t="s">
        <v>89</v>
      </c>
      <c r="O122" s="125"/>
      <c r="P122" s="125"/>
      <c r="Q122" s="125"/>
      <c r="S122" s="134" t="s">
        <v>809</v>
      </c>
      <c r="T122" s="135"/>
      <c r="U122" s="135"/>
      <c r="V122" s="136"/>
      <c r="AT122"/>
      <c r="AX122" s="1"/>
    </row>
    <row r="123" spans="9:50" x14ac:dyDescent="0.4">
      <c r="I123" s="152"/>
      <c r="J123" s="153"/>
      <c r="K123" s="153"/>
      <c r="L123" s="154"/>
      <c r="N123" s="98" t="s">
        <v>0</v>
      </c>
      <c r="O123" s="98"/>
      <c r="P123" s="98"/>
      <c r="Q123" s="98"/>
      <c r="S123" s="131" t="s">
        <v>0</v>
      </c>
      <c r="T123" s="132"/>
      <c r="U123" s="132"/>
      <c r="V123" s="133"/>
      <c r="AT123"/>
      <c r="AX123" s="1"/>
    </row>
    <row r="124" spans="9:50" x14ac:dyDescent="0.4">
      <c r="I124" s="155"/>
      <c r="J124" s="156"/>
      <c r="K124" s="156"/>
      <c r="L124" s="157"/>
      <c r="N124" s="125" t="s">
        <v>836</v>
      </c>
      <c r="O124" s="125"/>
      <c r="P124" s="125"/>
      <c r="Q124" s="125"/>
      <c r="S124" s="134" t="s">
        <v>810</v>
      </c>
      <c r="T124" s="135"/>
      <c r="U124" s="135"/>
      <c r="V124" s="136"/>
      <c r="AT124"/>
      <c r="AX124" s="1"/>
    </row>
    <row r="125" spans="9:50" x14ac:dyDescent="0.4">
      <c r="S125" s="146" t="s">
        <v>777</v>
      </c>
      <c r="T125" s="147"/>
      <c r="U125" s="147"/>
      <c r="V125" s="148"/>
      <c r="AT125"/>
      <c r="AX125" s="1"/>
    </row>
    <row r="126" spans="9:50" x14ac:dyDescent="0.4">
      <c r="I126" s="149" t="s">
        <v>846</v>
      </c>
      <c r="J126" s="150"/>
      <c r="K126" s="150"/>
      <c r="L126" s="151"/>
      <c r="N126" s="125" t="s">
        <v>87</v>
      </c>
      <c r="O126" s="125"/>
      <c r="P126" s="125"/>
      <c r="Q126" s="125"/>
      <c r="S126" s="134" t="s">
        <v>811</v>
      </c>
      <c r="T126" s="135"/>
      <c r="U126" s="135"/>
      <c r="V126" s="136"/>
      <c r="AT126"/>
      <c r="AX126" s="1"/>
    </row>
    <row r="127" spans="9:50" x14ac:dyDescent="0.4">
      <c r="I127" s="152"/>
      <c r="J127" s="153"/>
      <c r="K127" s="153"/>
      <c r="L127" s="154"/>
      <c r="N127" s="125" t="s">
        <v>88</v>
      </c>
      <c r="O127" s="125"/>
      <c r="P127" s="125"/>
      <c r="Q127" s="125"/>
      <c r="S127" s="134" t="s">
        <v>812</v>
      </c>
      <c r="T127" s="135"/>
      <c r="U127" s="135"/>
      <c r="V127" s="136"/>
      <c r="AT127"/>
      <c r="AX127" s="1"/>
    </row>
    <row r="128" spans="9:50" x14ac:dyDescent="0.4">
      <c r="I128" s="152"/>
      <c r="J128" s="153"/>
      <c r="K128" s="153"/>
      <c r="L128" s="154"/>
      <c r="N128" s="125" t="s">
        <v>89</v>
      </c>
      <c r="O128" s="125"/>
      <c r="P128" s="125"/>
      <c r="Q128" s="125"/>
      <c r="S128" s="134" t="s">
        <v>813</v>
      </c>
      <c r="T128" s="135"/>
      <c r="U128" s="135"/>
      <c r="V128" s="136"/>
      <c r="AT128"/>
      <c r="AX128" s="1"/>
    </row>
    <row r="129" spans="9:50" x14ac:dyDescent="0.4">
      <c r="I129" s="152"/>
      <c r="J129" s="153"/>
      <c r="K129" s="153"/>
      <c r="L129" s="154"/>
      <c r="N129" s="98" t="s">
        <v>0</v>
      </c>
      <c r="O129" s="98"/>
      <c r="P129" s="98"/>
      <c r="Q129" s="98"/>
      <c r="S129" s="131" t="s">
        <v>0</v>
      </c>
      <c r="T129" s="132"/>
      <c r="U129" s="132"/>
      <c r="V129" s="133"/>
      <c r="AT129"/>
      <c r="AX129" s="1"/>
    </row>
    <row r="130" spans="9:50" x14ac:dyDescent="0.4">
      <c r="I130" s="155"/>
      <c r="J130" s="156"/>
      <c r="K130" s="156"/>
      <c r="L130" s="157"/>
      <c r="N130" s="125" t="s">
        <v>836</v>
      </c>
      <c r="O130" s="125"/>
      <c r="P130" s="125"/>
      <c r="Q130" s="125"/>
      <c r="S130" s="134" t="s">
        <v>814</v>
      </c>
      <c r="T130" s="135"/>
      <c r="U130" s="135"/>
      <c r="V130" s="136"/>
      <c r="AT130"/>
      <c r="AX130" s="1"/>
    </row>
    <row r="131" spans="9:50" x14ac:dyDescent="0.4">
      <c r="S131" s="146" t="s">
        <v>777</v>
      </c>
      <c r="T131" s="147"/>
      <c r="U131" s="147"/>
      <c r="V131" s="148"/>
      <c r="AT131"/>
      <c r="AX131" s="1"/>
    </row>
    <row r="132" spans="9:50" x14ac:dyDescent="0.4">
      <c r="I132" s="149" t="s">
        <v>847</v>
      </c>
      <c r="J132" s="150"/>
      <c r="K132" s="150"/>
      <c r="L132" s="151"/>
      <c r="N132" s="125" t="s">
        <v>87</v>
      </c>
      <c r="O132" s="125"/>
      <c r="P132" s="125"/>
      <c r="Q132" s="125"/>
      <c r="S132" s="134" t="s">
        <v>134</v>
      </c>
      <c r="T132" s="135"/>
      <c r="U132" s="135"/>
      <c r="V132" s="136"/>
      <c r="AT132"/>
      <c r="AX132" s="1"/>
    </row>
    <row r="133" spans="9:50" x14ac:dyDescent="0.4">
      <c r="I133" s="152"/>
      <c r="J133" s="153"/>
      <c r="K133" s="153"/>
      <c r="L133" s="154"/>
      <c r="N133" s="125" t="s">
        <v>88</v>
      </c>
      <c r="O133" s="125"/>
      <c r="P133" s="125"/>
      <c r="Q133" s="125"/>
      <c r="S133" s="134" t="s">
        <v>815</v>
      </c>
      <c r="T133" s="135"/>
      <c r="U133" s="135"/>
      <c r="V133" s="136"/>
      <c r="AT133"/>
      <c r="AX133" s="1"/>
    </row>
    <row r="134" spans="9:50" x14ac:dyDescent="0.4">
      <c r="I134" s="152"/>
      <c r="J134" s="153"/>
      <c r="K134" s="153"/>
      <c r="L134" s="154"/>
      <c r="N134" s="125" t="s">
        <v>89</v>
      </c>
      <c r="O134" s="125"/>
      <c r="P134" s="125"/>
      <c r="Q134" s="125"/>
      <c r="S134" s="134" t="s">
        <v>816</v>
      </c>
      <c r="T134" s="135"/>
      <c r="U134" s="135"/>
      <c r="V134" s="136"/>
      <c r="AT134"/>
      <c r="AX134" s="1"/>
    </row>
    <row r="135" spans="9:50" x14ac:dyDescent="0.4">
      <c r="I135" s="152"/>
      <c r="J135" s="153"/>
      <c r="K135" s="153"/>
      <c r="L135" s="154"/>
      <c r="N135" s="98" t="s">
        <v>0</v>
      </c>
      <c r="O135" s="98"/>
      <c r="P135" s="98"/>
      <c r="Q135" s="98"/>
      <c r="S135" s="131" t="s">
        <v>0</v>
      </c>
      <c r="T135" s="132"/>
      <c r="U135" s="132"/>
      <c r="V135" s="133"/>
      <c r="AT135"/>
      <c r="AX135" s="1"/>
    </row>
    <row r="136" spans="9:50" x14ac:dyDescent="0.4">
      <c r="I136" s="155"/>
      <c r="J136" s="156"/>
      <c r="K136" s="156"/>
      <c r="L136" s="157"/>
      <c r="N136" s="125" t="s">
        <v>836</v>
      </c>
      <c r="O136" s="125"/>
      <c r="P136" s="125"/>
      <c r="Q136" s="125"/>
      <c r="S136" s="134" t="s">
        <v>817</v>
      </c>
      <c r="T136" s="135"/>
      <c r="U136" s="135"/>
      <c r="V136" s="136"/>
      <c r="AT136"/>
      <c r="AX136" s="1"/>
    </row>
    <row r="137" spans="9:50" x14ac:dyDescent="0.4">
      <c r="S137" s="146" t="s">
        <v>777</v>
      </c>
      <c r="T137" s="147"/>
      <c r="U137" s="147"/>
      <c r="V137" s="148"/>
      <c r="AT137"/>
      <c r="AX137" s="1"/>
    </row>
    <row r="138" spans="9:50" x14ac:dyDescent="0.4">
      <c r="I138" s="149" t="s">
        <v>848</v>
      </c>
      <c r="J138" s="150"/>
      <c r="K138" s="150"/>
      <c r="L138" s="151"/>
      <c r="N138" s="125" t="s">
        <v>87</v>
      </c>
      <c r="O138" s="125"/>
      <c r="P138" s="125"/>
      <c r="Q138" s="125"/>
      <c r="S138" s="134" t="s">
        <v>818</v>
      </c>
      <c r="T138" s="135"/>
      <c r="U138" s="135"/>
      <c r="V138" s="136"/>
      <c r="AT138"/>
      <c r="AX138" s="1"/>
    </row>
    <row r="139" spans="9:50" x14ac:dyDescent="0.4">
      <c r="I139" s="152"/>
      <c r="J139" s="153"/>
      <c r="K139" s="153"/>
      <c r="L139" s="154"/>
      <c r="N139" s="125" t="s">
        <v>88</v>
      </c>
      <c r="O139" s="125"/>
      <c r="P139" s="125"/>
      <c r="Q139" s="125"/>
      <c r="S139" s="134" t="s">
        <v>819</v>
      </c>
      <c r="T139" s="135"/>
      <c r="U139" s="135"/>
      <c r="V139" s="136"/>
      <c r="AT139"/>
      <c r="AX139" s="1"/>
    </row>
    <row r="140" spans="9:50" x14ac:dyDescent="0.4">
      <c r="I140" s="152"/>
      <c r="J140" s="153"/>
      <c r="K140" s="153"/>
      <c r="L140" s="154"/>
      <c r="N140" s="125" t="s">
        <v>89</v>
      </c>
      <c r="O140" s="125"/>
      <c r="P140" s="125"/>
      <c r="Q140" s="125"/>
      <c r="S140" s="134" t="s">
        <v>820</v>
      </c>
      <c r="T140" s="135"/>
      <c r="U140" s="135"/>
      <c r="V140" s="136"/>
      <c r="AT140"/>
      <c r="AX140" s="1"/>
    </row>
    <row r="141" spans="9:50" x14ac:dyDescent="0.4">
      <c r="I141" s="152"/>
      <c r="J141" s="153"/>
      <c r="K141" s="153"/>
      <c r="L141" s="154"/>
      <c r="N141" s="98" t="s">
        <v>0</v>
      </c>
      <c r="O141" s="98"/>
      <c r="P141" s="98"/>
      <c r="Q141" s="98"/>
      <c r="S141" s="131" t="s">
        <v>0</v>
      </c>
      <c r="T141" s="132"/>
      <c r="U141" s="132"/>
      <c r="V141" s="133"/>
      <c r="AT141"/>
      <c r="AX141" s="1"/>
    </row>
    <row r="142" spans="9:50" x14ac:dyDescent="0.4">
      <c r="I142" s="155"/>
      <c r="J142" s="156"/>
      <c r="K142" s="156"/>
      <c r="L142" s="157"/>
      <c r="N142" s="125" t="s">
        <v>836</v>
      </c>
      <c r="O142" s="125"/>
      <c r="P142" s="125"/>
      <c r="Q142" s="125"/>
      <c r="S142" s="134" t="s">
        <v>821</v>
      </c>
      <c r="T142" s="135"/>
      <c r="U142" s="135"/>
      <c r="V142" s="136"/>
      <c r="AT142"/>
      <c r="AX142" s="1"/>
    </row>
    <row r="143" spans="9:50" x14ac:dyDescent="0.4">
      <c r="S143" s="146" t="s">
        <v>777</v>
      </c>
      <c r="T143" s="147"/>
      <c r="U143" s="147"/>
      <c r="V143" s="148"/>
      <c r="AT143"/>
      <c r="AX143" s="1"/>
    </row>
    <row r="144" spans="9:50" x14ac:dyDescent="0.4">
      <c r="I144" s="149" t="s">
        <v>849</v>
      </c>
      <c r="J144" s="150"/>
      <c r="K144" s="150"/>
      <c r="L144" s="151"/>
      <c r="N144" s="125" t="s">
        <v>87</v>
      </c>
      <c r="O144" s="125"/>
      <c r="P144" s="125"/>
      <c r="Q144" s="125"/>
      <c r="S144" s="134" t="s">
        <v>135</v>
      </c>
      <c r="T144" s="135"/>
      <c r="U144" s="135"/>
      <c r="V144" s="136"/>
      <c r="AT144"/>
      <c r="AX144" s="1"/>
    </row>
    <row r="145" spans="9:50" x14ac:dyDescent="0.4">
      <c r="I145" s="152"/>
      <c r="J145" s="153"/>
      <c r="K145" s="153"/>
      <c r="L145" s="154"/>
      <c r="N145" s="125" t="s">
        <v>88</v>
      </c>
      <c r="O145" s="125"/>
      <c r="P145" s="125"/>
      <c r="Q145" s="125"/>
      <c r="S145" s="134" t="s">
        <v>822</v>
      </c>
      <c r="T145" s="135"/>
      <c r="U145" s="135"/>
      <c r="V145" s="136"/>
      <c r="AT145"/>
      <c r="AX145" s="1"/>
    </row>
    <row r="146" spans="9:50" x14ac:dyDescent="0.4">
      <c r="I146" s="152"/>
      <c r="J146" s="153"/>
      <c r="K146" s="153"/>
      <c r="L146" s="154"/>
      <c r="N146" s="125" t="s">
        <v>89</v>
      </c>
      <c r="O146" s="125"/>
      <c r="P146" s="125"/>
      <c r="Q146" s="125"/>
      <c r="S146" s="134" t="s">
        <v>823</v>
      </c>
      <c r="T146" s="135"/>
      <c r="U146" s="135"/>
      <c r="V146" s="136"/>
      <c r="AT146"/>
      <c r="AX146" s="1"/>
    </row>
    <row r="147" spans="9:50" x14ac:dyDescent="0.4">
      <c r="I147" s="152"/>
      <c r="J147" s="153"/>
      <c r="K147" s="153"/>
      <c r="L147" s="154"/>
      <c r="N147" s="98" t="s">
        <v>0</v>
      </c>
      <c r="O147" s="98"/>
      <c r="P147" s="98"/>
      <c r="Q147" s="98"/>
      <c r="S147" s="131" t="s">
        <v>0</v>
      </c>
      <c r="T147" s="132"/>
      <c r="U147" s="132"/>
      <c r="V147" s="133"/>
      <c r="AT147"/>
      <c r="AX147" s="1"/>
    </row>
    <row r="148" spans="9:50" x14ac:dyDescent="0.4">
      <c r="I148" s="155"/>
      <c r="J148" s="156"/>
      <c r="K148" s="156"/>
      <c r="L148" s="157"/>
      <c r="N148" s="125" t="s">
        <v>836</v>
      </c>
      <c r="O148" s="125"/>
      <c r="P148" s="125"/>
      <c r="Q148" s="125"/>
      <c r="S148" s="134" t="s">
        <v>824</v>
      </c>
      <c r="T148" s="135"/>
      <c r="U148" s="135"/>
      <c r="V148" s="136"/>
      <c r="AT148"/>
      <c r="AX148" s="1"/>
    </row>
    <row r="149" spans="9:50" x14ac:dyDescent="0.4">
      <c r="S149" s="146" t="s">
        <v>777</v>
      </c>
      <c r="T149" s="147"/>
      <c r="U149" s="147"/>
      <c r="V149" s="148"/>
      <c r="AT149"/>
      <c r="AX149" s="1"/>
    </row>
    <row r="150" spans="9:50" x14ac:dyDescent="0.4">
      <c r="I150" s="149" t="s">
        <v>850</v>
      </c>
      <c r="J150" s="150"/>
      <c r="K150" s="150"/>
      <c r="L150" s="151"/>
      <c r="N150" s="125" t="s">
        <v>87</v>
      </c>
      <c r="O150" s="125"/>
      <c r="P150" s="125"/>
      <c r="Q150" s="125"/>
      <c r="S150" s="134" t="s">
        <v>825</v>
      </c>
      <c r="T150" s="135"/>
      <c r="U150" s="135"/>
      <c r="V150" s="136"/>
      <c r="AT150"/>
      <c r="AX150" s="1"/>
    </row>
    <row r="151" spans="9:50" x14ac:dyDescent="0.4">
      <c r="I151" s="152"/>
      <c r="J151" s="153"/>
      <c r="K151" s="153"/>
      <c r="L151" s="154"/>
      <c r="N151" s="125" t="s">
        <v>88</v>
      </c>
      <c r="O151" s="125"/>
      <c r="P151" s="125"/>
      <c r="Q151" s="125"/>
      <c r="S151" s="134" t="s">
        <v>826</v>
      </c>
      <c r="T151" s="135"/>
      <c r="U151" s="135"/>
      <c r="V151" s="136"/>
      <c r="AT151"/>
      <c r="AX151" s="1"/>
    </row>
    <row r="152" spans="9:50" x14ac:dyDescent="0.4">
      <c r="I152" s="152"/>
      <c r="J152" s="153"/>
      <c r="K152" s="153"/>
      <c r="L152" s="154"/>
      <c r="N152" s="125" t="s">
        <v>89</v>
      </c>
      <c r="O152" s="125"/>
      <c r="P152" s="125"/>
      <c r="Q152" s="125"/>
      <c r="S152" s="134" t="s">
        <v>827</v>
      </c>
      <c r="T152" s="135"/>
      <c r="U152" s="135"/>
      <c r="V152" s="136"/>
      <c r="AT152"/>
      <c r="AX152" s="1"/>
    </row>
    <row r="153" spans="9:50" x14ac:dyDescent="0.4">
      <c r="I153" s="152"/>
      <c r="J153" s="153"/>
      <c r="K153" s="153"/>
      <c r="L153" s="154"/>
      <c r="N153" s="98" t="s">
        <v>0</v>
      </c>
      <c r="O153" s="98"/>
      <c r="P153" s="98"/>
      <c r="Q153" s="98"/>
      <c r="S153" s="131" t="s">
        <v>0</v>
      </c>
      <c r="T153" s="132"/>
      <c r="U153" s="132"/>
      <c r="V153" s="133"/>
      <c r="AT153"/>
      <c r="AX153" s="1"/>
    </row>
    <row r="154" spans="9:50" x14ac:dyDescent="0.4">
      <c r="I154" s="155"/>
      <c r="J154" s="156"/>
      <c r="K154" s="156"/>
      <c r="L154" s="157"/>
      <c r="N154" s="125" t="s">
        <v>836</v>
      </c>
      <c r="O154" s="125"/>
      <c r="P154" s="125"/>
      <c r="Q154" s="125"/>
      <c r="S154" s="134" t="s">
        <v>828</v>
      </c>
      <c r="T154" s="135"/>
      <c r="U154" s="135"/>
      <c r="V154" s="136"/>
      <c r="AT154"/>
      <c r="AX154" s="1"/>
    </row>
    <row r="155" spans="9:50" x14ac:dyDescent="0.4">
      <c r="S155" s="146" t="s">
        <v>777</v>
      </c>
      <c r="T155" s="147"/>
      <c r="U155" s="147"/>
      <c r="V155" s="148"/>
      <c r="AT155"/>
      <c r="AX155" s="1"/>
    </row>
    <row r="156" spans="9:50" x14ac:dyDescent="0.4">
      <c r="I156" s="149" t="s">
        <v>851</v>
      </c>
      <c r="J156" s="150"/>
      <c r="K156" s="150"/>
      <c r="L156" s="151"/>
      <c r="N156" s="125" t="s">
        <v>87</v>
      </c>
      <c r="O156" s="125"/>
      <c r="P156" s="125"/>
      <c r="Q156" s="125"/>
      <c r="S156" s="134" t="s">
        <v>136</v>
      </c>
      <c r="T156" s="135"/>
      <c r="U156" s="135"/>
      <c r="V156" s="136"/>
      <c r="AT156"/>
      <c r="AX156" s="1"/>
    </row>
    <row r="157" spans="9:50" x14ac:dyDescent="0.4">
      <c r="I157" s="152"/>
      <c r="J157" s="153"/>
      <c r="K157" s="153"/>
      <c r="L157" s="154"/>
      <c r="N157" s="125" t="s">
        <v>88</v>
      </c>
      <c r="O157" s="125"/>
      <c r="P157" s="125"/>
      <c r="Q157" s="125"/>
      <c r="S157" s="134" t="s">
        <v>829</v>
      </c>
      <c r="T157" s="135"/>
      <c r="U157" s="135"/>
      <c r="V157" s="136"/>
      <c r="AT157"/>
      <c r="AX157" s="1"/>
    </row>
    <row r="158" spans="9:50" x14ac:dyDescent="0.4">
      <c r="I158" s="152"/>
      <c r="J158" s="153"/>
      <c r="K158" s="153"/>
      <c r="L158" s="154"/>
      <c r="N158" s="125" t="s">
        <v>89</v>
      </c>
      <c r="O158" s="125"/>
      <c r="P158" s="125"/>
      <c r="Q158" s="125"/>
      <c r="S158" s="134" t="s">
        <v>830</v>
      </c>
      <c r="T158" s="135"/>
      <c r="U158" s="135"/>
      <c r="V158" s="136"/>
      <c r="AT158"/>
      <c r="AX158" s="1"/>
    </row>
    <row r="159" spans="9:50" x14ac:dyDescent="0.4">
      <c r="I159" s="152"/>
      <c r="J159" s="153"/>
      <c r="K159" s="153"/>
      <c r="L159" s="154"/>
      <c r="N159" s="98" t="s">
        <v>0</v>
      </c>
      <c r="O159" s="98"/>
      <c r="P159" s="98"/>
      <c r="Q159" s="98"/>
      <c r="S159" s="131" t="s">
        <v>0</v>
      </c>
      <c r="T159" s="132"/>
      <c r="U159" s="132"/>
      <c r="V159" s="133"/>
      <c r="AT159"/>
      <c r="AX159" s="1"/>
    </row>
    <row r="160" spans="9:50" x14ac:dyDescent="0.4">
      <c r="I160" s="155"/>
      <c r="J160" s="156"/>
      <c r="K160" s="156"/>
      <c r="L160" s="157"/>
      <c r="N160" s="125" t="s">
        <v>836</v>
      </c>
      <c r="O160" s="125"/>
      <c r="P160" s="125"/>
      <c r="Q160" s="125"/>
      <c r="S160" s="134" t="s">
        <v>831</v>
      </c>
      <c r="T160" s="135"/>
      <c r="U160" s="135"/>
      <c r="V160" s="136"/>
      <c r="AT160"/>
      <c r="AX160" s="1"/>
    </row>
    <row r="161" spans="9:51" x14ac:dyDescent="0.4">
      <c r="S161" s="146" t="s">
        <v>777</v>
      </c>
      <c r="T161" s="147"/>
      <c r="U161" s="147"/>
      <c r="V161" s="148"/>
      <c r="AT161"/>
      <c r="AX161" s="1"/>
    </row>
    <row r="162" spans="9:51" x14ac:dyDescent="0.4">
      <c r="I162" s="149" t="s">
        <v>852</v>
      </c>
      <c r="J162" s="150"/>
      <c r="K162" s="150"/>
      <c r="L162" s="151"/>
      <c r="N162" s="125" t="s">
        <v>87</v>
      </c>
      <c r="O162" s="125"/>
      <c r="P162" s="125"/>
      <c r="Q162" s="125"/>
      <c r="S162" s="134" t="s">
        <v>832</v>
      </c>
      <c r="T162" s="135"/>
      <c r="U162" s="135"/>
      <c r="V162" s="136"/>
      <c r="AT162"/>
      <c r="AX162" s="1"/>
    </row>
    <row r="163" spans="9:51" x14ac:dyDescent="0.4">
      <c r="I163" s="152"/>
      <c r="J163" s="153"/>
      <c r="K163" s="153"/>
      <c r="L163" s="154"/>
      <c r="N163" s="125" t="s">
        <v>88</v>
      </c>
      <c r="O163" s="125"/>
      <c r="P163" s="125"/>
      <c r="Q163" s="125"/>
      <c r="S163" s="134" t="s">
        <v>833</v>
      </c>
      <c r="T163" s="135"/>
      <c r="U163" s="135"/>
      <c r="V163" s="136"/>
      <c r="AT163"/>
      <c r="AX163" s="1"/>
    </row>
    <row r="164" spans="9:51" x14ac:dyDescent="0.4">
      <c r="I164" s="152"/>
      <c r="J164" s="153"/>
      <c r="K164" s="153"/>
      <c r="L164" s="154"/>
      <c r="N164" s="125" t="s">
        <v>89</v>
      </c>
      <c r="O164" s="125"/>
      <c r="P164" s="125"/>
      <c r="Q164" s="125"/>
      <c r="S164" s="134" t="s">
        <v>834</v>
      </c>
      <c r="T164" s="135"/>
      <c r="U164" s="135"/>
      <c r="V164" s="136"/>
      <c r="AT164"/>
      <c r="AX164" s="1"/>
    </row>
    <row r="165" spans="9:51" x14ac:dyDescent="0.4">
      <c r="I165" s="152"/>
      <c r="J165" s="153"/>
      <c r="K165" s="153"/>
      <c r="L165" s="154"/>
      <c r="N165" s="98" t="s">
        <v>0</v>
      </c>
      <c r="O165" s="98"/>
      <c r="P165" s="98"/>
      <c r="Q165" s="98"/>
      <c r="S165" s="131" t="s">
        <v>0</v>
      </c>
      <c r="T165" s="132"/>
      <c r="U165" s="132"/>
      <c r="V165" s="133"/>
      <c r="AT165"/>
      <c r="AX165" s="1"/>
    </row>
    <row r="166" spans="9:51" x14ac:dyDescent="0.4">
      <c r="I166" s="155"/>
      <c r="J166" s="156"/>
      <c r="K166" s="156"/>
      <c r="L166" s="157"/>
      <c r="N166" s="125" t="s">
        <v>836</v>
      </c>
      <c r="O166" s="125"/>
      <c r="P166" s="125"/>
      <c r="Q166" s="125"/>
      <c r="S166" s="134" t="s">
        <v>835</v>
      </c>
      <c r="T166" s="135"/>
      <c r="U166" s="135"/>
      <c r="V166" s="136"/>
      <c r="AT166"/>
      <c r="AX166" s="1"/>
    </row>
    <row r="167" spans="9:51" x14ac:dyDescent="0.4">
      <c r="AT167"/>
      <c r="AX167" s="1"/>
    </row>
    <row r="168" spans="9:51" x14ac:dyDescent="0.4">
      <c r="AT168"/>
      <c r="AY168" s="1"/>
    </row>
  </sheetData>
  <mergeCells count="370">
    <mergeCell ref="G56:M56"/>
    <mergeCell ref="O56:S56"/>
    <mergeCell ref="U56:Y56"/>
    <mergeCell ref="AA56:AD56"/>
    <mergeCell ref="G57:M57"/>
    <mergeCell ref="O57:S57"/>
    <mergeCell ref="U57:Y57"/>
    <mergeCell ref="AA57:AD57"/>
    <mergeCell ref="G58:M58"/>
    <mergeCell ref="O58:S58"/>
    <mergeCell ref="U58:Y58"/>
    <mergeCell ref="AA58:AD58"/>
    <mergeCell ref="N164:Q164"/>
    <mergeCell ref="N165:Q165"/>
    <mergeCell ref="N166:Q166"/>
    <mergeCell ref="I84:L88"/>
    <mergeCell ref="I90:L94"/>
    <mergeCell ref="I96:L100"/>
    <mergeCell ref="I102:L106"/>
    <mergeCell ref="I108:L112"/>
    <mergeCell ref="I114:L118"/>
    <mergeCell ref="I120:L124"/>
    <mergeCell ref="I126:L130"/>
    <mergeCell ref="I132:L136"/>
    <mergeCell ref="I138:L142"/>
    <mergeCell ref="I144:L148"/>
    <mergeCell ref="I150:L154"/>
    <mergeCell ref="I156:L160"/>
    <mergeCell ref="I162:L166"/>
    <mergeCell ref="N153:Q153"/>
    <mergeCell ref="N154:Q154"/>
    <mergeCell ref="N156:Q156"/>
    <mergeCell ref="N157:Q157"/>
    <mergeCell ref="N158:Q158"/>
    <mergeCell ref="N159:Q159"/>
    <mergeCell ref="N160:Q160"/>
    <mergeCell ref="N162:Q162"/>
    <mergeCell ref="N163:Q163"/>
    <mergeCell ref="N142:Q142"/>
    <mergeCell ref="N144:Q144"/>
    <mergeCell ref="N145:Q145"/>
    <mergeCell ref="N146:Q146"/>
    <mergeCell ref="N147:Q147"/>
    <mergeCell ref="N148:Q148"/>
    <mergeCell ref="N150:Q150"/>
    <mergeCell ref="N151:Q151"/>
    <mergeCell ref="N152:Q152"/>
    <mergeCell ref="N132:Q132"/>
    <mergeCell ref="N133:Q133"/>
    <mergeCell ref="N134:Q134"/>
    <mergeCell ref="N135:Q135"/>
    <mergeCell ref="N136:Q136"/>
    <mergeCell ref="N138:Q138"/>
    <mergeCell ref="N139:Q139"/>
    <mergeCell ref="N140:Q140"/>
    <mergeCell ref="N141:Q141"/>
    <mergeCell ref="N121:Q121"/>
    <mergeCell ref="N122:Q122"/>
    <mergeCell ref="N123:Q123"/>
    <mergeCell ref="N124:Q124"/>
    <mergeCell ref="N126:Q126"/>
    <mergeCell ref="N127:Q127"/>
    <mergeCell ref="N128:Q128"/>
    <mergeCell ref="N129:Q129"/>
    <mergeCell ref="N130:Q130"/>
    <mergeCell ref="N110:Q110"/>
    <mergeCell ref="N111:Q111"/>
    <mergeCell ref="N112:Q112"/>
    <mergeCell ref="N114:Q114"/>
    <mergeCell ref="N115:Q115"/>
    <mergeCell ref="N116:Q116"/>
    <mergeCell ref="N117:Q117"/>
    <mergeCell ref="N118:Q118"/>
    <mergeCell ref="N120:Q120"/>
    <mergeCell ref="N99:Q99"/>
    <mergeCell ref="N100:Q100"/>
    <mergeCell ref="N102:Q102"/>
    <mergeCell ref="N103:Q103"/>
    <mergeCell ref="N104:Q104"/>
    <mergeCell ref="N105:Q105"/>
    <mergeCell ref="N106:Q106"/>
    <mergeCell ref="N108:Q108"/>
    <mergeCell ref="N109:Q109"/>
    <mergeCell ref="N88:Q88"/>
    <mergeCell ref="N90:Q90"/>
    <mergeCell ref="N91:Q91"/>
    <mergeCell ref="N92:Q92"/>
    <mergeCell ref="N93:Q93"/>
    <mergeCell ref="N94:Q94"/>
    <mergeCell ref="N96:Q96"/>
    <mergeCell ref="N97:Q97"/>
    <mergeCell ref="N98:Q98"/>
    <mergeCell ref="N78:Q78"/>
    <mergeCell ref="N79:Q79"/>
    <mergeCell ref="N80:Q80"/>
    <mergeCell ref="N81:Q81"/>
    <mergeCell ref="N82:Q82"/>
    <mergeCell ref="N84:Q84"/>
    <mergeCell ref="N85:Q85"/>
    <mergeCell ref="N86:Q86"/>
    <mergeCell ref="N87:Q87"/>
    <mergeCell ref="I78:L82"/>
    <mergeCell ref="N72:Q72"/>
    <mergeCell ref="N73:Q73"/>
    <mergeCell ref="N74:Q74"/>
    <mergeCell ref="N75:Q75"/>
    <mergeCell ref="N76:Q76"/>
    <mergeCell ref="I72:L76"/>
    <mergeCell ref="S159:V159"/>
    <mergeCell ref="S160:V160"/>
    <mergeCell ref="S141:V141"/>
    <mergeCell ref="S142:V142"/>
    <mergeCell ref="S143:V143"/>
    <mergeCell ref="S144:V144"/>
    <mergeCell ref="S145:V145"/>
    <mergeCell ref="S146:V146"/>
    <mergeCell ref="S147:V147"/>
    <mergeCell ref="S148:V148"/>
    <mergeCell ref="S149:V149"/>
    <mergeCell ref="S132:V132"/>
    <mergeCell ref="S133:V133"/>
    <mergeCell ref="S134:V134"/>
    <mergeCell ref="S135:V135"/>
    <mergeCell ref="S136:V136"/>
    <mergeCell ref="S137:V137"/>
    <mergeCell ref="S161:V161"/>
    <mergeCell ref="S162:V162"/>
    <mergeCell ref="S163:V163"/>
    <mergeCell ref="S164:V164"/>
    <mergeCell ref="S165:V165"/>
    <mergeCell ref="S166:V166"/>
    <mergeCell ref="S150:V150"/>
    <mergeCell ref="S151:V151"/>
    <mergeCell ref="S152:V152"/>
    <mergeCell ref="S153:V153"/>
    <mergeCell ref="S154:V154"/>
    <mergeCell ref="S155:V155"/>
    <mergeCell ref="S156:V156"/>
    <mergeCell ref="S157:V157"/>
    <mergeCell ref="S158:V158"/>
    <mergeCell ref="S138:V138"/>
    <mergeCell ref="S139:V139"/>
    <mergeCell ref="S140:V140"/>
    <mergeCell ref="S123:V123"/>
    <mergeCell ref="S124:V124"/>
    <mergeCell ref="S125:V125"/>
    <mergeCell ref="S126:V126"/>
    <mergeCell ref="S127:V127"/>
    <mergeCell ref="S128:V128"/>
    <mergeCell ref="S129:V129"/>
    <mergeCell ref="S130:V130"/>
    <mergeCell ref="S131:V131"/>
    <mergeCell ref="S114:V114"/>
    <mergeCell ref="S115:V115"/>
    <mergeCell ref="S116:V116"/>
    <mergeCell ref="S117:V117"/>
    <mergeCell ref="S118:V118"/>
    <mergeCell ref="S119:V119"/>
    <mergeCell ref="S120:V120"/>
    <mergeCell ref="S121:V121"/>
    <mergeCell ref="S122:V122"/>
    <mergeCell ref="S105:V105"/>
    <mergeCell ref="S106:V106"/>
    <mergeCell ref="S107:V107"/>
    <mergeCell ref="S108:V108"/>
    <mergeCell ref="S109:V109"/>
    <mergeCell ref="S110:V110"/>
    <mergeCell ref="S111:V111"/>
    <mergeCell ref="S112:V112"/>
    <mergeCell ref="S113:V113"/>
    <mergeCell ref="S96:V96"/>
    <mergeCell ref="S97:V97"/>
    <mergeCell ref="S98:V98"/>
    <mergeCell ref="S99:V99"/>
    <mergeCell ref="S100:V100"/>
    <mergeCell ref="S101:V101"/>
    <mergeCell ref="S102:V102"/>
    <mergeCell ref="S103:V103"/>
    <mergeCell ref="S104:V104"/>
    <mergeCell ref="S87:V87"/>
    <mergeCell ref="S88:V88"/>
    <mergeCell ref="S89:V89"/>
    <mergeCell ref="S90:V90"/>
    <mergeCell ref="S91:V91"/>
    <mergeCell ref="S92:V92"/>
    <mergeCell ref="S93:V93"/>
    <mergeCell ref="S94:V94"/>
    <mergeCell ref="S95:V95"/>
    <mergeCell ref="S78:V78"/>
    <mergeCell ref="S79:V79"/>
    <mergeCell ref="S80:V80"/>
    <mergeCell ref="S81:V81"/>
    <mergeCell ref="S82:V82"/>
    <mergeCell ref="S83:V83"/>
    <mergeCell ref="S84:V84"/>
    <mergeCell ref="S85:V85"/>
    <mergeCell ref="S86:V86"/>
    <mergeCell ref="S72:V72"/>
    <mergeCell ref="S73:V73"/>
    <mergeCell ref="S74:V74"/>
    <mergeCell ref="S75:V75"/>
    <mergeCell ref="S76:V76"/>
    <mergeCell ref="S77:V77"/>
    <mergeCell ref="S71:V71"/>
    <mergeCell ref="S70:V70"/>
    <mergeCell ref="O59:S59"/>
    <mergeCell ref="U59:Y59"/>
    <mergeCell ref="G53:M53"/>
    <mergeCell ref="O53:S53"/>
    <mergeCell ref="U53:Y53"/>
    <mergeCell ref="AA53:AD53"/>
    <mergeCell ref="G54:M54"/>
    <mergeCell ref="O54:S54"/>
    <mergeCell ref="U54:Y54"/>
    <mergeCell ref="AA54:AD54"/>
    <mergeCell ref="G55:M55"/>
    <mergeCell ref="O55:S55"/>
    <mergeCell ref="U55:Y55"/>
    <mergeCell ref="AA55:AD55"/>
    <mergeCell ref="G50:M50"/>
    <mergeCell ref="O50:S50"/>
    <mergeCell ref="U50:Y50"/>
    <mergeCell ref="AA50:AD50"/>
    <mergeCell ref="G51:M51"/>
    <mergeCell ref="O51:S51"/>
    <mergeCell ref="U51:Y51"/>
    <mergeCell ref="AA51:AD51"/>
    <mergeCell ref="G52:M52"/>
    <mergeCell ref="O52:S52"/>
    <mergeCell ref="U52:Y52"/>
    <mergeCell ref="AA52:AD52"/>
    <mergeCell ref="G47:M47"/>
    <mergeCell ref="O47:Y47"/>
    <mergeCell ref="AA47:AD47"/>
    <mergeCell ref="G48:M48"/>
    <mergeCell ref="O48:S48"/>
    <mergeCell ref="U48:Y48"/>
    <mergeCell ref="AA48:AD48"/>
    <mergeCell ref="G49:M49"/>
    <mergeCell ref="O49:S49"/>
    <mergeCell ref="U49:Y49"/>
    <mergeCell ref="AA49:AD49"/>
    <mergeCell ref="AQ35:AT35"/>
    <mergeCell ref="V43:W43"/>
    <mergeCell ref="F40:K40"/>
    <mergeCell ref="F38:K38"/>
    <mergeCell ref="F37:K37"/>
    <mergeCell ref="Q37:V37"/>
    <mergeCell ref="Q38:V38"/>
    <mergeCell ref="Q40:V40"/>
    <mergeCell ref="W37:AB37"/>
    <mergeCell ref="W38:AB38"/>
    <mergeCell ref="W40:AB40"/>
    <mergeCell ref="F39:AB39"/>
    <mergeCell ref="L37:P37"/>
    <mergeCell ref="AE37:AH37"/>
    <mergeCell ref="L38:P38"/>
    <mergeCell ref="AE38:AH38"/>
    <mergeCell ref="AQ24:AT24"/>
    <mergeCell ref="F23:J23"/>
    <mergeCell ref="K23:O23"/>
    <mergeCell ref="P23:T23"/>
    <mergeCell ref="U23:Y23"/>
    <mergeCell ref="Z23:AD23"/>
    <mergeCell ref="AE22:AI22"/>
    <mergeCell ref="AQ25:AT25"/>
    <mergeCell ref="P27:Q27"/>
    <mergeCell ref="AE9:AI9"/>
    <mergeCell ref="AJ22:AN22"/>
    <mergeCell ref="AQ22:AT22"/>
    <mergeCell ref="AE23:AI23"/>
    <mergeCell ref="AJ23:AN23"/>
    <mergeCell ref="AQ23:AT23"/>
    <mergeCell ref="AQ20:AT20"/>
    <mergeCell ref="F21:G21"/>
    <mergeCell ref="I21:J21"/>
    <mergeCell ref="K21:L21"/>
    <mergeCell ref="N21:O21"/>
    <mergeCell ref="P21:Q21"/>
    <mergeCell ref="S21:T21"/>
    <mergeCell ref="U21:V21"/>
    <mergeCell ref="AQ21:AT21"/>
    <mergeCell ref="AV4:AY4"/>
    <mergeCell ref="Y14:AE14"/>
    <mergeCell ref="AV5:AY5"/>
    <mergeCell ref="AV6:AY6"/>
    <mergeCell ref="AV7:AY7"/>
    <mergeCell ref="AV8:AY8"/>
    <mergeCell ref="AV9:AY9"/>
    <mergeCell ref="AJ9:AN9"/>
    <mergeCell ref="AO9:AS9"/>
    <mergeCell ref="AJ7:AN7"/>
    <mergeCell ref="AO7:AS7"/>
    <mergeCell ref="F8:AS8"/>
    <mergeCell ref="AJ6:AN6"/>
    <mergeCell ref="AO6:AS6"/>
    <mergeCell ref="F7:J7"/>
    <mergeCell ref="K7:O7"/>
    <mergeCell ref="AE7:AI7"/>
    <mergeCell ref="F6:J6"/>
    <mergeCell ref="K6:O6"/>
    <mergeCell ref="P6:T6"/>
    <mergeCell ref="U6:Y6"/>
    <mergeCell ref="Z6:AD6"/>
    <mergeCell ref="AE6:AI6"/>
    <mergeCell ref="U12:V12"/>
    <mergeCell ref="P44:W44"/>
    <mergeCell ref="AE39:AH39"/>
    <mergeCell ref="L40:P40"/>
    <mergeCell ref="AE40:AH40"/>
    <mergeCell ref="U13:V13"/>
    <mergeCell ref="W13:Z13"/>
    <mergeCell ref="AA13:AI13"/>
    <mergeCell ref="F24:AN24"/>
    <mergeCell ref="F36:G36"/>
    <mergeCell ref="J36:K36"/>
    <mergeCell ref="L36:M36"/>
    <mergeCell ref="O36:P36"/>
    <mergeCell ref="AE36:AH36"/>
    <mergeCell ref="AE35:AH35"/>
    <mergeCell ref="T29:Z29"/>
    <mergeCell ref="P28:Q28"/>
    <mergeCell ref="Y28:Z28"/>
    <mergeCell ref="F25:J25"/>
    <mergeCell ref="K25:O25"/>
    <mergeCell ref="P25:T25"/>
    <mergeCell ref="U25:Y25"/>
    <mergeCell ref="Z25:AD25"/>
    <mergeCell ref="AE25:AI25"/>
    <mergeCell ref="AJ25:AN25"/>
    <mergeCell ref="F5:G5"/>
    <mergeCell ref="I5:J5"/>
    <mergeCell ref="K5:L5"/>
    <mergeCell ref="N5:O5"/>
    <mergeCell ref="P5:Q5"/>
    <mergeCell ref="P7:T7"/>
    <mergeCell ref="U7:Y7"/>
    <mergeCell ref="Z7:AD7"/>
    <mergeCell ref="F22:J22"/>
    <mergeCell ref="K22:O22"/>
    <mergeCell ref="P22:T22"/>
    <mergeCell ref="U22:Y22"/>
    <mergeCell ref="Z22:AD22"/>
    <mergeCell ref="S5:T5"/>
    <mergeCell ref="U5:V5"/>
    <mergeCell ref="X5:Y5"/>
    <mergeCell ref="Z5:AA5"/>
    <mergeCell ref="F9:J9"/>
    <mergeCell ref="K9:O9"/>
    <mergeCell ref="P9:T9"/>
    <mergeCell ref="U9:Y9"/>
    <mergeCell ref="Z9:AD9"/>
    <mergeCell ref="G62:M62"/>
    <mergeCell ref="O62:S62"/>
    <mergeCell ref="U62:Y62"/>
    <mergeCell ref="AA62:AD62"/>
    <mergeCell ref="G63:M63"/>
    <mergeCell ref="O63:S63"/>
    <mergeCell ref="U63:Y63"/>
    <mergeCell ref="AA63:AD63"/>
    <mergeCell ref="G59:M59"/>
    <mergeCell ref="AA59:AD59"/>
    <mergeCell ref="G60:M60"/>
    <mergeCell ref="O60:S60"/>
    <mergeCell ref="U60:Y60"/>
    <mergeCell ref="AA60:AD60"/>
    <mergeCell ref="G61:M61"/>
    <mergeCell ref="O61:S61"/>
    <mergeCell ref="U61:Y61"/>
    <mergeCell ref="AA61:AD61"/>
  </mergeCells>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5EB7F-BFD3-4B73-B2DA-84C6EB07F295}">
  <sheetPr codeName="Sheet6"/>
  <dimension ref="B5:AW99"/>
  <sheetViews>
    <sheetView showGridLines="0" topLeftCell="A38" zoomScale="85" zoomScaleNormal="85" workbookViewId="0">
      <selection activeCell="U74" sqref="U74"/>
    </sheetView>
  </sheetViews>
  <sheetFormatPr defaultRowHeight="18.75" x14ac:dyDescent="0.4"/>
  <cols>
    <col min="1" max="569" width="3.625" customWidth="1"/>
  </cols>
  <sheetData>
    <row r="5" spans="7:34" x14ac:dyDescent="0.4">
      <c r="G5" s="98" t="s">
        <v>45</v>
      </c>
      <c r="H5" s="98"/>
      <c r="I5" s="98"/>
      <c r="J5" s="98"/>
      <c r="K5" s="125" t="s">
        <v>200</v>
      </c>
      <c r="L5" s="125"/>
      <c r="M5" s="125"/>
      <c r="N5" s="125"/>
      <c r="O5" s="125" t="s">
        <v>200</v>
      </c>
      <c r="P5" s="125"/>
      <c r="Q5" s="125"/>
      <c r="R5" s="125"/>
      <c r="S5" s="125" t="s">
        <v>0</v>
      </c>
      <c r="T5" s="125"/>
      <c r="U5" s="125"/>
      <c r="V5" s="125"/>
      <c r="W5" s="125" t="s">
        <v>200</v>
      </c>
      <c r="X5" s="125"/>
      <c r="Y5" s="125"/>
      <c r="Z5" s="125"/>
    </row>
    <row r="6" spans="7:34" x14ac:dyDescent="0.4">
      <c r="G6" s="98"/>
      <c r="H6" s="98"/>
      <c r="I6" s="98"/>
      <c r="J6" s="98"/>
      <c r="K6" s="125"/>
      <c r="L6" s="125"/>
      <c r="M6" s="125"/>
      <c r="N6" s="125"/>
      <c r="O6" s="125"/>
      <c r="P6" s="125"/>
      <c r="Q6" s="125"/>
      <c r="R6" s="125"/>
      <c r="S6" s="125"/>
      <c r="T6" s="125"/>
      <c r="U6" s="125"/>
      <c r="V6" s="125"/>
      <c r="W6" s="125"/>
      <c r="X6" s="125"/>
      <c r="Y6" s="125"/>
      <c r="Z6" s="125"/>
    </row>
    <row r="13" spans="7:34" ht="18.75" customHeight="1" x14ac:dyDescent="0.4">
      <c r="G13" s="98" t="s">
        <v>201</v>
      </c>
      <c r="H13" s="98"/>
      <c r="I13" s="98"/>
      <c r="J13" s="98" t="s">
        <v>202</v>
      </c>
      <c r="K13" s="98"/>
      <c r="L13" s="98"/>
      <c r="M13" s="98" t="s">
        <v>0</v>
      </c>
      <c r="N13" s="98"/>
      <c r="O13" s="98"/>
      <c r="P13" s="98" t="s">
        <v>203</v>
      </c>
      <c r="Q13" s="98"/>
      <c r="R13" s="98"/>
      <c r="S13" s="98" t="s">
        <v>0</v>
      </c>
      <c r="T13" s="98"/>
      <c r="U13" s="98"/>
      <c r="V13" s="98"/>
      <c r="W13" s="98" t="s">
        <v>204</v>
      </c>
      <c r="X13" s="98"/>
      <c r="Y13" s="98"/>
      <c r="Z13" s="98" t="s">
        <v>205</v>
      </c>
      <c r="AA13" s="98"/>
      <c r="AB13" s="98"/>
      <c r="AC13" s="98" t="s">
        <v>0</v>
      </c>
      <c r="AD13" s="98"/>
      <c r="AE13" s="98"/>
      <c r="AF13" s="98" t="s">
        <v>206</v>
      </c>
      <c r="AG13" s="98"/>
      <c r="AH13" s="98"/>
    </row>
    <row r="14" spans="7:34" ht="18.75" customHeight="1" x14ac:dyDescent="0.4">
      <c r="G14" s="98"/>
      <c r="H14" s="98"/>
      <c r="I14" s="98"/>
      <c r="J14" s="98"/>
      <c r="K14" s="98"/>
      <c r="L14" s="98"/>
      <c r="M14" s="98"/>
      <c r="N14" s="98"/>
      <c r="O14" s="98"/>
      <c r="P14" s="98"/>
      <c r="Q14" s="98"/>
      <c r="R14" s="98"/>
      <c r="S14" s="98"/>
      <c r="T14" s="98"/>
      <c r="U14" s="98"/>
      <c r="V14" s="98"/>
      <c r="W14" s="98"/>
      <c r="X14" s="98"/>
      <c r="Y14" s="98"/>
      <c r="Z14" s="98"/>
      <c r="AA14" s="98"/>
      <c r="AB14" s="98"/>
      <c r="AC14" s="98"/>
      <c r="AD14" s="98"/>
      <c r="AE14" s="98"/>
      <c r="AF14" s="98"/>
      <c r="AG14" s="98"/>
      <c r="AH14" s="98"/>
    </row>
    <row r="23" spans="7:14" x14ac:dyDescent="0.4">
      <c r="G23" s="125" t="s">
        <v>46</v>
      </c>
      <c r="H23" s="125"/>
      <c r="I23" s="125"/>
      <c r="J23" s="125"/>
      <c r="K23" s="98" t="s">
        <v>47</v>
      </c>
      <c r="L23" s="98"/>
      <c r="M23" s="98"/>
      <c r="N23" s="98"/>
    </row>
    <row r="24" spans="7:14" x14ac:dyDescent="0.4">
      <c r="G24" s="125"/>
      <c r="H24" s="125"/>
      <c r="I24" s="125"/>
      <c r="J24" s="125"/>
      <c r="K24" s="98"/>
      <c r="L24" s="98"/>
      <c r="M24" s="98"/>
      <c r="N24" s="98"/>
    </row>
    <row r="33" spans="7:34" ht="20.25" customHeight="1" x14ac:dyDescent="0.4">
      <c r="G33" s="125" t="s">
        <v>201</v>
      </c>
      <c r="H33" s="125"/>
      <c r="I33" s="125"/>
      <c r="J33" s="125" t="s">
        <v>202</v>
      </c>
      <c r="K33" s="125"/>
      <c r="L33" s="125"/>
      <c r="M33" s="125" t="s">
        <v>0</v>
      </c>
      <c r="N33" s="125"/>
      <c r="O33" s="125"/>
      <c r="P33" s="125" t="s">
        <v>207</v>
      </c>
      <c r="Q33" s="125"/>
      <c r="R33" s="125"/>
      <c r="S33" s="125" t="s">
        <v>0</v>
      </c>
      <c r="T33" s="125"/>
      <c r="U33" s="125"/>
      <c r="V33" s="125"/>
      <c r="W33" s="125" t="s">
        <v>208</v>
      </c>
      <c r="X33" s="125"/>
      <c r="Y33" s="125"/>
      <c r="Z33" s="125" t="s">
        <v>209</v>
      </c>
      <c r="AA33" s="125"/>
      <c r="AB33" s="125"/>
      <c r="AC33" s="125" t="s">
        <v>0</v>
      </c>
      <c r="AD33" s="125"/>
      <c r="AE33" s="125"/>
      <c r="AF33" s="125" t="s">
        <v>210</v>
      </c>
      <c r="AG33" s="125"/>
      <c r="AH33" s="125"/>
    </row>
    <row r="34" spans="7:34" x14ac:dyDescent="0.4">
      <c r="G34" s="125"/>
      <c r="H34" s="125"/>
      <c r="I34" s="125"/>
      <c r="J34" s="125"/>
      <c r="K34" s="125"/>
      <c r="L34" s="125"/>
      <c r="M34" s="125"/>
      <c r="N34" s="125"/>
      <c r="O34" s="125"/>
      <c r="P34" s="125"/>
      <c r="Q34" s="125"/>
      <c r="R34" s="125"/>
      <c r="S34" s="125"/>
      <c r="T34" s="125"/>
      <c r="U34" s="125"/>
      <c r="V34" s="125"/>
      <c r="W34" s="125"/>
      <c r="X34" s="125"/>
      <c r="Y34" s="125"/>
      <c r="Z34" s="125"/>
      <c r="AA34" s="125"/>
      <c r="AB34" s="125"/>
      <c r="AC34" s="125"/>
      <c r="AD34" s="125"/>
      <c r="AE34" s="125"/>
      <c r="AF34" s="125"/>
      <c r="AG34" s="125"/>
      <c r="AH34" s="125"/>
    </row>
    <row r="35" spans="7:34" ht="18.75" customHeight="1" x14ac:dyDescent="0.4"/>
    <row r="36" spans="7:34" x14ac:dyDescent="0.4">
      <c r="X36" s="101" t="s">
        <v>211</v>
      </c>
      <c r="Y36" s="101"/>
      <c r="Z36" s="101"/>
      <c r="AA36" s="101" t="s">
        <v>212</v>
      </c>
      <c r="AB36" s="101"/>
      <c r="AC36" s="101"/>
    </row>
    <row r="37" spans="7:34" x14ac:dyDescent="0.4">
      <c r="X37" s="101"/>
      <c r="Y37" s="101"/>
      <c r="Z37" s="101"/>
      <c r="AA37" s="101"/>
      <c r="AB37" s="101"/>
      <c r="AC37" s="101"/>
    </row>
    <row r="47" spans="7:34" x14ac:dyDescent="0.4">
      <c r="G47" s="98" t="s">
        <v>201</v>
      </c>
      <c r="H47" s="98"/>
      <c r="I47" s="98"/>
      <c r="J47" s="98" t="s">
        <v>202</v>
      </c>
      <c r="K47" s="98"/>
      <c r="L47" s="98"/>
      <c r="M47" s="98" t="s">
        <v>0</v>
      </c>
      <c r="N47" s="98"/>
      <c r="O47" s="98"/>
      <c r="P47" s="98" t="s">
        <v>203</v>
      </c>
      <c r="Q47" s="98"/>
      <c r="R47" s="98"/>
      <c r="S47" s="98" t="s">
        <v>0</v>
      </c>
      <c r="T47" s="98"/>
      <c r="U47" s="98"/>
      <c r="V47" s="98"/>
      <c r="W47" s="98" t="s">
        <v>204</v>
      </c>
      <c r="X47" s="98"/>
      <c r="Y47" s="98"/>
      <c r="Z47" s="98" t="s">
        <v>205</v>
      </c>
      <c r="AA47" s="98"/>
      <c r="AB47" s="98"/>
      <c r="AC47" s="98" t="s">
        <v>0</v>
      </c>
      <c r="AD47" s="98"/>
      <c r="AE47" s="98"/>
      <c r="AF47" s="98" t="s">
        <v>206</v>
      </c>
      <c r="AG47" s="98"/>
      <c r="AH47" s="98"/>
    </row>
    <row r="48" spans="7:34" x14ac:dyDescent="0.4">
      <c r="G48" s="98"/>
      <c r="H48" s="98"/>
      <c r="I48" s="98"/>
      <c r="J48" s="98"/>
      <c r="K48" s="98"/>
      <c r="L48" s="98"/>
      <c r="M48" s="98"/>
      <c r="N48" s="98"/>
      <c r="O48" s="98"/>
      <c r="P48" s="98"/>
      <c r="Q48" s="98"/>
      <c r="R48" s="98"/>
      <c r="S48" s="98"/>
      <c r="T48" s="98"/>
      <c r="U48" s="98"/>
      <c r="V48" s="98"/>
      <c r="W48" s="98"/>
      <c r="X48" s="98"/>
      <c r="Y48" s="98"/>
      <c r="Z48" s="98"/>
      <c r="AA48" s="98"/>
      <c r="AB48" s="98"/>
      <c r="AC48" s="98"/>
      <c r="AD48" s="98"/>
      <c r="AE48" s="98"/>
      <c r="AF48" s="98"/>
      <c r="AG48" s="98"/>
      <c r="AH48" s="98"/>
    </row>
    <row r="57" spans="2:30" x14ac:dyDescent="0.4">
      <c r="B57" s="31"/>
      <c r="C57" s="31"/>
      <c r="D57" s="31"/>
      <c r="E57" s="31"/>
      <c r="F57" s="31"/>
      <c r="G57" s="31"/>
      <c r="H57" s="31"/>
      <c r="I57" s="31"/>
      <c r="J57" s="31"/>
      <c r="K57" s="31"/>
      <c r="L57" s="31"/>
      <c r="M57" s="31"/>
    </row>
    <row r="58" spans="2:30" x14ac:dyDescent="0.4">
      <c r="B58" s="31"/>
      <c r="C58" s="31"/>
      <c r="D58" s="31"/>
      <c r="E58" s="31"/>
      <c r="F58" s="31"/>
      <c r="G58" s="31"/>
    </row>
    <row r="61" spans="2:30" ht="18.75" customHeight="1" x14ac:dyDescent="0.4">
      <c r="G61" s="173" t="s">
        <v>213</v>
      </c>
      <c r="H61" s="98"/>
      <c r="I61" s="98"/>
      <c r="J61" s="98"/>
      <c r="K61" s="98"/>
      <c r="L61" s="98"/>
      <c r="M61" s="173" t="s">
        <v>214</v>
      </c>
      <c r="N61" s="98"/>
      <c r="O61" s="98"/>
      <c r="P61" s="98"/>
      <c r="Q61" s="98"/>
      <c r="R61" s="98"/>
      <c r="S61" s="98"/>
      <c r="T61" s="98"/>
      <c r="U61" s="173" t="s">
        <v>215</v>
      </c>
      <c r="V61" s="98"/>
      <c r="W61" s="98"/>
      <c r="X61" s="98"/>
      <c r="Y61" s="98"/>
      <c r="Z61" s="98"/>
      <c r="AA61" s="98"/>
      <c r="AB61" s="98"/>
      <c r="AC61" s="98"/>
      <c r="AD61" s="98"/>
    </row>
    <row r="62" spans="2:30" x14ac:dyDescent="0.4">
      <c r="G62" s="98"/>
      <c r="H62" s="98"/>
      <c r="I62" s="98"/>
      <c r="J62" s="98"/>
      <c r="K62" s="98"/>
      <c r="L62" s="98"/>
      <c r="M62" s="98"/>
      <c r="N62" s="98"/>
      <c r="O62" s="98"/>
      <c r="P62" s="98"/>
      <c r="Q62" s="98"/>
      <c r="R62" s="98"/>
      <c r="S62" s="98"/>
      <c r="T62" s="98"/>
      <c r="U62" s="98"/>
      <c r="V62" s="98"/>
      <c r="W62" s="98"/>
      <c r="X62" s="98"/>
      <c r="Y62" s="98"/>
      <c r="Z62" s="98"/>
      <c r="AA62" s="98"/>
      <c r="AB62" s="98"/>
      <c r="AC62" s="98"/>
      <c r="AD62" s="98"/>
    </row>
    <row r="69" spans="3:15" ht="18.75" customHeight="1" x14ac:dyDescent="0.4">
      <c r="C69" s="63" t="s">
        <v>216</v>
      </c>
      <c r="D69" s="63"/>
      <c r="E69" s="63"/>
      <c r="G69" s="173" t="s">
        <v>217</v>
      </c>
      <c r="H69" s="98"/>
      <c r="I69" s="98"/>
      <c r="J69" s="165" t="s">
        <v>218</v>
      </c>
      <c r="K69" s="166"/>
      <c r="L69" s="167"/>
    </row>
    <row r="70" spans="3:15" x14ac:dyDescent="0.4">
      <c r="C70" s="63"/>
      <c r="D70" s="63"/>
      <c r="E70" s="63"/>
      <c r="G70" s="98"/>
      <c r="H70" s="98"/>
      <c r="I70" s="98"/>
      <c r="J70" s="168"/>
      <c r="K70" s="169"/>
      <c r="L70" s="170"/>
    </row>
    <row r="77" spans="3:15" ht="18.75" customHeight="1" x14ac:dyDescent="0.4">
      <c r="C77" s="63" t="s">
        <v>219</v>
      </c>
      <c r="D77" s="63"/>
      <c r="E77" s="63"/>
      <c r="G77" s="173" t="s">
        <v>220</v>
      </c>
      <c r="H77" s="98"/>
      <c r="I77" s="98"/>
      <c r="J77" s="165" t="s">
        <v>218</v>
      </c>
      <c r="K77" s="166"/>
      <c r="L77" s="167"/>
      <c r="M77" s="165" t="s">
        <v>217</v>
      </c>
      <c r="N77" s="166"/>
      <c r="O77" s="167"/>
    </row>
    <row r="78" spans="3:15" x14ac:dyDescent="0.4">
      <c r="C78" s="63"/>
      <c r="D78" s="63"/>
      <c r="E78" s="63"/>
      <c r="G78" s="98"/>
      <c r="H78" s="98"/>
      <c r="I78" s="98"/>
      <c r="J78" s="168"/>
      <c r="K78" s="169"/>
      <c r="L78" s="170"/>
      <c r="M78" s="168"/>
      <c r="N78" s="169"/>
      <c r="O78" s="170"/>
    </row>
    <row r="89" spans="6:49" ht="18.75" customHeight="1" x14ac:dyDescent="0.4">
      <c r="F89" s="163" t="s">
        <v>221</v>
      </c>
      <c r="G89" s="164"/>
      <c r="H89" s="164"/>
      <c r="I89" s="164"/>
      <c r="J89" s="171" t="s">
        <v>222</v>
      </c>
      <c r="K89" s="171"/>
      <c r="L89" s="171"/>
      <c r="M89" s="171"/>
      <c r="N89" s="172" t="s">
        <v>223</v>
      </c>
      <c r="O89" s="172"/>
      <c r="P89" s="172"/>
      <c r="Q89" s="172"/>
      <c r="R89" s="163" t="s">
        <v>224</v>
      </c>
      <c r="S89" s="164"/>
      <c r="T89" s="164"/>
      <c r="U89" s="164"/>
      <c r="V89" s="172" t="s">
        <v>223</v>
      </c>
      <c r="W89" s="172"/>
      <c r="X89" s="172"/>
      <c r="Y89" s="172"/>
      <c r="Z89" s="163" t="s">
        <v>224</v>
      </c>
      <c r="AA89" s="164"/>
      <c r="AB89" s="164"/>
      <c r="AC89" s="164"/>
      <c r="AD89" s="171" t="s">
        <v>222</v>
      </c>
      <c r="AE89" s="171"/>
      <c r="AF89" s="171"/>
      <c r="AG89" s="171"/>
      <c r="AH89" s="172" t="s">
        <v>223</v>
      </c>
      <c r="AI89" s="172"/>
      <c r="AJ89" s="172"/>
      <c r="AK89" s="172"/>
      <c r="AL89" s="163" t="s">
        <v>224</v>
      </c>
      <c r="AM89" s="164"/>
      <c r="AN89" s="164"/>
      <c r="AO89" s="164"/>
      <c r="AP89" s="172" t="s">
        <v>223</v>
      </c>
      <c r="AQ89" s="172"/>
      <c r="AR89" s="172"/>
      <c r="AS89" s="172"/>
      <c r="AT89" s="163" t="s">
        <v>224</v>
      </c>
      <c r="AU89" s="164"/>
      <c r="AV89" s="164"/>
      <c r="AW89" s="164"/>
    </row>
    <row r="90" spans="6:49" x14ac:dyDescent="0.4">
      <c r="F90" s="164"/>
      <c r="G90" s="164"/>
      <c r="H90" s="164"/>
      <c r="I90" s="164"/>
      <c r="J90" s="171"/>
      <c r="K90" s="171"/>
      <c r="L90" s="171"/>
      <c r="M90" s="171"/>
      <c r="N90" s="172"/>
      <c r="O90" s="172"/>
      <c r="P90" s="172"/>
      <c r="Q90" s="172"/>
      <c r="R90" s="164"/>
      <c r="S90" s="164"/>
      <c r="T90" s="164"/>
      <c r="U90" s="164"/>
      <c r="V90" s="172"/>
      <c r="W90" s="172"/>
      <c r="X90" s="172"/>
      <c r="Y90" s="172"/>
      <c r="Z90" s="164"/>
      <c r="AA90" s="164"/>
      <c r="AB90" s="164"/>
      <c r="AC90" s="164"/>
      <c r="AD90" s="171"/>
      <c r="AE90" s="171"/>
      <c r="AF90" s="171"/>
      <c r="AG90" s="171"/>
      <c r="AH90" s="172"/>
      <c r="AI90" s="172"/>
      <c r="AJ90" s="172"/>
      <c r="AK90" s="172"/>
      <c r="AL90" s="164"/>
      <c r="AM90" s="164"/>
      <c r="AN90" s="164"/>
      <c r="AO90" s="164"/>
      <c r="AP90" s="172"/>
      <c r="AQ90" s="172"/>
      <c r="AR90" s="172"/>
      <c r="AS90" s="172"/>
      <c r="AT90" s="164"/>
      <c r="AU90" s="164"/>
      <c r="AV90" s="164"/>
      <c r="AW90" s="164"/>
    </row>
    <row r="98" spans="5:28" x14ac:dyDescent="0.4">
      <c r="E98" s="158" t="s">
        <v>227</v>
      </c>
      <c r="F98" s="158"/>
      <c r="G98" s="158"/>
      <c r="H98" s="158"/>
      <c r="I98" s="158" t="s">
        <v>229</v>
      </c>
      <c r="J98" s="158"/>
      <c r="K98" s="158"/>
      <c r="L98" s="158"/>
      <c r="M98" s="158"/>
      <c r="N98" s="158"/>
      <c r="O98" s="158"/>
      <c r="P98" s="158"/>
      <c r="Q98" s="158" t="s">
        <v>228</v>
      </c>
      <c r="R98" s="158"/>
      <c r="S98" s="158"/>
      <c r="T98" s="158"/>
      <c r="U98" s="158"/>
      <c r="V98" s="158"/>
      <c r="W98" s="159" t="s">
        <v>0</v>
      </c>
      <c r="X98" s="160"/>
      <c r="Y98" s="158" t="s">
        <v>230</v>
      </c>
      <c r="Z98" s="158"/>
      <c r="AA98" s="158"/>
      <c r="AB98" s="158"/>
    </row>
    <row r="99" spans="5:28" x14ac:dyDescent="0.4">
      <c r="E99" s="158"/>
      <c r="F99" s="158"/>
      <c r="G99" s="158"/>
      <c r="H99" s="158"/>
      <c r="I99" s="158"/>
      <c r="J99" s="158"/>
      <c r="K99" s="158"/>
      <c r="L99" s="158"/>
      <c r="M99" s="158"/>
      <c r="N99" s="158"/>
      <c r="O99" s="158"/>
      <c r="P99" s="158"/>
      <c r="Q99" s="158"/>
      <c r="R99" s="158"/>
      <c r="S99" s="158"/>
      <c r="T99" s="158"/>
      <c r="U99" s="158"/>
      <c r="V99" s="158"/>
      <c r="W99" s="161"/>
      <c r="X99" s="162"/>
      <c r="Y99" s="158"/>
      <c r="Z99" s="158"/>
      <c r="AA99" s="158"/>
      <c r="AB99" s="158"/>
    </row>
  </sheetData>
  <mergeCells count="62">
    <mergeCell ref="G5:J6"/>
    <mergeCell ref="K5:N6"/>
    <mergeCell ref="O5:R6"/>
    <mergeCell ref="S5:V6"/>
    <mergeCell ref="W5:Z6"/>
    <mergeCell ref="J13:L14"/>
    <mergeCell ref="M13:O14"/>
    <mergeCell ref="P13:R14"/>
    <mergeCell ref="S13:V14"/>
    <mergeCell ref="AF33:AH34"/>
    <mergeCell ref="W33:Y34"/>
    <mergeCell ref="W13:Y14"/>
    <mergeCell ref="Z13:AB14"/>
    <mergeCell ref="AC13:AE14"/>
    <mergeCell ref="AF13:AH14"/>
    <mergeCell ref="G23:J24"/>
    <mergeCell ref="K23:N24"/>
    <mergeCell ref="G13:I14"/>
    <mergeCell ref="G47:I48"/>
    <mergeCell ref="J47:L48"/>
    <mergeCell ref="M47:O48"/>
    <mergeCell ref="P47:R48"/>
    <mergeCell ref="S47:V48"/>
    <mergeCell ref="AF47:AH48"/>
    <mergeCell ref="G61:L62"/>
    <mergeCell ref="M61:T62"/>
    <mergeCell ref="U61:AD62"/>
    <mergeCell ref="Z33:AB34"/>
    <mergeCell ref="AC33:AE34"/>
    <mergeCell ref="W47:Y48"/>
    <mergeCell ref="Z47:AB48"/>
    <mergeCell ref="AC47:AE48"/>
    <mergeCell ref="G33:I34"/>
    <mergeCell ref="J33:L34"/>
    <mergeCell ref="M33:O34"/>
    <mergeCell ref="P33:R34"/>
    <mergeCell ref="S33:V34"/>
    <mergeCell ref="X36:Z37"/>
    <mergeCell ref="AA36:AC37"/>
    <mergeCell ref="C69:E70"/>
    <mergeCell ref="G69:I70"/>
    <mergeCell ref="J69:L70"/>
    <mergeCell ref="C77:E78"/>
    <mergeCell ref="G77:I78"/>
    <mergeCell ref="J77:L78"/>
    <mergeCell ref="AT89:AW90"/>
    <mergeCell ref="M77:O78"/>
    <mergeCell ref="F89:I90"/>
    <mergeCell ref="J89:M90"/>
    <mergeCell ref="N89:Q90"/>
    <mergeCell ref="R89:U90"/>
    <mergeCell ref="V89:Y90"/>
    <mergeCell ref="Z89:AC90"/>
    <mergeCell ref="AD89:AG90"/>
    <mergeCell ref="AH89:AK90"/>
    <mergeCell ref="AL89:AO90"/>
    <mergeCell ref="AP89:AS90"/>
    <mergeCell ref="Q98:V99"/>
    <mergeCell ref="W98:X99"/>
    <mergeCell ref="Y98:AB99"/>
    <mergeCell ref="E98:H99"/>
    <mergeCell ref="I98:P99"/>
  </mergeCells>
  <phoneticPr fontId="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25D21-DFB1-4CFE-8F94-3ECC73064D5E}">
  <sheetPr codeName="Sheet7"/>
  <dimension ref="A1"/>
  <sheetViews>
    <sheetView topLeftCell="A22" zoomScale="40" zoomScaleNormal="40" workbookViewId="0">
      <selection activeCell="AA18" sqref="AA18"/>
    </sheetView>
  </sheetViews>
  <sheetFormatPr defaultRowHeight="18.75" x14ac:dyDescent="0.4"/>
  <sheetData/>
  <phoneticPr fontId="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130FA-1229-49F6-90A6-C42C067A02FB}">
  <sheetPr codeName="Sheet8"/>
  <dimension ref="H2:BG169"/>
  <sheetViews>
    <sheetView showGridLines="0" topLeftCell="A128" zoomScale="70" zoomScaleNormal="70" workbookViewId="0">
      <selection activeCell="C172" sqref="C172"/>
    </sheetView>
  </sheetViews>
  <sheetFormatPr defaultRowHeight="18.75" x14ac:dyDescent="0.4"/>
  <cols>
    <col min="1" max="284" width="3.625" customWidth="1"/>
  </cols>
  <sheetData>
    <row r="2" spans="8:41" x14ac:dyDescent="0.4">
      <c r="H2" s="338" t="s">
        <v>247</v>
      </c>
      <c r="I2" s="339"/>
      <c r="J2" s="339"/>
      <c r="K2" s="339"/>
      <c r="L2" s="339"/>
      <c r="M2" s="339"/>
      <c r="N2" s="340"/>
      <c r="O2" s="341" t="s">
        <v>248</v>
      </c>
      <c r="P2" s="342"/>
      <c r="Q2" s="342"/>
      <c r="R2" s="342"/>
      <c r="S2" s="342"/>
      <c r="T2" s="342"/>
      <c r="U2" s="342"/>
      <c r="V2" s="342"/>
      <c r="W2" s="341" t="s">
        <v>235</v>
      </c>
      <c r="X2" s="342"/>
      <c r="Y2" s="343"/>
    </row>
    <row r="3" spans="8:41" x14ac:dyDescent="0.4">
      <c r="H3" s="338" t="s">
        <v>249</v>
      </c>
      <c r="I3" s="339"/>
      <c r="J3" s="339"/>
      <c r="K3" s="339"/>
      <c r="L3" s="339"/>
      <c r="M3" s="339"/>
      <c r="N3" s="340"/>
      <c r="O3" s="341" t="s">
        <v>250</v>
      </c>
      <c r="P3" s="342"/>
      <c r="Q3" s="342"/>
      <c r="R3" s="342"/>
      <c r="S3" s="342"/>
      <c r="T3" s="342"/>
      <c r="U3" s="342"/>
      <c r="V3" s="342"/>
      <c r="W3" s="341" t="s">
        <v>236</v>
      </c>
      <c r="X3" s="342"/>
      <c r="Y3" s="343"/>
    </row>
    <row r="4" spans="8:41" x14ac:dyDescent="0.4">
      <c r="H4" s="323" t="s">
        <v>251</v>
      </c>
      <c r="I4" s="323"/>
      <c r="J4" s="323"/>
      <c r="K4" s="323"/>
      <c r="L4" s="323"/>
      <c r="M4" s="323"/>
      <c r="N4" s="323"/>
      <c r="O4" s="324" t="s">
        <v>252</v>
      </c>
      <c r="P4" s="324"/>
      <c r="Q4" s="324"/>
      <c r="R4" s="324"/>
      <c r="S4" s="324"/>
      <c r="T4" s="324"/>
      <c r="U4" s="324"/>
      <c r="V4" s="324"/>
      <c r="W4" s="337" t="s">
        <v>237</v>
      </c>
      <c r="X4" s="324"/>
      <c r="Y4" s="324"/>
    </row>
    <row r="5" spans="8:41" ht="18.75" customHeight="1" x14ac:dyDescent="0.4">
      <c r="H5" s="125" t="s">
        <v>253</v>
      </c>
      <c r="I5" s="125"/>
      <c r="J5" s="125"/>
      <c r="K5" s="125"/>
      <c r="L5" s="125"/>
      <c r="M5" s="125"/>
      <c r="N5" s="125"/>
      <c r="O5" s="322" t="s">
        <v>254</v>
      </c>
      <c r="P5" s="322"/>
      <c r="Q5" s="322"/>
      <c r="R5" s="322"/>
      <c r="S5" s="322"/>
      <c r="T5" s="322"/>
      <c r="U5" s="322"/>
      <c r="V5" s="322"/>
      <c r="W5" s="322" t="s">
        <v>238</v>
      </c>
      <c r="X5" s="322"/>
      <c r="Y5" s="322"/>
    </row>
    <row r="6" spans="8:41" x14ac:dyDescent="0.4">
      <c r="H6" s="125" t="s">
        <v>255</v>
      </c>
      <c r="I6" s="125"/>
      <c r="J6" s="125"/>
      <c r="K6" s="125"/>
      <c r="L6" s="125"/>
      <c r="M6" s="125"/>
      <c r="N6" s="125"/>
      <c r="O6" s="322" t="s">
        <v>256</v>
      </c>
      <c r="P6" s="322"/>
      <c r="Q6" s="322"/>
      <c r="R6" s="322"/>
      <c r="S6" s="322"/>
      <c r="T6" s="322"/>
      <c r="U6" s="322"/>
      <c r="V6" s="322"/>
      <c r="W6" s="336" t="s">
        <v>239</v>
      </c>
      <c r="X6" s="322"/>
      <c r="Y6" s="322"/>
    </row>
    <row r="7" spans="8:41" x14ac:dyDescent="0.4">
      <c r="H7" s="125" t="s">
        <v>257</v>
      </c>
      <c r="I7" s="125"/>
      <c r="J7" s="125"/>
      <c r="K7" s="125"/>
      <c r="L7" s="125"/>
      <c r="M7" s="125"/>
      <c r="N7" s="125"/>
      <c r="O7" s="322" t="s">
        <v>258</v>
      </c>
      <c r="P7" s="322"/>
      <c r="Q7" s="322"/>
      <c r="R7" s="322"/>
      <c r="S7" s="322"/>
      <c r="T7" s="322"/>
      <c r="U7" s="322"/>
      <c r="V7" s="322"/>
      <c r="W7" s="322" t="s">
        <v>240</v>
      </c>
      <c r="X7" s="322"/>
      <c r="Y7" s="322"/>
    </row>
    <row r="8" spans="8:41" x14ac:dyDescent="0.4">
      <c r="H8" s="125" t="s">
        <v>259</v>
      </c>
      <c r="I8" s="125"/>
      <c r="J8" s="125"/>
      <c r="K8" s="125"/>
      <c r="L8" s="125"/>
      <c r="M8" s="125"/>
      <c r="N8" s="125"/>
      <c r="O8" s="322" t="s">
        <v>260</v>
      </c>
      <c r="P8" s="322"/>
      <c r="Q8" s="322"/>
      <c r="R8" s="322"/>
      <c r="S8" s="322"/>
      <c r="T8" s="322"/>
      <c r="U8" s="322"/>
      <c r="V8" s="322"/>
      <c r="W8" s="336" t="s">
        <v>241</v>
      </c>
      <c r="X8" s="322"/>
      <c r="Y8" s="322"/>
    </row>
    <row r="9" spans="8:41" x14ac:dyDescent="0.4">
      <c r="H9" s="125" t="s">
        <v>261</v>
      </c>
      <c r="I9" s="125"/>
      <c r="J9" s="125"/>
      <c r="K9" s="125"/>
      <c r="L9" s="125"/>
      <c r="M9" s="125"/>
      <c r="N9" s="125"/>
      <c r="O9" s="322" t="s">
        <v>262</v>
      </c>
      <c r="P9" s="322"/>
      <c r="Q9" s="322"/>
      <c r="R9" s="322"/>
      <c r="S9" s="322"/>
      <c r="T9" s="322"/>
      <c r="U9" s="322"/>
      <c r="V9" s="322"/>
      <c r="W9" s="322" t="s">
        <v>242</v>
      </c>
      <c r="X9" s="322"/>
      <c r="Y9" s="322"/>
      <c r="AG9" s="1"/>
      <c r="AH9" s="1"/>
      <c r="AI9" s="1"/>
      <c r="AJ9" s="1"/>
      <c r="AK9" s="1"/>
      <c r="AL9" s="1"/>
      <c r="AM9" s="1"/>
      <c r="AN9" s="1"/>
      <c r="AO9" s="1"/>
    </row>
    <row r="10" spans="8:41" x14ac:dyDescent="0.4">
      <c r="H10" s="125" t="s">
        <v>263</v>
      </c>
      <c r="I10" s="125"/>
      <c r="J10" s="125"/>
      <c r="K10" s="125"/>
      <c r="L10" s="125"/>
      <c r="M10" s="125"/>
      <c r="N10" s="125"/>
      <c r="O10" s="322" t="s">
        <v>264</v>
      </c>
      <c r="P10" s="322"/>
      <c r="Q10" s="322"/>
      <c r="R10" s="322"/>
      <c r="S10" s="322"/>
      <c r="T10" s="322"/>
      <c r="U10" s="322"/>
      <c r="V10" s="322"/>
      <c r="W10" s="336" t="s">
        <v>243</v>
      </c>
      <c r="X10" s="322"/>
      <c r="Y10" s="322"/>
      <c r="AG10" s="1"/>
      <c r="AH10" s="1"/>
      <c r="AI10" s="1"/>
      <c r="AJ10" s="1"/>
      <c r="AK10" s="1"/>
      <c r="AL10" s="1"/>
      <c r="AM10" s="1"/>
      <c r="AN10" s="1"/>
      <c r="AO10" s="1"/>
    </row>
    <row r="11" spans="8:41" x14ac:dyDescent="0.4">
      <c r="H11" s="125" t="s">
        <v>265</v>
      </c>
      <c r="I11" s="125"/>
      <c r="J11" s="125"/>
      <c r="K11" s="125"/>
      <c r="L11" s="125"/>
      <c r="M11" s="125"/>
      <c r="N11" s="125"/>
      <c r="O11" s="322" t="s">
        <v>266</v>
      </c>
      <c r="P11" s="322"/>
      <c r="Q11" s="322"/>
      <c r="R11" s="322"/>
      <c r="S11" s="322"/>
      <c r="T11" s="322"/>
      <c r="U11" s="322"/>
      <c r="V11" s="322"/>
      <c r="W11" s="322" t="s">
        <v>547</v>
      </c>
      <c r="X11" s="322"/>
      <c r="Y11" s="322"/>
      <c r="AG11" s="1"/>
      <c r="AH11" s="1"/>
      <c r="AI11" s="1"/>
      <c r="AJ11" s="1"/>
      <c r="AK11" s="1"/>
      <c r="AL11" s="1"/>
      <c r="AM11" s="1"/>
      <c r="AN11" s="1"/>
      <c r="AO11" s="1"/>
    </row>
    <row r="12" spans="8:41" x14ac:dyDescent="0.4">
      <c r="H12" s="125" t="s">
        <v>267</v>
      </c>
      <c r="I12" s="125"/>
      <c r="J12" s="125"/>
      <c r="K12" s="125"/>
      <c r="L12" s="125"/>
      <c r="M12" s="125"/>
      <c r="N12" s="125"/>
      <c r="O12" s="322" t="s">
        <v>268</v>
      </c>
      <c r="P12" s="322"/>
      <c r="Q12" s="322"/>
      <c r="R12" s="322"/>
      <c r="S12" s="322"/>
      <c r="T12" s="322"/>
      <c r="U12" s="322"/>
      <c r="V12" s="322"/>
      <c r="W12" s="336" t="s">
        <v>548</v>
      </c>
      <c r="X12" s="322"/>
      <c r="Y12" s="322"/>
      <c r="AG12" s="1"/>
      <c r="AH12" s="1"/>
      <c r="AI12" s="1"/>
      <c r="AJ12" s="1"/>
      <c r="AK12" s="1"/>
      <c r="AL12" s="1"/>
      <c r="AM12" s="1"/>
      <c r="AN12" s="1"/>
      <c r="AO12" s="1"/>
    </row>
    <row r="13" spans="8:41" x14ac:dyDescent="0.4">
      <c r="H13" s="125" t="s">
        <v>269</v>
      </c>
      <c r="I13" s="125"/>
      <c r="J13" s="125"/>
      <c r="K13" s="125"/>
      <c r="L13" s="125"/>
      <c r="M13" s="125"/>
      <c r="N13" s="125"/>
      <c r="O13" s="322" t="s">
        <v>270</v>
      </c>
      <c r="P13" s="322"/>
      <c r="Q13" s="322"/>
      <c r="R13" s="322"/>
      <c r="S13" s="322"/>
      <c r="T13" s="322"/>
      <c r="U13" s="322"/>
      <c r="V13" s="322"/>
      <c r="W13" s="322" t="s">
        <v>549</v>
      </c>
      <c r="X13" s="322"/>
      <c r="Y13" s="322"/>
      <c r="AG13" s="1"/>
      <c r="AH13" s="1"/>
      <c r="AI13" s="1"/>
      <c r="AJ13" s="1"/>
      <c r="AK13" s="1"/>
      <c r="AL13" s="1"/>
      <c r="AM13" s="1"/>
      <c r="AN13" s="1"/>
      <c r="AO13" s="1"/>
    </row>
    <row r="14" spans="8:41" x14ac:dyDescent="0.4">
      <c r="H14" s="125" t="s">
        <v>271</v>
      </c>
      <c r="I14" s="125"/>
      <c r="J14" s="125"/>
      <c r="K14" s="125"/>
      <c r="L14" s="125"/>
      <c r="M14" s="125"/>
      <c r="N14" s="125"/>
      <c r="O14" s="322" t="s">
        <v>272</v>
      </c>
      <c r="P14" s="322"/>
      <c r="Q14" s="322"/>
      <c r="R14" s="322"/>
      <c r="S14" s="322"/>
      <c r="T14" s="322"/>
      <c r="U14" s="322"/>
      <c r="V14" s="322"/>
      <c r="W14" s="336" t="s">
        <v>550</v>
      </c>
      <c r="X14" s="322"/>
      <c r="Y14" s="322"/>
      <c r="AG14" s="1"/>
      <c r="AH14" s="1"/>
      <c r="AI14" s="1"/>
      <c r="AJ14" s="1"/>
      <c r="AK14" s="1"/>
      <c r="AL14" s="1"/>
      <c r="AM14" s="1"/>
      <c r="AN14" s="1"/>
      <c r="AO14" s="1"/>
    </row>
    <row r="15" spans="8:41" x14ac:dyDescent="0.4">
      <c r="H15" s="125" t="s">
        <v>273</v>
      </c>
      <c r="I15" s="125"/>
      <c r="J15" s="125"/>
      <c r="K15" s="125"/>
      <c r="L15" s="125"/>
      <c r="M15" s="125"/>
      <c r="N15" s="125"/>
      <c r="O15" s="322" t="s">
        <v>274</v>
      </c>
      <c r="P15" s="322"/>
      <c r="Q15" s="322"/>
      <c r="R15" s="322"/>
      <c r="S15" s="322"/>
      <c r="T15" s="322"/>
      <c r="U15" s="322"/>
      <c r="V15" s="322"/>
      <c r="W15" s="322" t="s">
        <v>551</v>
      </c>
      <c r="X15" s="322"/>
      <c r="Y15" s="322"/>
      <c r="AG15" s="1"/>
      <c r="AH15" s="1"/>
      <c r="AI15" s="1"/>
      <c r="AJ15" s="1"/>
      <c r="AK15" s="1"/>
      <c r="AL15" s="1"/>
      <c r="AM15" s="1"/>
      <c r="AN15" s="1"/>
      <c r="AO15" s="1"/>
    </row>
    <row r="16" spans="8:41" x14ac:dyDescent="0.4">
      <c r="H16" s="125" t="s">
        <v>275</v>
      </c>
      <c r="I16" s="125"/>
      <c r="J16" s="125"/>
      <c r="K16" s="125"/>
      <c r="L16" s="125"/>
      <c r="M16" s="125"/>
      <c r="N16" s="125"/>
      <c r="O16" s="322" t="s">
        <v>276</v>
      </c>
      <c r="P16" s="322"/>
      <c r="Q16" s="322"/>
      <c r="R16" s="322"/>
      <c r="S16" s="322"/>
      <c r="T16" s="322"/>
      <c r="U16" s="322"/>
      <c r="V16" s="322"/>
      <c r="W16" s="336" t="s">
        <v>552</v>
      </c>
      <c r="X16" s="322"/>
      <c r="Y16" s="322"/>
      <c r="AG16" s="1"/>
      <c r="AH16" s="1"/>
      <c r="AI16" s="1"/>
      <c r="AJ16" s="1"/>
      <c r="AK16" s="1"/>
      <c r="AL16" s="1"/>
      <c r="AM16" s="1"/>
      <c r="AN16" s="1"/>
      <c r="AO16" s="1"/>
    </row>
    <row r="17" spans="8:41" x14ac:dyDescent="0.4">
      <c r="H17" s="125" t="s">
        <v>277</v>
      </c>
      <c r="I17" s="125"/>
      <c r="J17" s="125"/>
      <c r="K17" s="125"/>
      <c r="L17" s="125"/>
      <c r="M17" s="125"/>
      <c r="N17" s="125"/>
      <c r="O17" s="322" t="s">
        <v>278</v>
      </c>
      <c r="P17" s="322"/>
      <c r="Q17" s="322"/>
      <c r="R17" s="322"/>
      <c r="S17" s="322"/>
      <c r="T17" s="322"/>
      <c r="U17" s="322"/>
      <c r="V17" s="322"/>
      <c r="W17" s="322" t="s">
        <v>553</v>
      </c>
      <c r="X17" s="322"/>
      <c r="Y17" s="322"/>
      <c r="AG17" s="1"/>
      <c r="AH17" s="1"/>
      <c r="AI17" s="1"/>
      <c r="AJ17" s="1"/>
      <c r="AK17" s="1"/>
      <c r="AL17" s="1"/>
      <c r="AM17" s="1"/>
      <c r="AN17" s="1"/>
      <c r="AO17" s="1"/>
    </row>
    <row r="18" spans="8:41" x14ac:dyDescent="0.4">
      <c r="H18" s="125" t="s">
        <v>279</v>
      </c>
      <c r="I18" s="125"/>
      <c r="J18" s="125"/>
      <c r="K18" s="125"/>
      <c r="L18" s="125"/>
      <c r="M18" s="125"/>
      <c r="N18" s="125"/>
      <c r="O18" s="322" t="s">
        <v>280</v>
      </c>
      <c r="P18" s="322"/>
      <c r="Q18" s="322"/>
      <c r="R18" s="322"/>
      <c r="S18" s="322"/>
      <c r="T18" s="322"/>
      <c r="U18" s="322"/>
      <c r="V18" s="322"/>
      <c r="W18" s="336" t="s">
        <v>554</v>
      </c>
      <c r="X18" s="322"/>
      <c r="Y18" s="322"/>
      <c r="AG18" s="1"/>
      <c r="AH18" s="1"/>
      <c r="AI18" s="1"/>
      <c r="AJ18" s="1"/>
      <c r="AK18" s="1"/>
      <c r="AL18" s="1"/>
      <c r="AM18" s="1"/>
      <c r="AN18" s="1"/>
      <c r="AO18" s="1"/>
    </row>
    <row r="19" spans="8:41" x14ac:dyDescent="0.4">
      <c r="H19" s="323" t="s">
        <v>281</v>
      </c>
      <c r="I19" s="323"/>
      <c r="J19" s="323"/>
      <c r="K19" s="323"/>
      <c r="L19" s="323"/>
      <c r="M19" s="323"/>
      <c r="N19" s="323"/>
      <c r="O19" s="324" t="s">
        <v>282</v>
      </c>
      <c r="P19" s="324"/>
      <c r="Q19" s="324"/>
      <c r="R19" s="324"/>
      <c r="S19" s="324"/>
      <c r="T19" s="324"/>
      <c r="U19" s="324"/>
      <c r="V19" s="324"/>
      <c r="W19" s="337" t="s">
        <v>555</v>
      </c>
      <c r="X19" s="324"/>
      <c r="Y19" s="324"/>
      <c r="AG19" s="1"/>
      <c r="AH19" s="1"/>
      <c r="AI19" s="1"/>
      <c r="AJ19" s="1"/>
      <c r="AK19" s="1"/>
      <c r="AL19" s="1"/>
      <c r="AM19" s="1"/>
      <c r="AN19" s="1"/>
      <c r="AO19" s="1"/>
    </row>
    <row r="20" spans="8:41" x14ac:dyDescent="0.4">
      <c r="H20" s="125" t="s">
        <v>283</v>
      </c>
      <c r="I20" s="125"/>
      <c r="J20" s="125"/>
      <c r="K20" s="125"/>
      <c r="L20" s="125"/>
      <c r="M20" s="125"/>
      <c r="N20" s="125"/>
      <c r="O20" s="322" t="s">
        <v>284</v>
      </c>
      <c r="P20" s="322"/>
      <c r="Q20" s="322"/>
      <c r="R20" s="322"/>
      <c r="S20" s="322"/>
      <c r="T20" s="322"/>
      <c r="U20" s="322"/>
      <c r="V20" s="322"/>
      <c r="W20" s="322" t="s">
        <v>556</v>
      </c>
      <c r="X20" s="322"/>
      <c r="Y20" s="322"/>
      <c r="AG20" s="1"/>
      <c r="AH20" s="1"/>
      <c r="AI20" s="1"/>
      <c r="AJ20" s="1"/>
      <c r="AK20" s="1"/>
      <c r="AL20" s="1"/>
      <c r="AM20" s="1"/>
      <c r="AN20" s="1"/>
      <c r="AO20" s="1"/>
    </row>
    <row r="21" spans="8:41" x14ac:dyDescent="0.4">
      <c r="H21" s="125" t="s">
        <v>285</v>
      </c>
      <c r="I21" s="125"/>
      <c r="J21" s="125"/>
      <c r="K21" s="125"/>
      <c r="L21" s="125"/>
      <c r="M21" s="125"/>
      <c r="N21" s="125"/>
      <c r="O21" s="322" t="s">
        <v>286</v>
      </c>
      <c r="P21" s="322"/>
      <c r="Q21" s="322"/>
      <c r="R21" s="322"/>
      <c r="S21" s="322"/>
      <c r="T21" s="322"/>
      <c r="U21" s="322"/>
      <c r="V21" s="322"/>
      <c r="W21" s="336" t="s">
        <v>557</v>
      </c>
      <c r="X21" s="322"/>
      <c r="Y21" s="322"/>
      <c r="AG21" s="1"/>
      <c r="AH21" s="1"/>
      <c r="AI21" s="1"/>
      <c r="AJ21" s="1"/>
      <c r="AK21" s="1"/>
      <c r="AL21" s="1"/>
      <c r="AM21" s="1"/>
      <c r="AN21" s="1"/>
      <c r="AO21" s="1"/>
    </row>
    <row r="22" spans="8:41" x14ac:dyDescent="0.4">
      <c r="H22" s="125" t="s">
        <v>287</v>
      </c>
      <c r="I22" s="125"/>
      <c r="J22" s="125"/>
      <c r="K22" s="125"/>
      <c r="L22" s="125"/>
      <c r="M22" s="125"/>
      <c r="N22" s="125"/>
      <c r="O22" s="322" t="s">
        <v>288</v>
      </c>
      <c r="P22" s="322"/>
      <c r="Q22" s="322"/>
      <c r="R22" s="322"/>
      <c r="S22" s="322"/>
      <c r="T22" s="322"/>
      <c r="U22" s="322"/>
      <c r="V22" s="322"/>
      <c r="W22" s="322" t="s">
        <v>559</v>
      </c>
      <c r="X22" s="322"/>
      <c r="Y22" s="322"/>
      <c r="AG22" s="1"/>
      <c r="AH22" s="1"/>
      <c r="AI22" s="1"/>
      <c r="AJ22" s="1"/>
      <c r="AK22" s="1"/>
      <c r="AL22" s="1"/>
      <c r="AM22" s="1"/>
      <c r="AN22" s="1"/>
      <c r="AO22" s="1"/>
    </row>
    <row r="23" spans="8:41" x14ac:dyDescent="0.4">
      <c r="H23" s="125" t="s">
        <v>289</v>
      </c>
      <c r="I23" s="125"/>
      <c r="J23" s="125"/>
      <c r="K23" s="125"/>
      <c r="L23" s="125"/>
      <c r="M23" s="125"/>
      <c r="N23" s="125"/>
      <c r="O23" s="322" t="s">
        <v>290</v>
      </c>
      <c r="P23" s="322"/>
      <c r="Q23" s="322"/>
      <c r="R23" s="322"/>
      <c r="S23" s="322"/>
      <c r="T23" s="322"/>
      <c r="U23" s="322"/>
      <c r="V23" s="322"/>
      <c r="W23" s="336" t="s">
        <v>558</v>
      </c>
      <c r="X23" s="322"/>
      <c r="Y23" s="322"/>
      <c r="AG23" s="1"/>
      <c r="AH23" s="1"/>
      <c r="AI23" s="1"/>
      <c r="AJ23" s="1"/>
      <c r="AK23" s="1"/>
      <c r="AL23" s="1"/>
      <c r="AM23" s="1"/>
      <c r="AN23" s="1"/>
      <c r="AO23" s="1"/>
    </row>
    <row r="24" spans="8:41" x14ac:dyDescent="0.4">
      <c r="H24" s="125" t="s">
        <v>291</v>
      </c>
      <c r="I24" s="125"/>
      <c r="J24" s="125"/>
      <c r="K24" s="125"/>
      <c r="L24" s="125"/>
      <c r="M24" s="125"/>
      <c r="N24" s="125"/>
      <c r="O24" s="322" t="s">
        <v>292</v>
      </c>
      <c r="P24" s="322"/>
      <c r="Q24" s="322"/>
      <c r="R24" s="322"/>
      <c r="S24" s="322"/>
      <c r="T24" s="322"/>
      <c r="U24" s="322"/>
      <c r="V24" s="322"/>
      <c r="W24" s="322" t="s">
        <v>560</v>
      </c>
      <c r="X24" s="322"/>
      <c r="Y24" s="322"/>
      <c r="AG24" s="1"/>
      <c r="AH24" s="1"/>
      <c r="AI24" s="1"/>
      <c r="AJ24" s="1"/>
      <c r="AK24" s="1"/>
      <c r="AL24" s="1"/>
      <c r="AM24" s="1"/>
      <c r="AN24" s="1"/>
      <c r="AO24" s="1"/>
    </row>
    <row r="25" spans="8:41" x14ac:dyDescent="0.4">
      <c r="H25" s="125" t="s">
        <v>293</v>
      </c>
      <c r="I25" s="125"/>
      <c r="J25" s="125"/>
      <c r="K25" s="125"/>
      <c r="L25" s="125"/>
      <c r="M25" s="125"/>
      <c r="N25" s="125"/>
      <c r="O25" s="322" t="s">
        <v>294</v>
      </c>
      <c r="P25" s="322"/>
      <c r="Q25" s="322"/>
      <c r="R25" s="322"/>
      <c r="S25" s="322"/>
      <c r="T25" s="322"/>
      <c r="U25" s="322"/>
      <c r="V25" s="322"/>
      <c r="W25" s="336" t="s">
        <v>561</v>
      </c>
      <c r="X25" s="322"/>
      <c r="Y25" s="322"/>
      <c r="AG25" s="1"/>
      <c r="AH25" s="1"/>
      <c r="AI25" s="1"/>
      <c r="AJ25" s="1"/>
      <c r="AK25" s="1"/>
      <c r="AL25" s="1"/>
      <c r="AM25" s="1"/>
      <c r="AN25" s="1"/>
      <c r="AO25" s="1"/>
    </row>
    <row r="26" spans="8:41" x14ac:dyDescent="0.4">
      <c r="H26" s="125" t="s">
        <v>295</v>
      </c>
      <c r="I26" s="125"/>
      <c r="J26" s="125"/>
      <c r="K26" s="125"/>
      <c r="L26" s="125"/>
      <c r="M26" s="125"/>
      <c r="N26" s="125"/>
      <c r="O26" s="322" t="s">
        <v>296</v>
      </c>
      <c r="P26" s="322"/>
      <c r="Q26" s="322"/>
      <c r="R26" s="322"/>
      <c r="S26" s="322"/>
      <c r="T26" s="322"/>
      <c r="U26" s="322"/>
      <c r="V26" s="322"/>
      <c r="W26" s="322" t="s">
        <v>562</v>
      </c>
      <c r="X26" s="322"/>
      <c r="Y26" s="322"/>
      <c r="AG26" s="1"/>
      <c r="AH26" s="1"/>
      <c r="AI26" s="1"/>
      <c r="AJ26" s="1"/>
      <c r="AK26" s="1"/>
      <c r="AL26" s="1"/>
      <c r="AM26" s="1"/>
      <c r="AN26" s="1"/>
      <c r="AO26" s="1"/>
    </row>
    <row r="27" spans="8:41" x14ac:dyDescent="0.4">
      <c r="H27" s="125" t="s">
        <v>297</v>
      </c>
      <c r="I27" s="125"/>
      <c r="J27" s="125"/>
      <c r="K27" s="125"/>
      <c r="L27" s="125"/>
      <c r="M27" s="125"/>
      <c r="N27" s="125"/>
      <c r="O27" s="322" t="s">
        <v>298</v>
      </c>
      <c r="P27" s="322"/>
      <c r="Q27" s="322"/>
      <c r="R27" s="322"/>
      <c r="S27" s="322"/>
      <c r="T27" s="322"/>
      <c r="U27" s="322"/>
      <c r="V27" s="322"/>
      <c r="W27" s="336" t="s">
        <v>563</v>
      </c>
      <c r="X27" s="322"/>
      <c r="Y27" s="322"/>
      <c r="AG27" s="1"/>
      <c r="AH27" s="1"/>
      <c r="AI27" s="1"/>
      <c r="AJ27" s="1"/>
      <c r="AK27" s="1"/>
      <c r="AL27" s="1"/>
      <c r="AM27" s="1"/>
      <c r="AN27" s="1"/>
      <c r="AO27" s="1"/>
    </row>
    <row r="28" spans="8:41" x14ac:dyDescent="0.4">
      <c r="H28" s="125" t="s">
        <v>299</v>
      </c>
      <c r="I28" s="125"/>
      <c r="J28" s="125"/>
      <c r="K28" s="125"/>
      <c r="L28" s="125"/>
      <c r="M28" s="125"/>
      <c r="N28" s="125"/>
      <c r="O28" s="322" t="s">
        <v>300</v>
      </c>
      <c r="P28" s="322"/>
      <c r="Q28" s="322"/>
      <c r="R28" s="322"/>
      <c r="S28" s="322"/>
      <c r="T28" s="322"/>
      <c r="U28" s="322"/>
      <c r="V28" s="322"/>
      <c r="W28" s="322" t="s">
        <v>564</v>
      </c>
      <c r="X28" s="322"/>
      <c r="Y28" s="322"/>
      <c r="AG28" s="1"/>
      <c r="AH28" s="1"/>
      <c r="AI28" s="1"/>
      <c r="AJ28" s="1"/>
      <c r="AK28" s="1"/>
      <c r="AL28" s="1"/>
      <c r="AM28" s="1"/>
      <c r="AN28" s="1"/>
      <c r="AO28" s="1"/>
    </row>
    <row r="29" spans="8:41" x14ac:dyDescent="0.4">
      <c r="H29" s="125" t="s">
        <v>301</v>
      </c>
      <c r="I29" s="125"/>
      <c r="J29" s="125"/>
      <c r="K29" s="125"/>
      <c r="L29" s="125"/>
      <c r="M29" s="125"/>
      <c r="N29" s="125"/>
      <c r="O29" s="322" t="s">
        <v>302</v>
      </c>
      <c r="P29" s="322"/>
      <c r="Q29" s="322"/>
      <c r="R29" s="322"/>
      <c r="S29" s="322"/>
      <c r="T29" s="322"/>
      <c r="U29" s="322"/>
      <c r="V29" s="322"/>
      <c r="W29" s="336" t="s">
        <v>565</v>
      </c>
      <c r="X29" s="322"/>
      <c r="Y29" s="322"/>
      <c r="AG29" s="1"/>
      <c r="AH29" s="1"/>
      <c r="AI29" s="1"/>
      <c r="AJ29" s="1"/>
      <c r="AK29" s="1"/>
      <c r="AL29" s="1"/>
      <c r="AM29" s="1"/>
      <c r="AN29" s="1"/>
      <c r="AO29" s="1"/>
    </row>
    <row r="30" spans="8:41" x14ac:dyDescent="0.4">
      <c r="H30" s="125" t="s">
        <v>303</v>
      </c>
      <c r="I30" s="125"/>
      <c r="J30" s="125"/>
      <c r="K30" s="125"/>
      <c r="L30" s="125"/>
      <c r="M30" s="125"/>
      <c r="N30" s="125"/>
      <c r="O30" s="322" t="s">
        <v>304</v>
      </c>
      <c r="P30" s="322"/>
      <c r="Q30" s="322"/>
      <c r="R30" s="322"/>
      <c r="S30" s="322"/>
      <c r="T30" s="322"/>
      <c r="U30" s="322"/>
      <c r="V30" s="322"/>
      <c r="W30" s="322" t="s">
        <v>566</v>
      </c>
      <c r="X30" s="322"/>
      <c r="Y30" s="322"/>
      <c r="AG30" s="1"/>
      <c r="AH30" s="1"/>
      <c r="AI30" s="1"/>
      <c r="AJ30" s="1"/>
      <c r="AK30" s="1"/>
      <c r="AL30" s="1"/>
      <c r="AM30" s="1"/>
      <c r="AN30" s="1"/>
      <c r="AO30" s="1"/>
    </row>
    <row r="31" spans="8:41" x14ac:dyDescent="0.4">
      <c r="H31" s="125" t="s">
        <v>305</v>
      </c>
      <c r="I31" s="125"/>
      <c r="J31" s="125"/>
      <c r="K31" s="125"/>
      <c r="L31" s="125"/>
      <c r="M31" s="125"/>
      <c r="N31" s="125"/>
      <c r="O31" s="322" t="s">
        <v>306</v>
      </c>
      <c r="P31" s="322"/>
      <c r="Q31" s="322"/>
      <c r="R31" s="322"/>
      <c r="S31" s="322"/>
      <c r="T31" s="322"/>
      <c r="U31" s="322"/>
      <c r="V31" s="322"/>
      <c r="W31" s="336" t="s">
        <v>567</v>
      </c>
      <c r="X31" s="322"/>
      <c r="Y31" s="322"/>
      <c r="AG31" s="1"/>
      <c r="AH31" s="1"/>
      <c r="AI31" s="1"/>
      <c r="AJ31" s="1"/>
      <c r="AK31" s="1"/>
      <c r="AL31" s="1"/>
      <c r="AM31" s="1"/>
      <c r="AN31" s="1"/>
      <c r="AO31" s="1"/>
    </row>
    <row r="32" spans="8:41" x14ac:dyDescent="0.4">
      <c r="H32" s="125" t="s">
        <v>307</v>
      </c>
      <c r="I32" s="125"/>
      <c r="J32" s="125"/>
      <c r="K32" s="125"/>
      <c r="L32" s="125"/>
      <c r="M32" s="125"/>
      <c r="N32" s="125"/>
      <c r="O32" s="322" t="s">
        <v>308</v>
      </c>
      <c r="P32" s="322"/>
      <c r="Q32" s="322"/>
      <c r="R32" s="322"/>
      <c r="S32" s="322"/>
      <c r="T32" s="322"/>
      <c r="U32" s="322"/>
      <c r="V32" s="322"/>
      <c r="W32" s="322" t="s">
        <v>568</v>
      </c>
      <c r="X32" s="322"/>
      <c r="Y32" s="322"/>
      <c r="AG32" s="1"/>
      <c r="AH32" s="1"/>
      <c r="AI32" s="1"/>
      <c r="AJ32" s="1"/>
      <c r="AK32" s="1"/>
      <c r="AL32" s="1"/>
      <c r="AM32" s="1"/>
      <c r="AN32" s="1"/>
      <c r="AO32" s="1"/>
    </row>
    <row r="33" spans="8:41" x14ac:dyDescent="0.4">
      <c r="H33" s="125" t="s">
        <v>309</v>
      </c>
      <c r="I33" s="125"/>
      <c r="J33" s="125"/>
      <c r="K33" s="125"/>
      <c r="L33" s="125"/>
      <c r="M33" s="125"/>
      <c r="N33" s="125"/>
      <c r="O33" s="322" t="s">
        <v>310</v>
      </c>
      <c r="P33" s="322"/>
      <c r="Q33" s="322"/>
      <c r="R33" s="322"/>
      <c r="S33" s="322"/>
      <c r="T33" s="322"/>
      <c r="U33" s="322"/>
      <c r="V33" s="322"/>
      <c r="W33" s="336" t="s">
        <v>569</v>
      </c>
      <c r="X33" s="322"/>
      <c r="Y33" s="322"/>
      <c r="AG33" s="1"/>
      <c r="AH33" s="1"/>
      <c r="AI33" s="1"/>
      <c r="AJ33" s="1"/>
      <c r="AK33" s="1"/>
      <c r="AL33" s="1"/>
      <c r="AM33" s="1"/>
      <c r="AN33" s="1"/>
      <c r="AO33" s="1"/>
    </row>
    <row r="34" spans="8:41" x14ac:dyDescent="0.4">
      <c r="H34" s="125" t="s">
        <v>311</v>
      </c>
      <c r="I34" s="125"/>
      <c r="J34" s="125"/>
      <c r="K34" s="125"/>
      <c r="L34" s="125"/>
      <c r="M34" s="125"/>
      <c r="N34" s="125"/>
      <c r="O34" s="322" t="s">
        <v>312</v>
      </c>
      <c r="P34" s="322"/>
      <c r="Q34" s="322"/>
      <c r="R34" s="322"/>
      <c r="S34" s="322"/>
      <c r="T34" s="322"/>
      <c r="U34" s="322"/>
      <c r="V34" s="322"/>
      <c r="W34" s="336" t="s">
        <v>246</v>
      </c>
      <c r="X34" s="322"/>
      <c r="Y34" s="322"/>
      <c r="AG34" s="1"/>
      <c r="AH34" s="1"/>
      <c r="AI34" s="1"/>
      <c r="AJ34" s="1"/>
      <c r="AK34" s="1"/>
      <c r="AL34" s="1"/>
      <c r="AM34" s="1"/>
      <c r="AN34" s="1"/>
      <c r="AO34" s="1"/>
    </row>
    <row r="35" spans="8:41" x14ac:dyDescent="0.4">
      <c r="H35" s="125" t="s">
        <v>313</v>
      </c>
      <c r="I35" s="125"/>
      <c r="J35" s="125"/>
      <c r="K35" s="125"/>
      <c r="L35" s="125"/>
      <c r="M35" s="125"/>
      <c r="N35" s="125"/>
      <c r="O35" s="322" t="s">
        <v>314</v>
      </c>
      <c r="P35" s="322"/>
      <c r="Q35" s="322"/>
      <c r="R35" s="322"/>
      <c r="S35" s="322"/>
      <c r="T35" s="322"/>
      <c r="U35" s="322"/>
      <c r="V35" s="322"/>
      <c r="W35" s="322" t="s">
        <v>570</v>
      </c>
      <c r="X35" s="322"/>
      <c r="Y35" s="322"/>
      <c r="AG35" s="1"/>
      <c r="AH35" s="1"/>
      <c r="AI35" s="1"/>
      <c r="AJ35" s="1"/>
      <c r="AK35" s="1"/>
      <c r="AL35" s="1"/>
      <c r="AM35" s="1"/>
      <c r="AN35" s="1"/>
      <c r="AO35" s="1"/>
    </row>
    <row r="36" spans="8:41" x14ac:dyDescent="0.4">
      <c r="H36" s="125" t="s">
        <v>315</v>
      </c>
      <c r="I36" s="125"/>
      <c r="J36" s="125"/>
      <c r="K36" s="125"/>
      <c r="L36" s="125"/>
      <c r="M36" s="125"/>
      <c r="N36" s="125"/>
      <c r="O36" s="322" t="s">
        <v>316</v>
      </c>
      <c r="P36" s="322"/>
      <c r="Q36" s="322"/>
      <c r="R36" s="322"/>
      <c r="S36" s="322"/>
      <c r="T36" s="322"/>
      <c r="U36" s="322"/>
      <c r="V36" s="322"/>
      <c r="W36" s="336" t="s">
        <v>571</v>
      </c>
      <c r="X36" s="322"/>
      <c r="Y36" s="322"/>
      <c r="AG36" s="1"/>
      <c r="AH36" s="1"/>
      <c r="AI36" s="1"/>
      <c r="AJ36" s="1"/>
      <c r="AK36" s="1"/>
      <c r="AL36" s="1"/>
      <c r="AM36" s="1"/>
      <c r="AN36" s="1"/>
      <c r="AO36" s="1"/>
    </row>
    <row r="37" spans="8:41" x14ac:dyDescent="0.4">
      <c r="H37" s="325" t="s">
        <v>244</v>
      </c>
      <c r="I37" s="326"/>
      <c r="J37" s="326"/>
      <c r="K37" s="326"/>
      <c r="L37" s="326"/>
      <c r="M37" s="326"/>
      <c r="N37" s="327"/>
      <c r="O37" s="325" t="s">
        <v>245</v>
      </c>
      <c r="P37" s="326"/>
      <c r="Q37" s="326"/>
      <c r="R37" s="326"/>
      <c r="S37" s="326"/>
      <c r="T37" s="326"/>
      <c r="U37" s="326"/>
      <c r="V37" s="328"/>
      <c r="W37" s="329" t="s">
        <v>572</v>
      </c>
      <c r="X37" s="330"/>
      <c r="Y37" s="331"/>
      <c r="AG37" s="1"/>
      <c r="AH37" s="1"/>
      <c r="AI37" s="1"/>
      <c r="AJ37" s="1"/>
      <c r="AK37" s="1"/>
      <c r="AL37" s="1"/>
      <c r="AM37" s="1"/>
      <c r="AN37" s="1"/>
      <c r="AO37" s="1"/>
    </row>
    <row r="38" spans="8:41" x14ac:dyDescent="0.4">
      <c r="H38" s="325"/>
      <c r="I38" s="326"/>
      <c r="J38" s="326"/>
      <c r="K38" s="326"/>
      <c r="L38" s="326"/>
      <c r="M38" s="326"/>
      <c r="N38" s="327"/>
      <c r="O38" s="325"/>
      <c r="P38" s="326"/>
      <c r="Q38" s="326"/>
      <c r="R38" s="326"/>
      <c r="S38" s="326"/>
      <c r="T38" s="326"/>
      <c r="U38" s="326"/>
      <c r="V38" s="328"/>
      <c r="W38" s="329"/>
      <c r="X38" s="330"/>
      <c r="Y38" s="331"/>
      <c r="AG38" s="1"/>
      <c r="AH38" s="1"/>
      <c r="AI38" s="1"/>
      <c r="AJ38" s="1"/>
      <c r="AK38" s="1"/>
      <c r="AL38" s="1"/>
      <c r="AM38" s="1"/>
      <c r="AN38" s="1"/>
      <c r="AO38" s="1"/>
    </row>
    <row r="39" spans="8:41" x14ac:dyDescent="0.4">
      <c r="H39" s="325"/>
      <c r="I39" s="326"/>
      <c r="J39" s="326"/>
      <c r="K39" s="326"/>
      <c r="L39" s="326"/>
      <c r="M39" s="326"/>
      <c r="N39" s="327"/>
      <c r="O39" s="325"/>
      <c r="P39" s="326"/>
      <c r="Q39" s="326"/>
      <c r="R39" s="326"/>
      <c r="S39" s="326"/>
      <c r="T39" s="326"/>
      <c r="U39" s="326"/>
      <c r="V39" s="328"/>
      <c r="W39" s="329"/>
      <c r="X39" s="330"/>
      <c r="Y39" s="331"/>
      <c r="AG39" s="1"/>
      <c r="AH39" s="1"/>
      <c r="AI39" s="1"/>
      <c r="AJ39" s="1"/>
      <c r="AK39" s="1"/>
      <c r="AL39" s="1"/>
      <c r="AM39" s="1"/>
      <c r="AN39" s="1"/>
      <c r="AO39" s="1"/>
    </row>
    <row r="40" spans="8:41" ht="18" customHeight="1" x14ac:dyDescent="0.4">
      <c r="H40" s="325"/>
      <c r="I40" s="326"/>
      <c r="J40" s="326"/>
      <c r="K40" s="326"/>
      <c r="L40" s="326"/>
      <c r="M40" s="326"/>
      <c r="N40" s="327"/>
      <c r="O40" s="325"/>
      <c r="P40" s="326"/>
      <c r="Q40" s="326"/>
      <c r="R40" s="326"/>
      <c r="S40" s="326"/>
      <c r="T40" s="326"/>
      <c r="U40" s="326"/>
      <c r="V40" s="328"/>
      <c r="W40" s="329"/>
      <c r="X40" s="330"/>
      <c r="Y40" s="331"/>
    </row>
    <row r="41" spans="8:41" x14ac:dyDescent="0.4">
      <c r="H41" s="332" t="s">
        <v>317</v>
      </c>
      <c r="I41" s="333"/>
      <c r="J41" s="333"/>
      <c r="K41" s="333"/>
      <c r="L41" s="333"/>
      <c r="M41" s="333"/>
      <c r="N41" s="333"/>
      <c r="O41" s="334" t="s">
        <v>318</v>
      </c>
      <c r="P41" s="334"/>
      <c r="Q41" s="334"/>
      <c r="R41" s="334"/>
      <c r="S41" s="334"/>
      <c r="T41" s="334"/>
      <c r="U41" s="334"/>
      <c r="V41" s="334"/>
      <c r="W41" s="334" t="s">
        <v>319</v>
      </c>
      <c r="X41" s="334"/>
      <c r="Y41" s="335"/>
      <c r="AH41" s="1"/>
      <c r="AI41" s="1"/>
      <c r="AJ41" s="1"/>
      <c r="AK41" s="1"/>
      <c r="AL41" s="1"/>
      <c r="AM41" s="1"/>
      <c r="AN41" s="1"/>
      <c r="AO41" s="1"/>
    </row>
    <row r="42" spans="8:41" x14ac:dyDescent="0.4">
      <c r="H42" s="323" t="s">
        <v>320</v>
      </c>
      <c r="I42" s="323"/>
      <c r="J42" s="323"/>
      <c r="K42" s="323"/>
      <c r="L42" s="323"/>
      <c r="M42" s="323"/>
      <c r="N42" s="323"/>
      <c r="O42" s="324" t="s">
        <v>321</v>
      </c>
      <c r="P42" s="324"/>
      <c r="Q42" s="324"/>
      <c r="R42" s="324"/>
      <c r="S42" s="324"/>
      <c r="T42" s="324"/>
      <c r="U42" s="324"/>
      <c r="V42" s="324"/>
      <c r="W42" s="324" t="s">
        <v>322</v>
      </c>
      <c r="X42" s="324"/>
      <c r="Y42" s="324"/>
      <c r="AH42" s="1"/>
      <c r="AI42" s="1"/>
      <c r="AJ42" s="1"/>
      <c r="AK42" s="1"/>
      <c r="AL42" s="1"/>
      <c r="AM42" s="1"/>
      <c r="AN42" s="1"/>
      <c r="AO42" s="1"/>
    </row>
    <row r="43" spans="8:41" x14ac:dyDescent="0.4">
      <c r="H43" s="125" t="s">
        <v>323</v>
      </c>
      <c r="I43" s="125"/>
      <c r="J43" s="125"/>
      <c r="K43" s="125"/>
      <c r="L43" s="125"/>
      <c r="M43" s="125"/>
      <c r="N43" s="125"/>
      <c r="O43" s="322" t="s">
        <v>324</v>
      </c>
      <c r="P43" s="322"/>
      <c r="Q43" s="322"/>
      <c r="R43" s="322"/>
      <c r="S43" s="322"/>
      <c r="T43" s="322"/>
      <c r="U43" s="322"/>
      <c r="V43" s="322"/>
      <c r="W43" s="322" t="s">
        <v>325</v>
      </c>
      <c r="X43" s="322"/>
      <c r="Y43" s="322"/>
      <c r="AH43" s="1"/>
      <c r="AI43" s="1"/>
      <c r="AJ43" s="1"/>
      <c r="AK43" s="1"/>
      <c r="AL43" s="1"/>
      <c r="AM43" s="1"/>
      <c r="AN43" s="1"/>
      <c r="AO43" s="1"/>
    </row>
    <row r="44" spans="8:41" x14ac:dyDescent="0.4">
      <c r="H44" s="125" t="s">
        <v>326</v>
      </c>
      <c r="I44" s="125"/>
      <c r="J44" s="125"/>
      <c r="K44" s="125"/>
      <c r="L44" s="125"/>
      <c r="M44" s="125"/>
      <c r="N44" s="125"/>
      <c r="O44" s="322" t="s">
        <v>327</v>
      </c>
      <c r="P44" s="322"/>
      <c r="Q44" s="322"/>
      <c r="R44" s="322"/>
      <c r="S44" s="322"/>
      <c r="T44" s="322"/>
      <c r="U44" s="322"/>
      <c r="V44" s="322"/>
      <c r="W44" s="322" t="s">
        <v>328</v>
      </c>
      <c r="X44" s="322"/>
      <c r="Y44" s="322"/>
    </row>
    <row r="45" spans="8:41" x14ac:dyDescent="0.4">
      <c r="H45" s="125" t="s">
        <v>329</v>
      </c>
      <c r="I45" s="125"/>
      <c r="J45" s="125"/>
      <c r="K45" s="125"/>
      <c r="L45" s="125"/>
      <c r="M45" s="125"/>
      <c r="N45" s="125"/>
      <c r="O45" s="322" t="s">
        <v>330</v>
      </c>
      <c r="P45" s="322"/>
      <c r="Q45" s="322"/>
      <c r="R45" s="322"/>
      <c r="S45" s="322"/>
      <c r="T45" s="322"/>
      <c r="U45" s="322"/>
      <c r="V45" s="322"/>
      <c r="W45" s="322" t="s">
        <v>331</v>
      </c>
      <c r="X45" s="322"/>
      <c r="Y45" s="322"/>
    </row>
    <row r="46" spans="8:41" x14ac:dyDescent="0.4">
      <c r="H46" s="125" t="s">
        <v>332</v>
      </c>
      <c r="I46" s="125"/>
      <c r="J46" s="125"/>
      <c r="K46" s="125"/>
      <c r="L46" s="125"/>
      <c r="M46" s="125"/>
      <c r="N46" s="125"/>
      <c r="O46" s="322" t="s">
        <v>333</v>
      </c>
      <c r="P46" s="322"/>
      <c r="Q46" s="322"/>
      <c r="R46" s="322"/>
      <c r="S46" s="322"/>
      <c r="T46" s="322"/>
      <c r="U46" s="322"/>
      <c r="V46" s="322"/>
      <c r="W46" s="322" t="s">
        <v>334</v>
      </c>
      <c r="X46" s="322"/>
      <c r="Y46" s="322"/>
    </row>
    <row r="47" spans="8:41" x14ac:dyDescent="0.4">
      <c r="H47" s="125" t="s">
        <v>335</v>
      </c>
      <c r="I47" s="125"/>
      <c r="J47" s="125"/>
      <c r="K47" s="125"/>
      <c r="L47" s="125"/>
      <c r="M47" s="125"/>
      <c r="N47" s="125"/>
      <c r="O47" s="322" t="s">
        <v>336</v>
      </c>
      <c r="P47" s="322"/>
      <c r="Q47" s="322"/>
      <c r="R47" s="322"/>
      <c r="S47" s="322"/>
      <c r="T47" s="322"/>
      <c r="U47" s="322"/>
      <c r="V47" s="322"/>
      <c r="W47" s="322" t="s">
        <v>337</v>
      </c>
      <c r="X47" s="322"/>
      <c r="Y47" s="322"/>
    </row>
    <row r="48" spans="8:41" x14ac:dyDescent="0.4">
      <c r="H48" s="125" t="s">
        <v>338</v>
      </c>
      <c r="I48" s="125"/>
      <c r="J48" s="125"/>
      <c r="K48" s="125"/>
      <c r="L48" s="125"/>
      <c r="M48" s="125"/>
      <c r="N48" s="125"/>
      <c r="O48" s="322" t="s">
        <v>339</v>
      </c>
      <c r="P48" s="322"/>
      <c r="Q48" s="322"/>
      <c r="R48" s="322"/>
      <c r="S48" s="322"/>
      <c r="T48" s="322"/>
      <c r="U48" s="322"/>
      <c r="V48" s="322"/>
      <c r="W48" s="322" t="s">
        <v>340</v>
      </c>
      <c r="X48" s="322"/>
      <c r="Y48" s="322"/>
    </row>
    <row r="49" spans="8:41" x14ac:dyDescent="0.4">
      <c r="H49" s="125" t="s">
        <v>341</v>
      </c>
      <c r="I49" s="125"/>
      <c r="J49" s="125"/>
      <c r="K49" s="125"/>
      <c r="L49" s="125"/>
      <c r="M49" s="125"/>
      <c r="N49" s="125"/>
      <c r="O49" s="322" t="s">
        <v>342</v>
      </c>
      <c r="P49" s="322"/>
      <c r="Q49" s="322"/>
      <c r="R49" s="322"/>
      <c r="S49" s="322"/>
      <c r="T49" s="322"/>
      <c r="U49" s="322"/>
      <c r="V49" s="322"/>
      <c r="W49" s="322" t="s">
        <v>343</v>
      </c>
      <c r="X49" s="322"/>
      <c r="Y49" s="322"/>
    </row>
    <row r="50" spans="8:41" x14ac:dyDescent="0.4">
      <c r="H50" s="125" t="s">
        <v>344</v>
      </c>
      <c r="I50" s="125"/>
      <c r="J50" s="125"/>
      <c r="K50" s="125"/>
      <c r="L50" s="125"/>
      <c r="M50" s="125"/>
      <c r="N50" s="125"/>
      <c r="O50" s="322" t="s">
        <v>345</v>
      </c>
      <c r="P50" s="322"/>
      <c r="Q50" s="322"/>
      <c r="R50" s="322"/>
      <c r="S50" s="322"/>
      <c r="T50" s="322"/>
      <c r="U50" s="322"/>
      <c r="V50" s="322"/>
      <c r="W50" s="322" t="s">
        <v>346</v>
      </c>
      <c r="X50" s="322"/>
      <c r="Y50" s="322"/>
    </row>
    <row r="51" spans="8:41" x14ac:dyDescent="0.4">
      <c r="H51" s="125" t="s">
        <v>347</v>
      </c>
      <c r="I51" s="125"/>
      <c r="J51" s="125"/>
      <c r="K51" s="125"/>
      <c r="L51" s="125"/>
      <c r="M51" s="125"/>
      <c r="N51" s="125"/>
      <c r="O51" s="322" t="s">
        <v>348</v>
      </c>
      <c r="P51" s="322"/>
      <c r="Q51" s="322"/>
      <c r="R51" s="322"/>
      <c r="S51" s="322"/>
      <c r="T51" s="322"/>
      <c r="U51" s="322"/>
      <c r="V51" s="322"/>
      <c r="W51" s="322" t="s">
        <v>349</v>
      </c>
      <c r="X51" s="322"/>
      <c r="Y51" s="322"/>
    </row>
    <row r="52" spans="8:41" x14ac:dyDescent="0.4">
      <c r="H52" s="125" t="s">
        <v>350</v>
      </c>
      <c r="I52" s="125"/>
      <c r="J52" s="125"/>
      <c r="K52" s="125"/>
      <c r="L52" s="125"/>
      <c r="M52" s="125"/>
      <c r="N52" s="125"/>
      <c r="O52" s="322" t="s">
        <v>351</v>
      </c>
      <c r="P52" s="322"/>
      <c r="Q52" s="322"/>
      <c r="R52" s="322"/>
      <c r="S52" s="322"/>
      <c r="T52" s="322"/>
      <c r="U52" s="322"/>
      <c r="V52" s="322"/>
      <c r="W52" s="322" t="s">
        <v>352</v>
      </c>
      <c r="X52" s="322"/>
      <c r="Y52" s="322"/>
    </row>
    <row r="53" spans="8:41" x14ac:dyDescent="0.4">
      <c r="H53" s="125" t="s">
        <v>353</v>
      </c>
      <c r="I53" s="125"/>
      <c r="J53" s="125"/>
      <c r="K53" s="125"/>
      <c r="L53" s="125"/>
      <c r="M53" s="125"/>
      <c r="N53" s="125"/>
      <c r="O53" s="322" t="s">
        <v>354</v>
      </c>
      <c r="P53" s="322"/>
      <c r="Q53" s="322"/>
      <c r="R53" s="322"/>
      <c r="S53" s="322"/>
      <c r="T53" s="322"/>
      <c r="U53" s="322"/>
      <c r="V53" s="322"/>
      <c r="W53" s="322" t="s">
        <v>355</v>
      </c>
      <c r="X53" s="322"/>
      <c r="Y53" s="322"/>
    </row>
    <row r="54" spans="8:41" x14ac:dyDescent="0.4">
      <c r="H54" s="125" t="s">
        <v>356</v>
      </c>
      <c r="I54" s="125"/>
      <c r="J54" s="125"/>
      <c r="K54" s="125"/>
      <c r="L54" s="125"/>
      <c r="M54" s="125"/>
      <c r="N54" s="125"/>
      <c r="O54" s="322" t="s">
        <v>357</v>
      </c>
      <c r="P54" s="322"/>
      <c r="Q54" s="322"/>
      <c r="R54" s="322"/>
      <c r="S54" s="322"/>
      <c r="T54" s="322"/>
      <c r="U54" s="322"/>
      <c r="V54" s="322"/>
      <c r="W54" s="322" t="s">
        <v>358</v>
      </c>
      <c r="X54" s="322"/>
      <c r="Y54" s="322"/>
    </row>
    <row r="55" spans="8:41" x14ac:dyDescent="0.4">
      <c r="H55" s="125" t="s">
        <v>359</v>
      </c>
      <c r="I55" s="125"/>
      <c r="J55" s="125"/>
      <c r="K55" s="125"/>
      <c r="L55" s="125"/>
      <c r="M55" s="125"/>
      <c r="N55" s="125"/>
      <c r="O55" s="322" t="s">
        <v>360</v>
      </c>
      <c r="P55" s="322"/>
      <c r="Q55" s="322"/>
      <c r="R55" s="322"/>
      <c r="S55" s="322"/>
      <c r="T55" s="322"/>
      <c r="U55" s="322"/>
      <c r="V55" s="322"/>
      <c r="W55" s="322" t="s">
        <v>361</v>
      </c>
      <c r="X55" s="322"/>
      <c r="Y55" s="322"/>
    </row>
    <row r="56" spans="8:41" x14ac:dyDescent="0.4">
      <c r="H56" s="125" t="s">
        <v>362</v>
      </c>
      <c r="I56" s="125"/>
      <c r="J56" s="125"/>
      <c r="K56" s="125"/>
      <c r="L56" s="125"/>
      <c r="M56" s="125"/>
      <c r="N56" s="125"/>
      <c r="O56" s="322" t="s">
        <v>363</v>
      </c>
      <c r="P56" s="322"/>
      <c r="Q56" s="322"/>
      <c r="R56" s="322"/>
      <c r="S56" s="322"/>
      <c r="T56" s="322"/>
      <c r="U56" s="322"/>
      <c r="V56" s="322"/>
      <c r="W56" s="322" t="s">
        <v>364</v>
      </c>
      <c r="X56" s="322"/>
      <c r="Y56" s="322"/>
    </row>
    <row r="57" spans="8:41" x14ac:dyDescent="0.4">
      <c r="H57" s="323" t="s">
        <v>365</v>
      </c>
      <c r="I57" s="323"/>
      <c r="J57" s="323"/>
      <c r="K57" s="323"/>
      <c r="L57" s="323"/>
      <c r="M57" s="323"/>
      <c r="N57" s="323"/>
      <c r="O57" s="324" t="s">
        <v>366</v>
      </c>
      <c r="P57" s="324"/>
      <c r="Q57" s="324"/>
      <c r="R57" s="324"/>
      <c r="S57" s="324"/>
      <c r="T57" s="324"/>
      <c r="U57" s="324"/>
      <c r="V57" s="324"/>
      <c r="W57" s="324" t="s">
        <v>367</v>
      </c>
      <c r="X57" s="324"/>
      <c r="Y57" s="324"/>
      <c r="AH57" s="1"/>
      <c r="AI57" s="1"/>
      <c r="AJ57" s="1"/>
      <c r="AK57" s="1"/>
      <c r="AL57" s="1"/>
      <c r="AM57" s="1"/>
      <c r="AN57" s="1"/>
      <c r="AO57" s="1"/>
    </row>
    <row r="58" spans="8:41" x14ac:dyDescent="0.4">
      <c r="H58" s="125" t="s">
        <v>368</v>
      </c>
      <c r="I58" s="125"/>
      <c r="J58" s="125"/>
      <c r="K58" s="125"/>
      <c r="L58" s="125"/>
      <c r="M58" s="125"/>
      <c r="N58" s="125"/>
      <c r="O58" s="322" t="s">
        <v>369</v>
      </c>
      <c r="P58" s="322"/>
      <c r="Q58" s="322"/>
      <c r="R58" s="322"/>
      <c r="S58" s="322"/>
      <c r="T58" s="322"/>
      <c r="U58" s="322"/>
      <c r="V58" s="322"/>
      <c r="W58" s="322" t="s">
        <v>370</v>
      </c>
      <c r="X58" s="322"/>
      <c r="Y58" s="322"/>
      <c r="AH58" s="1"/>
      <c r="AI58" s="1"/>
      <c r="AJ58" s="1"/>
      <c r="AK58" s="1"/>
      <c r="AL58" s="1"/>
      <c r="AM58" s="1"/>
      <c r="AN58" s="1"/>
      <c r="AO58" s="1"/>
    </row>
    <row r="59" spans="8:41" x14ac:dyDescent="0.4">
      <c r="H59" s="125" t="s">
        <v>371</v>
      </c>
      <c r="I59" s="125"/>
      <c r="J59" s="125"/>
      <c r="K59" s="125"/>
      <c r="L59" s="125"/>
      <c r="M59" s="125"/>
      <c r="N59" s="125"/>
      <c r="O59" s="322" t="s">
        <v>372</v>
      </c>
      <c r="P59" s="322"/>
      <c r="Q59" s="322"/>
      <c r="R59" s="322"/>
      <c r="S59" s="322"/>
      <c r="T59" s="322"/>
      <c r="U59" s="322"/>
      <c r="V59" s="322"/>
      <c r="W59" s="322" t="s">
        <v>373</v>
      </c>
      <c r="X59" s="322"/>
      <c r="Y59" s="322"/>
    </row>
    <row r="60" spans="8:41" x14ac:dyDescent="0.4">
      <c r="H60" s="125" t="s">
        <v>374</v>
      </c>
      <c r="I60" s="125"/>
      <c r="J60" s="125"/>
      <c r="K60" s="125"/>
      <c r="L60" s="125"/>
      <c r="M60" s="125"/>
      <c r="N60" s="125"/>
      <c r="O60" s="322" t="s">
        <v>375</v>
      </c>
      <c r="P60" s="322"/>
      <c r="Q60" s="322"/>
      <c r="R60" s="322"/>
      <c r="S60" s="322"/>
      <c r="T60" s="322"/>
      <c r="U60" s="322"/>
      <c r="V60" s="322"/>
      <c r="W60" s="322" t="s">
        <v>376</v>
      </c>
      <c r="X60" s="322"/>
      <c r="Y60" s="322"/>
    </row>
    <row r="61" spans="8:41" x14ac:dyDescent="0.4">
      <c r="H61" s="125" t="s">
        <v>377</v>
      </c>
      <c r="I61" s="125"/>
      <c r="J61" s="125"/>
      <c r="K61" s="125"/>
      <c r="L61" s="125"/>
      <c r="M61" s="125"/>
      <c r="N61" s="125"/>
      <c r="O61" s="322" t="s">
        <v>378</v>
      </c>
      <c r="P61" s="322"/>
      <c r="Q61" s="322"/>
      <c r="R61" s="322"/>
      <c r="S61" s="322"/>
      <c r="T61" s="322"/>
      <c r="U61" s="322"/>
      <c r="V61" s="322"/>
      <c r="W61" s="322" t="s">
        <v>379</v>
      </c>
      <c r="X61" s="322"/>
      <c r="Y61" s="322"/>
    </row>
    <row r="62" spans="8:41" x14ac:dyDescent="0.4">
      <c r="H62" s="125" t="s">
        <v>380</v>
      </c>
      <c r="I62" s="125"/>
      <c r="J62" s="125"/>
      <c r="K62" s="125"/>
      <c r="L62" s="125"/>
      <c r="M62" s="125"/>
      <c r="N62" s="125"/>
      <c r="O62" s="322" t="s">
        <v>381</v>
      </c>
      <c r="P62" s="322"/>
      <c r="Q62" s="322"/>
      <c r="R62" s="322"/>
      <c r="S62" s="322"/>
      <c r="T62" s="322"/>
      <c r="U62" s="322"/>
      <c r="V62" s="322"/>
      <c r="W62" s="322" t="s">
        <v>382</v>
      </c>
      <c r="X62" s="322"/>
      <c r="Y62" s="322"/>
    </row>
    <row r="63" spans="8:41" x14ac:dyDescent="0.4">
      <c r="H63" s="125" t="s">
        <v>383</v>
      </c>
      <c r="I63" s="125"/>
      <c r="J63" s="125"/>
      <c r="K63" s="125"/>
      <c r="L63" s="125"/>
      <c r="M63" s="125"/>
      <c r="N63" s="125"/>
      <c r="O63" s="322" t="s">
        <v>384</v>
      </c>
      <c r="P63" s="322"/>
      <c r="Q63" s="322"/>
      <c r="R63" s="322"/>
      <c r="S63" s="322"/>
      <c r="T63" s="322"/>
      <c r="U63" s="322"/>
      <c r="V63" s="322"/>
      <c r="W63" s="322" t="s">
        <v>385</v>
      </c>
      <c r="X63" s="322"/>
      <c r="Y63" s="322"/>
    </row>
    <row r="64" spans="8:41" x14ac:dyDescent="0.4">
      <c r="H64" s="125" t="s">
        <v>386</v>
      </c>
      <c r="I64" s="125"/>
      <c r="J64" s="125"/>
      <c r="K64" s="125"/>
      <c r="L64" s="125"/>
      <c r="M64" s="125"/>
      <c r="N64" s="125"/>
      <c r="O64" s="322" t="s">
        <v>387</v>
      </c>
      <c r="P64" s="322"/>
      <c r="Q64" s="322"/>
      <c r="R64" s="322"/>
      <c r="S64" s="322"/>
      <c r="T64" s="322"/>
      <c r="U64" s="322"/>
      <c r="V64" s="322"/>
      <c r="W64" s="322" t="s">
        <v>388</v>
      </c>
      <c r="X64" s="322"/>
      <c r="Y64" s="322"/>
    </row>
    <row r="65" spans="8:59" x14ac:dyDescent="0.4">
      <c r="H65" s="125" t="s">
        <v>389</v>
      </c>
      <c r="I65" s="125"/>
      <c r="J65" s="125"/>
      <c r="K65" s="125"/>
      <c r="L65" s="125"/>
      <c r="M65" s="125"/>
      <c r="N65" s="125"/>
      <c r="O65" s="322" t="s">
        <v>390</v>
      </c>
      <c r="P65" s="322"/>
      <c r="Q65" s="322"/>
      <c r="R65" s="322"/>
      <c r="S65" s="322"/>
      <c r="T65" s="322"/>
      <c r="U65" s="322"/>
      <c r="V65" s="322"/>
      <c r="W65" s="322" t="s">
        <v>391</v>
      </c>
      <c r="X65" s="322"/>
      <c r="Y65" s="322"/>
    </row>
    <row r="66" spans="8:59" x14ac:dyDescent="0.4">
      <c r="H66" s="125" t="s">
        <v>392</v>
      </c>
      <c r="I66" s="125"/>
      <c r="J66" s="125"/>
      <c r="K66" s="125"/>
      <c r="L66" s="125"/>
      <c r="M66" s="125"/>
      <c r="N66" s="125"/>
      <c r="O66" s="322" t="s">
        <v>393</v>
      </c>
      <c r="P66" s="322"/>
      <c r="Q66" s="322"/>
      <c r="R66" s="322"/>
      <c r="S66" s="322"/>
      <c r="T66" s="322"/>
      <c r="U66" s="322"/>
      <c r="V66" s="322"/>
      <c r="W66" s="322" t="s">
        <v>394</v>
      </c>
      <c r="X66" s="322"/>
      <c r="Y66" s="322"/>
    </row>
    <row r="67" spans="8:59" x14ac:dyDescent="0.4">
      <c r="H67" s="125" t="s">
        <v>395</v>
      </c>
      <c r="I67" s="125"/>
      <c r="J67" s="125"/>
      <c r="K67" s="125"/>
      <c r="L67" s="125"/>
      <c r="M67" s="125"/>
      <c r="N67" s="125"/>
      <c r="O67" s="322" t="s">
        <v>396</v>
      </c>
      <c r="P67" s="322"/>
      <c r="Q67" s="322"/>
      <c r="R67" s="322"/>
      <c r="S67" s="322"/>
      <c r="T67" s="322"/>
      <c r="U67" s="322"/>
      <c r="V67" s="322"/>
      <c r="W67" s="322" t="s">
        <v>397</v>
      </c>
      <c r="X67" s="322"/>
      <c r="Y67" s="322"/>
    </row>
    <row r="68" spans="8:59" x14ac:dyDescent="0.4">
      <c r="H68" s="125" t="s">
        <v>398</v>
      </c>
      <c r="I68" s="125"/>
      <c r="J68" s="125"/>
      <c r="K68" s="125"/>
      <c r="L68" s="125"/>
      <c r="M68" s="125"/>
      <c r="N68" s="125"/>
      <c r="O68" s="322" t="s">
        <v>399</v>
      </c>
      <c r="P68" s="322"/>
      <c r="Q68" s="322"/>
      <c r="R68" s="322"/>
      <c r="S68" s="322"/>
      <c r="T68" s="322"/>
      <c r="U68" s="322"/>
      <c r="V68" s="322"/>
      <c r="W68" s="322" t="s">
        <v>400</v>
      </c>
      <c r="X68" s="322"/>
      <c r="Y68" s="322"/>
    </row>
    <row r="69" spans="8:59" x14ac:dyDescent="0.4">
      <c r="H69" s="125" t="s">
        <v>401</v>
      </c>
      <c r="I69" s="125"/>
      <c r="J69" s="125"/>
      <c r="K69" s="125"/>
      <c r="L69" s="125"/>
      <c r="M69" s="125"/>
      <c r="N69" s="125"/>
      <c r="O69" s="322" t="s">
        <v>402</v>
      </c>
      <c r="P69" s="322"/>
      <c r="Q69" s="322"/>
      <c r="R69" s="322"/>
      <c r="S69" s="322"/>
      <c r="T69" s="322"/>
      <c r="U69" s="322"/>
      <c r="V69" s="322"/>
      <c r="W69" s="322" t="s">
        <v>403</v>
      </c>
      <c r="X69" s="322"/>
      <c r="Y69" s="322"/>
    </row>
    <row r="70" spans="8:59" x14ac:dyDescent="0.4">
      <c r="H70" s="125" t="s">
        <v>404</v>
      </c>
      <c r="I70" s="125"/>
      <c r="J70" s="125"/>
      <c r="K70" s="125"/>
      <c r="L70" s="125"/>
      <c r="M70" s="125"/>
      <c r="N70" s="125"/>
      <c r="O70" s="322" t="s">
        <v>405</v>
      </c>
      <c r="P70" s="322"/>
      <c r="Q70" s="322"/>
      <c r="R70" s="322"/>
      <c r="S70" s="322"/>
      <c r="T70" s="322"/>
      <c r="U70" s="322"/>
      <c r="V70" s="322"/>
      <c r="W70" s="322" t="s">
        <v>406</v>
      </c>
      <c r="X70" s="322"/>
      <c r="Y70" s="322"/>
    </row>
    <row r="71" spans="8:59" x14ac:dyDescent="0.4">
      <c r="H71" s="125" t="s">
        <v>407</v>
      </c>
      <c r="I71" s="125"/>
      <c r="J71" s="125"/>
      <c r="K71" s="125"/>
      <c r="L71" s="125"/>
      <c r="M71" s="125"/>
      <c r="N71" s="125"/>
      <c r="O71" s="322" t="s">
        <v>408</v>
      </c>
      <c r="P71" s="322"/>
      <c r="Q71" s="322"/>
      <c r="R71" s="322"/>
      <c r="S71" s="322"/>
      <c r="T71" s="322"/>
      <c r="U71" s="322"/>
      <c r="V71" s="322"/>
      <c r="W71" s="322" t="s">
        <v>409</v>
      </c>
      <c r="X71" s="322"/>
      <c r="Y71" s="322"/>
    </row>
    <row r="72" spans="8:59" x14ac:dyDescent="0.4">
      <c r="H72" s="125" t="s">
        <v>410</v>
      </c>
      <c r="I72" s="125"/>
      <c r="J72" s="125"/>
      <c r="K72" s="125"/>
      <c r="L72" s="125"/>
      <c r="M72" s="125"/>
      <c r="N72" s="125"/>
      <c r="O72" s="322" t="s">
        <v>411</v>
      </c>
      <c r="P72" s="322"/>
      <c r="Q72" s="322"/>
      <c r="R72" s="322"/>
      <c r="S72" s="322"/>
      <c r="T72" s="322"/>
      <c r="U72" s="322"/>
      <c r="V72" s="322"/>
      <c r="W72" s="322" t="s">
        <v>412</v>
      </c>
      <c r="X72" s="322"/>
      <c r="Y72" s="322"/>
    </row>
    <row r="73" spans="8:59" x14ac:dyDescent="0.4">
      <c r="H73" s="125" t="s">
        <v>413</v>
      </c>
      <c r="I73" s="125"/>
      <c r="J73" s="125"/>
      <c r="K73" s="125"/>
      <c r="L73" s="125"/>
      <c r="M73" s="125"/>
      <c r="N73" s="125"/>
      <c r="O73" s="322" t="s">
        <v>414</v>
      </c>
      <c r="P73" s="322"/>
      <c r="Q73" s="322"/>
      <c r="R73" s="322"/>
      <c r="S73" s="322"/>
      <c r="T73" s="322"/>
      <c r="U73" s="322"/>
      <c r="V73" s="322"/>
      <c r="W73" s="322" t="s">
        <v>415</v>
      </c>
      <c r="X73" s="322"/>
      <c r="Y73" s="322"/>
    </row>
    <row r="74" spans="8:59" x14ac:dyDescent="0.4">
      <c r="H74" s="125" t="s">
        <v>416</v>
      </c>
      <c r="I74" s="125"/>
      <c r="J74" s="125"/>
      <c r="K74" s="125"/>
      <c r="L74" s="125"/>
      <c r="M74" s="125"/>
      <c r="N74" s="125"/>
      <c r="O74" s="322" t="s">
        <v>417</v>
      </c>
      <c r="P74" s="322"/>
      <c r="Q74" s="322"/>
      <c r="R74" s="322"/>
      <c r="S74" s="322"/>
      <c r="T74" s="322"/>
      <c r="U74" s="322"/>
      <c r="V74" s="322"/>
      <c r="W74" s="322" t="s">
        <v>418</v>
      </c>
      <c r="X74" s="322"/>
      <c r="Y74" s="322"/>
    </row>
    <row r="75" spans="8:59" x14ac:dyDescent="0.4">
      <c r="Q75" s="1"/>
      <c r="R75" s="1"/>
    </row>
    <row r="76" spans="8:59" ht="18.75" customHeight="1" x14ac:dyDescent="0.4">
      <c r="H76" s="33"/>
      <c r="I76" s="33"/>
      <c r="J76" s="33"/>
      <c r="K76" s="33"/>
      <c r="L76" s="33"/>
      <c r="M76" s="33"/>
      <c r="N76" s="33"/>
      <c r="O76" s="33"/>
      <c r="P76" s="33"/>
      <c r="Q76" s="33"/>
      <c r="R76" s="1"/>
      <c r="S76" s="1"/>
      <c r="T76" s="1"/>
      <c r="U76" s="1"/>
      <c r="V76" s="1"/>
      <c r="W76" s="1"/>
      <c r="X76" s="1"/>
      <c r="Y76" s="1"/>
      <c r="Z76" s="1"/>
      <c r="AA76" s="1"/>
      <c r="AB76" s="34"/>
      <c r="AC76" s="34"/>
      <c r="AD76" s="35"/>
      <c r="AE76" s="35"/>
      <c r="AF76" s="35"/>
      <c r="AG76" s="35"/>
      <c r="AH76" s="35"/>
      <c r="AI76" s="1"/>
      <c r="AJ76" s="1"/>
      <c r="AK76" s="7"/>
      <c r="AL76" s="7"/>
      <c r="AM76" s="7"/>
      <c r="AN76" s="7"/>
      <c r="AO76" s="7"/>
      <c r="AP76" s="7"/>
      <c r="AQ76" s="7"/>
      <c r="AR76" s="7"/>
      <c r="AS76" s="7"/>
      <c r="AT76" s="7"/>
      <c r="AU76" s="7"/>
      <c r="AV76" s="7"/>
      <c r="AW76" s="7"/>
      <c r="AX76" s="7"/>
      <c r="AY76" s="7"/>
      <c r="AZ76" s="7"/>
      <c r="BA76" s="7"/>
      <c r="BB76" s="7"/>
      <c r="BC76" s="7"/>
      <c r="BD76" s="7"/>
      <c r="BE76" s="7"/>
      <c r="BF76" s="7"/>
      <c r="BG76" s="7"/>
    </row>
    <row r="77" spans="8:59" x14ac:dyDescent="0.4">
      <c r="AD77" s="32"/>
      <c r="AE77" s="32"/>
      <c r="AF77" s="32"/>
      <c r="AG77" s="32"/>
      <c r="AH77" s="32"/>
    </row>
    <row r="78" spans="8:59" x14ac:dyDescent="0.4">
      <c r="H78" s="311" t="s">
        <v>450</v>
      </c>
      <c r="I78" s="312"/>
      <c r="J78" s="312"/>
      <c r="K78" s="312"/>
      <c r="L78" s="312"/>
      <c r="M78" s="312"/>
      <c r="N78" s="312"/>
      <c r="O78" s="312"/>
      <c r="P78" s="312"/>
      <c r="Q78" s="312"/>
      <c r="R78" s="312"/>
      <c r="S78" s="312"/>
      <c r="T78" s="312"/>
      <c r="U78" s="312"/>
      <c r="V78" s="312"/>
      <c r="W78" s="312"/>
      <c r="X78" s="312"/>
      <c r="Y78" s="312"/>
      <c r="Z78" s="312"/>
      <c r="AA78" s="312"/>
      <c r="AB78" s="312"/>
      <c r="AC78" s="312"/>
      <c r="AD78" s="312"/>
      <c r="AE78" s="312"/>
      <c r="AF78" s="312"/>
      <c r="AG78" s="312"/>
      <c r="AH78" s="312"/>
      <c r="AI78" s="312"/>
      <c r="AJ78" s="312"/>
      <c r="AK78" s="312"/>
      <c r="AL78" s="312"/>
      <c r="AM78" s="312"/>
      <c r="AN78" s="312"/>
      <c r="AO78" s="312"/>
      <c r="AP78" s="312"/>
      <c r="AQ78" s="312"/>
      <c r="AR78" s="312"/>
      <c r="AS78" s="312"/>
      <c r="AT78" s="312"/>
      <c r="AU78" s="312"/>
      <c r="AV78" s="312"/>
      <c r="AW78" s="312"/>
      <c r="AX78" s="312"/>
      <c r="AY78" s="312"/>
      <c r="AZ78" s="312"/>
      <c r="BA78" s="312"/>
      <c r="BB78" s="312"/>
      <c r="BC78" s="312"/>
      <c r="BD78" s="312"/>
      <c r="BE78" s="312"/>
      <c r="BF78" s="312"/>
      <c r="BG78" s="313"/>
    </row>
    <row r="79" spans="8:59" ht="18.75" customHeight="1" x14ac:dyDescent="0.4">
      <c r="H79" s="314" t="s">
        <v>419</v>
      </c>
      <c r="I79" s="314"/>
      <c r="J79" s="314"/>
      <c r="K79" s="314"/>
      <c r="L79" s="314"/>
      <c r="M79" s="314"/>
      <c r="N79" s="314"/>
      <c r="O79" s="314"/>
      <c r="P79" s="314"/>
      <c r="Q79" s="314"/>
      <c r="R79" s="314" t="s">
        <v>1</v>
      </c>
      <c r="S79" s="314"/>
      <c r="T79" s="314"/>
      <c r="U79" s="314"/>
      <c r="V79" s="314"/>
      <c r="W79" s="314"/>
      <c r="X79" s="314"/>
      <c r="Y79" s="314"/>
      <c r="Z79" s="314"/>
      <c r="AA79" s="314"/>
      <c r="AB79" s="315" t="s">
        <v>420</v>
      </c>
      <c r="AC79" s="316"/>
      <c r="AD79" s="317" t="s">
        <v>421</v>
      </c>
      <c r="AE79" s="318"/>
      <c r="AF79" s="318"/>
      <c r="AG79" s="318"/>
      <c r="AH79" s="319"/>
      <c r="AI79" s="320" t="s">
        <v>422</v>
      </c>
      <c r="AJ79" s="320"/>
      <c r="AK79" s="321" t="s">
        <v>423</v>
      </c>
      <c r="AL79" s="321"/>
      <c r="AM79" s="321"/>
      <c r="AN79" s="321"/>
      <c r="AO79" s="321"/>
      <c r="AP79" s="321"/>
      <c r="AQ79" s="321"/>
      <c r="AR79" s="321"/>
      <c r="AS79" s="321"/>
      <c r="AT79" s="321"/>
      <c r="AU79" s="321"/>
      <c r="AV79" s="321"/>
      <c r="AW79" s="321"/>
      <c r="AX79" s="321"/>
      <c r="AY79" s="321"/>
      <c r="AZ79" s="321"/>
      <c r="BA79" s="321"/>
      <c r="BB79" s="321"/>
      <c r="BC79" s="321"/>
      <c r="BD79" s="321"/>
      <c r="BE79" s="321"/>
      <c r="BF79" s="321"/>
      <c r="BG79" s="321"/>
    </row>
    <row r="80" spans="8:59" x14ac:dyDescent="0.4">
      <c r="H80" s="134" t="s">
        <v>424</v>
      </c>
      <c r="I80" s="135"/>
      <c r="J80" s="135"/>
      <c r="K80" s="135"/>
      <c r="L80" s="135"/>
      <c r="M80" s="135"/>
      <c r="N80" s="135"/>
      <c r="O80" s="135"/>
      <c r="P80" s="135"/>
      <c r="Q80" s="136"/>
      <c r="R80" s="134" t="s">
        <v>451</v>
      </c>
      <c r="S80" s="135"/>
      <c r="T80" s="135"/>
      <c r="U80" s="135"/>
      <c r="V80" s="135"/>
      <c r="W80" s="135"/>
      <c r="X80" s="135"/>
      <c r="Y80" s="135"/>
      <c r="Z80" s="135"/>
      <c r="AA80" s="136"/>
      <c r="AB80" s="248" t="s">
        <v>425</v>
      </c>
      <c r="AC80" s="244"/>
      <c r="AD80" s="248" t="s">
        <v>426</v>
      </c>
      <c r="AE80" s="243"/>
      <c r="AF80" s="243"/>
      <c r="AG80" s="243"/>
      <c r="AH80" s="244"/>
      <c r="AI80" s="134" t="s">
        <v>427</v>
      </c>
      <c r="AJ80" s="136"/>
      <c r="AK80" s="308" t="s">
        <v>452</v>
      </c>
      <c r="AL80" s="309"/>
      <c r="AM80" s="309"/>
      <c r="AN80" s="309"/>
      <c r="AO80" s="309"/>
      <c r="AP80" s="309"/>
      <c r="AQ80" s="309"/>
      <c r="AR80" s="309"/>
      <c r="AS80" s="309"/>
      <c r="AT80" s="309"/>
      <c r="AU80" s="309"/>
      <c r="AV80" s="309"/>
      <c r="AW80" s="309"/>
      <c r="AX80" s="309"/>
      <c r="AY80" s="309"/>
      <c r="AZ80" s="309"/>
      <c r="BA80" s="309"/>
      <c r="BB80" s="309"/>
      <c r="BC80" s="309"/>
      <c r="BD80" s="309"/>
      <c r="BE80" s="309"/>
      <c r="BF80" s="309"/>
      <c r="BG80" s="310"/>
    </row>
    <row r="81" spans="8:59" x14ac:dyDescent="0.4">
      <c r="H81" s="189" t="s">
        <v>453</v>
      </c>
      <c r="I81" s="305"/>
      <c r="J81" s="305"/>
      <c r="K81" s="305"/>
      <c r="L81" s="305"/>
      <c r="M81" s="305"/>
      <c r="N81" s="305"/>
      <c r="O81" s="305"/>
      <c r="P81" s="305"/>
      <c r="Q81" s="190"/>
      <c r="R81" s="189" t="s">
        <v>454</v>
      </c>
      <c r="S81" s="305"/>
      <c r="T81" s="305"/>
      <c r="U81" s="305"/>
      <c r="V81" s="305"/>
      <c r="W81" s="305"/>
      <c r="X81" s="305"/>
      <c r="Y81" s="305"/>
      <c r="Z81" s="305"/>
      <c r="AA81" s="190"/>
      <c r="AB81" s="226" t="s">
        <v>425</v>
      </c>
      <c r="AC81" s="227"/>
      <c r="AD81" s="226" t="s">
        <v>455</v>
      </c>
      <c r="AE81" s="307"/>
      <c r="AF81" s="307"/>
      <c r="AG81" s="307"/>
      <c r="AH81" s="227"/>
      <c r="AI81" s="189" t="s">
        <v>428</v>
      </c>
      <c r="AJ81" s="190"/>
      <c r="AK81" s="193" t="s">
        <v>456</v>
      </c>
      <c r="AL81" s="194"/>
      <c r="AM81" s="194"/>
      <c r="AN81" s="194"/>
      <c r="AO81" s="194"/>
      <c r="AP81" s="194"/>
      <c r="AQ81" s="194"/>
      <c r="AR81" s="194"/>
      <c r="AS81" s="194"/>
      <c r="AT81" s="194"/>
      <c r="AU81" s="194"/>
      <c r="AV81" s="194"/>
      <c r="AW81" s="194"/>
      <c r="AX81" s="194"/>
      <c r="AY81" s="194"/>
      <c r="AZ81" s="194"/>
      <c r="BA81" s="194"/>
      <c r="BB81" s="194"/>
      <c r="BC81" s="194"/>
      <c r="BD81" s="194"/>
      <c r="BE81" s="194"/>
      <c r="BF81" s="194"/>
      <c r="BG81" s="195"/>
    </row>
    <row r="82" spans="8:59" x14ac:dyDescent="0.4">
      <c r="H82" s="191"/>
      <c r="I82" s="306"/>
      <c r="J82" s="306"/>
      <c r="K82" s="306"/>
      <c r="L82" s="306"/>
      <c r="M82" s="306"/>
      <c r="N82" s="306"/>
      <c r="O82" s="306"/>
      <c r="P82" s="306"/>
      <c r="Q82" s="192"/>
      <c r="R82" s="191"/>
      <c r="S82" s="306"/>
      <c r="T82" s="306"/>
      <c r="U82" s="306"/>
      <c r="V82" s="306"/>
      <c r="W82" s="306"/>
      <c r="X82" s="306"/>
      <c r="Y82" s="306"/>
      <c r="Z82" s="306"/>
      <c r="AA82" s="192"/>
      <c r="AB82" s="228"/>
      <c r="AC82" s="229"/>
      <c r="AD82" s="228"/>
      <c r="AE82" s="182"/>
      <c r="AF82" s="182"/>
      <c r="AG82" s="182"/>
      <c r="AH82" s="229"/>
      <c r="AI82" s="191"/>
      <c r="AJ82" s="192"/>
      <c r="AK82" s="196"/>
      <c r="AL82" s="197"/>
      <c r="AM82" s="197"/>
      <c r="AN82" s="197"/>
      <c r="AO82" s="197"/>
      <c r="AP82" s="197"/>
      <c r="AQ82" s="197"/>
      <c r="AR82" s="197"/>
      <c r="AS82" s="197"/>
      <c r="AT82" s="197"/>
      <c r="AU82" s="197"/>
      <c r="AV82" s="197"/>
      <c r="AW82" s="197"/>
      <c r="AX82" s="197"/>
      <c r="AY82" s="197"/>
      <c r="AZ82" s="197"/>
      <c r="BA82" s="197"/>
      <c r="BB82" s="197"/>
      <c r="BC82" s="197"/>
      <c r="BD82" s="197"/>
      <c r="BE82" s="197"/>
      <c r="BF82" s="197"/>
      <c r="BG82" s="198"/>
    </row>
    <row r="83" spans="8:59" x14ac:dyDescent="0.4">
      <c r="H83" s="191"/>
      <c r="I83" s="306"/>
      <c r="J83" s="306"/>
      <c r="K83" s="306"/>
      <c r="L83" s="306"/>
      <c r="M83" s="306"/>
      <c r="N83" s="306"/>
      <c r="O83" s="306"/>
      <c r="P83" s="306"/>
      <c r="Q83" s="192"/>
      <c r="R83" s="191"/>
      <c r="S83" s="306"/>
      <c r="T83" s="306"/>
      <c r="U83" s="306"/>
      <c r="V83" s="306"/>
      <c r="W83" s="306"/>
      <c r="X83" s="306"/>
      <c r="Y83" s="306"/>
      <c r="Z83" s="306"/>
      <c r="AA83" s="192"/>
      <c r="AB83" s="228"/>
      <c r="AC83" s="229"/>
      <c r="AD83" s="228"/>
      <c r="AE83" s="182"/>
      <c r="AF83" s="182"/>
      <c r="AG83" s="182"/>
      <c r="AH83" s="229"/>
      <c r="AI83" s="191"/>
      <c r="AJ83" s="192"/>
      <c r="AK83" s="196"/>
      <c r="AL83" s="197"/>
      <c r="AM83" s="197"/>
      <c r="AN83" s="197"/>
      <c r="AO83" s="197"/>
      <c r="AP83" s="197"/>
      <c r="AQ83" s="197"/>
      <c r="AR83" s="197"/>
      <c r="AS83" s="197"/>
      <c r="AT83" s="197"/>
      <c r="AU83" s="197"/>
      <c r="AV83" s="197"/>
      <c r="AW83" s="197"/>
      <c r="AX83" s="197"/>
      <c r="AY83" s="197"/>
      <c r="AZ83" s="197"/>
      <c r="BA83" s="197"/>
      <c r="BB83" s="197"/>
      <c r="BC83" s="197"/>
      <c r="BD83" s="197"/>
      <c r="BE83" s="197"/>
      <c r="BF83" s="197"/>
      <c r="BG83" s="198"/>
    </row>
    <row r="84" spans="8:59" x14ac:dyDescent="0.4">
      <c r="H84" s="283" t="s">
        <v>457</v>
      </c>
      <c r="I84" s="294"/>
      <c r="J84" s="294"/>
      <c r="K84" s="294"/>
      <c r="L84" s="294"/>
      <c r="M84" s="294"/>
      <c r="N84" s="294"/>
      <c r="O84" s="294"/>
      <c r="P84" s="294"/>
      <c r="Q84" s="284"/>
      <c r="R84" s="283" t="s">
        <v>458</v>
      </c>
      <c r="S84" s="294"/>
      <c r="T84" s="294"/>
      <c r="U84" s="294"/>
      <c r="V84" s="294"/>
      <c r="W84" s="294"/>
      <c r="X84" s="294"/>
      <c r="Y84" s="294"/>
      <c r="Z84" s="294"/>
      <c r="AA84" s="284"/>
      <c r="AB84" s="277" t="s">
        <v>459</v>
      </c>
      <c r="AC84" s="278"/>
      <c r="AD84" s="277" t="s">
        <v>460</v>
      </c>
      <c r="AE84" s="281"/>
      <c r="AF84" s="281"/>
      <c r="AG84" s="281"/>
      <c r="AH84" s="278"/>
      <c r="AI84" s="283" t="s">
        <v>428</v>
      </c>
      <c r="AJ84" s="284"/>
      <c r="AK84" s="287" t="s">
        <v>461</v>
      </c>
      <c r="AL84" s="288"/>
      <c r="AM84" s="288"/>
      <c r="AN84" s="288"/>
      <c r="AO84" s="288"/>
      <c r="AP84" s="288"/>
      <c r="AQ84" s="288"/>
      <c r="AR84" s="288"/>
      <c r="AS84" s="288"/>
      <c r="AT84" s="288"/>
      <c r="AU84" s="288"/>
      <c r="AV84" s="288"/>
      <c r="AW84" s="288"/>
      <c r="AX84" s="288"/>
      <c r="AY84" s="288"/>
      <c r="AZ84" s="288"/>
      <c r="BA84" s="288"/>
      <c r="BB84" s="288"/>
      <c r="BC84" s="288"/>
      <c r="BD84" s="288"/>
      <c r="BE84" s="288"/>
      <c r="BF84" s="288"/>
      <c r="BG84" s="289"/>
    </row>
    <row r="85" spans="8:59" x14ac:dyDescent="0.4">
      <c r="H85" s="295"/>
      <c r="I85" s="296"/>
      <c r="J85" s="296"/>
      <c r="K85" s="296"/>
      <c r="L85" s="296"/>
      <c r="M85" s="296"/>
      <c r="N85" s="296"/>
      <c r="O85" s="296"/>
      <c r="P85" s="296"/>
      <c r="Q85" s="297"/>
      <c r="R85" s="295"/>
      <c r="S85" s="296"/>
      <c r="T85" s="296"/>
      <c r="U85" s="296"/>
      <c r="V85" s="296"/>
      <c r="W85" s="296"/>
      <c r="X85" s="296"/>
      <c r="Y85" s="296"/>
      <c r="Z85" s="296"/>
      <c r="AA85" s="297"/>
      <c r="AB85" s="299"/>
      <c r="AC85" s="300"/>
      <c r="AD85" s="299"/>
      <c r="AE85" s="301"/>
      <c r="AF85" s="301"/>
      <c r="AG85" s="301"/>
      <c r="AH85" s="300"/>
      <c r="AI85" s="295"/>
      <c r="AJ85" s="297"/>
      <c r="AK85" s="302"/>
      <c r="AL85" s="303"/>
      <c r="AM85" s="303"/>
      <c r="AN85" s="303"/>
      <c r="AO85" s="303"/>
      <c r="AP85" s="303"/>
      <c r="AQ85" s="303"/>
      <c r="AR85" s="303"/>
      <c r="AS85" s="303"/>
      <c r="AT85" s="303"/>
      <c r="AU85" s="303"/>
      <c r="AV85" s="303"/>
      <c r="AW85" s="303"/>
      <c r="AX85" s="303"/>
      <c r="AY85" s="303"/>
      <c r="AZ85" s="303"/>
      <c r="BA85" s="303"/>
      <c r="BB85" s="303"/>
      <c r="BC85" s="303"/>
      <c r="BD85" s="303"/>
      <c r="BE85" s="303"/>
      <c r="BF85" s="303"/>
      <c r="BG85" s="304"/>
    </row>
    <row r="86" spans="8:59" x14ac:dyDescent="0.4">
      <c r="H86" s="295"/>
      <c r="I86" s="296"/>
      <c r="J86" s="296"/>
      <c r="K86" s="296"/>
      <c r="L86" s="296"/>
      <c r="M86" s="296"/>
      <c r="N86" s="296"/>
      <c r="O86" s="296"/>
      <c r="P86" s="296"/>
      <c r="Q86" s="297"/>
      <c r="R86" s="295"/>
      <c r="S86" s="296"/>
      <c r="T86" s="296"/>
      <c r="U86" s="296"/>
      <c r="V86" s="296"/>
      <c r="W86" s="296"/>
      <c r="X86" s="296"/>
      <c r="Y86" s="296"/>
      <c r="Z86" s="296"/>
      <c r="AA86" s="297"/>
      <c r="AB86" s="299"/>
      <c r="AC86" s="300"/>
      <c r="AD86" s="299"/>
      <c r="AE86" s="301"/>
      <c r="AF86" s="301"/>
      <c r="AG86" s="301"/>
      <c r="AH86" s="300"/>
      <c r="AI86" s="295"/>
      <c r="AJ86" s="297"/>
      <c r="AK86" s="302"/>
      <c r="AL86" s="303"/>
      <c r="AM86" s="303"/>
      <c r="AN86" s="303"/>
      <c r="AO86" s="303"/>
      <c r="AP86" s="303"/>
      <c r="AQ86" s="303"/>
      <c r="AR86" s="303"/>
      <c r="AS86" s="303"/>
      <c r="AT86" s="303"/>
      <c r="AU86" s="303"/>
      <c r="AV86" s="303"/>
      <c r="AW86" s="303"/>
      <c r="AX86" s="303"/>
      <c r="AY86" s="303"/>
      <c r="AZ86" s="303"/>
      <c r="BA86" s="303"/>
      <c r="BB86" s="303"/>
      <c r="BC86" s="303"/>
      <c r="BD86" s="303"/>
      <c r="BE86" s="303"/>
      <c r="BF86" s="303"/>
      <c r="BG86" s="304"/>
    </row>
    <row r="87" spans="8:59" ht="18.75" customHeight="1" x14ac:dyDescent="0.4">
      <c r="H87" s="285"/>
      <c r="I87" s="298"/>
      <c r="J87" s="298"/>
      <c r="K87" s="298"/>
      <c r="L87" s="298"/>
      <c r="M87" s="298"/>
      <c r="N87" s="298"/>
      <c r="O87" s="298"/>
      <c r="P87" s="298"/>
      <c r="Q87" s="286"/>
      <c r="R87" s="285"/>
      <c r="S87" s="298"/>
      <c r="T87" s="298"/>
      <c r="U87" s="298"/>
      <c r="V87" s="298"/>
      <c r="W87" s="298"/>
      <c r="X87" s="298"/>
      <c r="Y87" s="298"/>
      <c r="Z87" s="298"/>
      <c r="AA87" s="286"/>
      <c r="AB87" s="256" t="s">
        <v>448</v>
      </c>
      <c r="AC87" s="258"/>
      <c r="AD87" s="256" t="s">
        <v>245</v>
      </c>
      <c r="AE87" s="257"/>
      <c r="AF87" s="257"/>
      <c r="AG87" s="257"/>
      <c r="AH87" s="258"/>
      <c r="AI87" s="259" t="s">
        <v>245</v>
      </c>
      <c r="AJ87" s="260"/>
      <c r="AK87" s="265" t="s">
        <v>244</v>
      </c>
      <c r="AL87" s="266"/>
      <c r="AM87" s="266"/>
      <c r="AN87" s="266"/>
      <c r="AO87" s="266"/>
      <c r="AP87" s="266"/>
      <c r="AQ87" s="266"/>
      <c r="AR87" s="266"/>
      <c r="AS87" s="266"/>
      <c r="AT87" s="266"/>
      <c r="AU87" s="266"/>
      <c r="AV87" s="266"/>
      <c r="AW87" s="266"/>
      <c r="AX87" s="266"/>
      <c r="AY87" s="266"/>
      <c r="AZ87" s="266"/>
      <c r="BA87" s="266"/>
      <c r="BB87" s="266"/>
      <c r="BC87" s="266"/>
      <c r="BD87" s="266"/>
      <c r="BE87" s="266"/>
      <c r="BF87" s="266"/>
      <c r="BG87" s="267"/>
    </row>
    <row r="88" spans="8:59" x14ac:dyDescent="0.4">
      <c r="H88" s="268" t="s">
        <v>462</v>
      </c>
      <c r="I88" s="269"/>
      <c r="J88" s="269"/>
      <c r="K88" s="269"/>
      <c r="L88" s="269"/>
      <c r="M88" s="269"/>
      <c r="N88" s="269"/>
      <c r="O88" s="269"/>
      <c r="P88" s="269"/>
      <c r="Q88" s="270"/>
      <c r="R88" s="268" t="s">
        <v>463</v>
      </c>
      <c r="S88" s="269"/>
      <c r="T88" s="269"/>
      <c r="U88" s="269"/>
      <c r="V88" s="269"/>
      <c r="W88" s="269"/>
      <c r="X88" s="269"/>
      <c r="Y88" s="269"/>
      <c r="Z88" s="269"/>
      <c r="AA88" s="270"/>
      <c r="AB88" s="277" t="s">
        <v>429</v>
      </c>
      <c r="AC88" s="278"/>
      <c r="AD88" s="277" t="s">
        <v>430</v>
      </c>
      <c r="AE88" s="281"/>
      <c r="AF88" s="281"/>
      <c r="AG88" s="281"/>
      <c r="AH88" s="278"/>
      <c r="AI88" s="283" t="s">
        <v>428</v>
      </c>
      <c r="AJ88" s="284"/>
      <c r="AK88" s="287" t="s">
        <v>464</v>
      </c>
      <c r="AL88" s="288"/>
      <c r="AM88" s="288"/>
      <c r="AN88" s="288"/>
      <c r="AO88" s="288"/>
      <c r="AP88" s="288"/>
      <c r="AQ88" s="288"/>
      <c r="AR88" s="288"/>
      <c r="AS88" s="288"/>
      <c r="AT88" s="288"/>
      <c r="AU88" s="288"/>
      <c r="AV88" s="288"/>
      <c r="AW88" s="288"/>
      <c r="AX88" s="288"/>
      <c r="AY88" s="288"/>
      <c r="AZ88" s="288"/>
      <c r="BA88" s="288"/>
      <c r="BB88" s="288"/>
      <c r="BC88" s="288"/>
      <c r="BD88" s="288"/>
      <c r="BE88" s="288"/>
      <c r="BF88" s="288"/>
      <c r="BG88" s="289"/>
    </row>
    <row r="89" spans="8:59" x14ac:dyDescent="0.4">
      <c r="H89" s="271"/>
      <c r="I89" s="272"/>
      <c r="J89" s="272"/>
      <c r="K89" s="272"/>
      <c r="L89" s="272"/>
      <c r="M89" s="272"/>
      <c r="N89" s="272"/>
      <c r="O89" s="272"/>
      <c r="P89" s="272"/>
      <c r="Q89" s="273"/>
      <c r="R89" s="271"/>
      <c r="S89" s="272"/>
      <c r="T89" s="272"/>
      <c r="U89" s="272"/>
      <c r="V89" s="272"/>
      <c r="W89" s="272"/>
      <c r="X89" s="272"/>
      <c r="Y89" s="272"/>
      <c r="Z89" s="272"/>
      <c r="AA89" s="273"/>
      <c r="AB89" s="279"/>
      <c r="AC89" s="280"/>
      <c r="AD89" s="279"/>
      <c r="AE89" s="282"/>
      <c r="AF89" s="282"/>
      <c r="AG89" s="282"/>
      <c r="AH89" s="280"/>
      <c r="AI89" s="285"/>
      <c r="AJ89" s="286"/>
      <c r="AK89" s="290"/>
      <c r="AL89" s="291"/>
      <c r="AM89" s="291"/>
      <c r="AN89" s="291"/>
      <c r="AO89" s="291"/>
      <c r="AP89" s="291"/>
      <c r="AQ89" s="291"/>
      <c r="AR89" s="291"/>
      <c r="AS89" s="291"/>
      <c r="AT89" s="291"/>
      <c r="AU89" s="291"/>
      <c r="AV89" s="291"/>
      <c r="AW89" s="291"/>
      <c r="AX89" s="291"/>
      <c r="AY89" s="291"/>
      <c r="AZ89" s="291"/>
      <c r="BA89" s="291"/>
      <c r="BB89" s="291"/>
      <c r="BC89" s="291"/>
      <c r="BD89" s="291"/>
      <c r="BE89" s="291"/>
      <c r="BF89" s="291"/>
      <c r="BG89" s="292"/>
    </row>
    <row r="90" spans="8:59" x14ac:dyDescent="0.4">
      <c r="H90" s="271"/>
      <c r="I90" s="272"/>
      <c r="J90" s="272"/>
      <c r="K90" s="272"/>
      <c r="L90" s="272"/>
      <c r="M90" s="272"/>
      <c r="N90" s="272"/>
      <c r="O90" s="272"/>
      <c r="P90" s="272"/>
      <c r="Q90" s="273"/>
      <c r="R90" s="271"/>
      <c r="S90" s="272"/>
      <c r="T90" s="272"/>
      <c r="U90" s="272"/>
      <c r="V90" s="272"/>
      <c r="W90" s="272"/>
      <c r="X90" s="272"/>
      <c r="Y90" s="272"/>
      <c r="Z90" s="272"/>
      <c r="AA90" s="273"/>
      <c r="AB90" s="238" t="s">
        <v>431</v>
      </c>
      <c r="AC90" s="239"/>
      <c r="AD90" s="238" t="s">
        <v>433</v>
      </c>
      <c r="AE90" s="240"/>
      <c r="AF90" s="240"/>
      <c r="AG90" s="240"/>
      <c r="AH90" s="239"/>
      <c r="AI90" s="241" t="s">
        <v>428</v>
      </c>
      <c r="AJ90" s="241"/>
      <c r="AK90" s="293" t="s">
        <v>465</v>
      </c>
      <c r="AL90" s="293"/>
      <c r="AM90" s="293"/>
      <c r="AN90" s="293"/>
      <c r="AO90" s="293"/>
      <c r="AP90" s="293"/>
      <c r="AQ90" s="293"/>
      <c r="AR90" s="293"/>
      <c r="AS90" s="293"/>
      <c r="AT90" s="293"/>
      <c r="AU90" s="293"/>
      <c r="AV90" s="293"/>
      <c r="AW90" s="293"/>
      <c r="AX90" s="293"/>
      <c r="AY90" s="293"/>
      <c r="AZ90" s="293"/>
      <c r="BA90" s="293"/>
      <c r="BB90" s="293"/>
      <c r="BC90" s="293"/>
      <c r="BD90" s="293"/>
      <c r="BE90" s="293"/>
      <c r="BF90" s="293"/>
      <c r="BG90" s="293"/>
    </row>
    <row r="91" spans="8:59" x14ac:dyDescent="0.4">
      <c r="H91" s="271"/>
      <c r="I91" s="272"/>
      <c r="J91" s="272"/>
      <c r="K91" s="272"/>
      <c r="L91" s="272"/>
      <c r="M91" s="272"/>
      <c r="N91" s="272"/>
      <c r="O91" s="272"/>
      <c r="P91" s="272"/>
      <c r="Q91" s="273"/>
      <c r="R91" s="271"/>
      <c r="S91" s="272"/>
      <c r="T91" s="272"/>
      <c r="U91" s="272"/>
      <c r="V91" s="272"/>
      <c r="W91" s="272"/>
      <c r="X91" s="272"/>
      <c r="Y91" s="272"/>
      <c r="Z91" s="272"/>
      <c r="AA91" s="273"/>
      <c r="AB91" s="238" t="s">
        <v>432</v>
      </c>
      <c r="AC91" s="239"/>
      <c r="AD91" s="238" t="s">
        <v>435</v>
      </c>
      <c r="AE91" s="240"/>
      <c r="AF91" s="240"/>
      <c r="AG91" s="240"/>
      <c r="AH91" s="239"/>
      <c r="AI91" s="241" t="s">
        <v>428</v>
      </c>
      <c r="AJ91" s="241"/>
      <c r="AK91" s="293" t="s">
        <v>466</v>
      </c>
      <c r="AL91" s="293"/>
      <c r="AM91" s="293"/>
      <c r="AN91" s="293"/>
      <c r="AO91" s="293"/>
      <c r="AP91" s="293"/>
      <c r="AQ91" s="293"/>
      <c r="AR91" s="293"/>
      <c r="AS91" s="293"/>
      <c r="AT91" s="293"/>
      <c r="AU91" s="293"/>
      <c r="AV91" s="293"/>
      <c r="AW91" s="293"/>
      <c r="AX91" s="293"/>
      <c r="AY91" s="293"/>
      <c r="AZ91" s="293"/>
      <c r="BA91" s="293"/>
      <c r="BB91" s="293"/>
      <c r="BC91" s="293"/>
      <c r="BD91" s="293"/>
      <c r="BE91" s="293"/>
      <c r="BF91" s="293"/>
      <c r="BG91" s="293"/>
    </row>
    <row r="92" spans="8:59" x14ac:dyDescent="0.4">
      <c r="H92" s="271"/>
      <c r="I92" s="272"/>
      <c r="J92" s="272"/>
      <c r="K92" s="272"/>
      <c r="L92" s="272"/>
      <c r="M92" s="272"/>
      <c r="N92" s="272"/>
      <c r="O92" s="272"/>
      <c r="P92" s="272"/>
      <c r="Q92" s="273"/>
      <c r="R92" s="271"/>
      <c r="S92" s="272"/>
      <c r="T92" s="272"/>
      <c r="U92" s="272"/>
      <c r="V92" s="272"/>
      <c r="W92" s="272"/>
      <c r="X92" s="272"/>
      <c r="Y92" s="272"/>
      <c r="Z92" s="272"/>
      <c r="AA92" s="273"/>
      <c r="AB92" s="238" t="s">
        <v>434</v>
      </c>
      <c r="AC92" s="239"/>
      <c r="AD92" s="238" t="s">
        <v>437</v>
      </c>
      <c r="AE92" s="240"/>
      <c r="AF92" s="240"/>
      <c r="AG92" s="240"/>
      <c r="AH92" s="239"/>
      <c r="AI92" s="241" t="s">
        <v>428</v>
      </c>
      <c r="AJ92" s="241"/>
      <c r="AK92" s="262" t="s">
        <v>467</v>
      </c>
      <c r="AL92" s="263"/>
      <c r="AM92" s="263"/>
      <c r="AN92" s="263"/>
      <c r="AO92" s="263"/>
      <c r="AP92" s="263"/>
      <c r="AQ92" s="263"/>
      <c r="AR92" s="263"/>
      <c r="AS92" s="263"/>
      <c r="AT92" s="263"/>
      <c r="AU92" s="263"/>
      <c r="AV92" s="263"/>
      <c r="AW92" s="263"/>
      <c r="AX92" s="263"/>
      <c r="AY92" s="263"/>
      <c r="AZ92" s="263"/>
      <c r="BA92" s="263"/>
      <c r="BB92" s="263"/>
      <c r="BC92" s="263"/>
      <c r="BD92" s="263"/>
      <c r="BE92" s="263"/>
      <c r="BF92" s="263"/>
      <c r="BG92" s="264"/>
    </row>
    <row r="93" spans="8:59" x14ac:dyDescent="0.4">
      <c r="H93" s="271"/>
      <c r="I93" s="272"/>
      <c r="J93" s="272"/>
      <c r="K93" s="272"/>
      <c r="L93" s="272"/>
      <c r="M93" s="272"/>
      <c r="N93" s="272"/>
      <c r="O93" s="272"/>
      <c r="P93" s="272"/>
      <c r="Q93" s="273"/>
      <c r="R93" s="271"/>
      <c r="S93" s="272"/>
      <c r="T93" s="272"/>
      <c r="U93" s="272"/>
      <c r="V93" s="272"/>
      <c r="W93" s="272"/>
      <c r="X93" s="272"/>
      <c r="Y93" s="272"/>
      <c r="Z93" s="272"/>
      <c r="AA93" s="273"/>
      <c r="AB93" s="238" t="s">
        <v>436</v>
      </c>
      <c r="AC93" s="239"/>
      <c r="AD93" s="238" t="s">
        <v>439</v>
      </c>
      <c r="AE93" s="240"/>
      <c r="AF93" s="240"/>
      <c r="AG93" s="240"/>
      <c r="AH93" s="239"/>
      <c r="AI93" s="241" t="s">
        <v>428</v>
      </c>
      <c r="AJ93" s="241"/>
      <c r="AK93" s="262" t="s">
        <v>468</v>
      </c>
      <c r="AL93" s="263"/>
      <c r="AM93" s="263"/>
      <c r="AN93" s="263"/>
      <c r="AO93" s="263"/>
      <c r="AP93" s="263"/>
      <c r="AQ93" s="263"/>
      <c r="AR93" s="263"/>
      <c r="AS93" s="263"/>
      <c r="AT93" s="263"/>
      <c r="AU93" s="263"/>
      <c r="AV93" s="263"/>
      <c r="AW93" s="263"/>
      <c r="AX93" s="263"/>
      <c r="AY93" s="263"/>
      <c r="AZ93" s="263"/>
      <c r="BA93" s="263"/>
      <c r="BB93" s="263"/>
      <c r="BC93" s="263"/>
      <c r="BD93" s="263"/>
      <c r="BE93" s="263"/>
      <c r="BF93" s="263"/>
      <c r="BG93" s="264"/>
    </row>
    <row r="94" spans="8:59" x14ac:dyDescent="0.4">
      <c r="H94" s="271"/>
      <c r="I94" s="272"/>
      <c r="J94" s="272"/>
      <c r="K94" s="272"/>
      <c r="L94" s="272"/>
      <c r="M94" s="272"/>
      <c r="N94" s="272"/>
      <c r="O94" s="272"/>
      <c r="P94" s="272"/>
      <c r="Q94" s="273"/>
      <c r="R94" s="271"/>
      <c r="S94" s="272"/>
      <c r="T94" s="272"/>
      <c r="U94" s="272"/>
      <c r="V94" s="272"/>
      <c r="W94" s="272"/>
      <c r="X94" s="272"/>
      <c r="Y94" s="272"/>
      <c r="Z94" s="272"/>
      <c r="AA94" s="273"/>
      <c r="AB94" s="238" t="s">
        <v>438</v>
      </c>
      <c r="AC94" s="239"/>
      <c r="AD94" s="238" t="s">
        <v>441</v>
      </c>
      <c r="AE94" s="240"/>
      <c r="AF94" s="240"/>
      <c r="AG94" s="240"/>
      <c r="AH94" s="239"/>
      <c r="AI94" s="241" t="s">
        <v>428</v>
      </c>
      <c r="AJ94" s="241"/>
      <c r="AK94" s="262" t="s">
        <v>469</v>
      </c>
      <c r="AL94" s="263"/>
      <c r="AM94" s="263"/>
      <c r="AN94" s="263"/>
      <c r="AO94" s="263"/>
      <c r="AP94" s="263"/>
      <c r="AQ94" s="263"/>
      <c r="AR94" s="263"/>
      <c r="AS94" s="263"/>
      <c r="AT94" s="263"/>
      <c r="AU94" s="263"/>
      <c r="AV94" s="263"/>
      <c r="AW94" s="263"/>
      <c r="AX94" s="263"/>
      <c r="AY94" s="263"/>
      <c r="AZ94" s="263"/>
      <c r="BA94" s="263"/>
      <c r="BB94" s="263"/>
      <c r="BC94" s="263"/>
      <c r="BD94" s="263"/>
      <c r="BE94" s="263"/>
      <c r="BF94" s="263"/>
      <c r="BG94" s="264"/>
    </row>
    <row r="95" spans="8:59" x14ac:dyDescent="0.4">
      <c r="H95" s="271"/>
      <c r="I95" s="272"/>
      <c r="J95" s="272"/>
      <c r="K95" s="272"/>
      <c r="L95" s="272"/>
      <c r="M95" s="272"/>
      <c r="N95" s="272"/>
      <c r="O95" s="272"/>
      <c r="P95" s="272"/>
      <c r="Q95" s="273"/>
      <c r="R95" s="271"/>
      <c r="S95" s="272"/>
      <c r="T95" s="272"/>
      <c r="U95" s="272"/>
      <c r="V95" s="272"/>
      <c r="W95" s="272"/>
      <c r="X95" s="272"/>
      <c r="Y95" s="272"/>
      <c r="Z95" s="272"/>
      <c r="AA95" s="273"/>
      <c r="AB95" s="238" t="s">
        <v>440</v>
      </c>
      <c r="AC95" s="239"/>
      <c r="AD95" s="238" t="s">
        <v>470</v>
      </c>
      <c r="AE95" s="240"/>
      <c r="AF95" s="240"/>
      <c r="AG95" s="240"/>
      <c r="AH95" s="239"/>
      <c r="AI95" s="241" t="s">
        <v>428</v>
      </c>
      <c r="AJ95" s="241"/>
      <c r="AK95" s="262" t="s">
        <v>471</v>
      </c>
      <c r="AL95" s="263"/>
      <c r="AM95" s="263"/>
      <c r="AN95" s="263"/>
      <c r="AO95" s="263"/>
      <c r="AP95" s="263"/>
      <c r="AQ95" s="263"/>
      <c r="AR95" s="263"/>
      <c r="AS95" s="263"/>
      <c r="AT95" s="263"/>
      <c r="AU95" s="263"/>
      <c r="AV95" s="263"/>
      <c r="AW95" s="263"/>
      <c r="AX95" s="263"/>
      <c r="AY95" s="263"/>
      <c r="AZ95" s="263"/>
      <c r="BA95" s="263"/>
      <c r="BB95" s="263"/>
      <c r="BC95" s="263"/>
      <c r="BD95" s="263"/>
      <c r="BE95" s="263"/>
      <c r="BF95" s="263"/>
      <c r="BG95" s="264"/>
    </row>
    <row r="96" spans="8:59" x14ac:dyDescent="0.4">
      <c r="H96" s="274"/>
      <c r="I96" s="275"/>
      <c r="J96" s="275"/>
      <c r="K96" s="275"/>
      <c r="L96" s="275"/>
      <c r="M96" s="275"/>
      <c r="N96" s="275"/>
      <c r="O96" s="275"/>
      <c r="P96" s="275"/>
      <c r="Q96" s="276"/>
      <c r="R96" s="274"/>
      <c r="S96" s="275"/>
      <c r="T96" s="275"/>
      <c r="U96" s="275"/>
      <c r="V96" s="275"/>
      <c r="W96" s="275"/>
      <c r="X96" s="275"/>
      <c r="Y96" s="275"/>
      <c r="Z96" s="275"/>
      <c r="AA96" s="276"/>
      <c r="AB96" s="256" t="s">
        <v>447</v>
      </c>
      <c r="AC96" s="258"/>
      <c r="AD96" s="256" t="s">
        <v>245</v>
      </c>
      <c r="AE96" s="257"/>
      <c r="AF96" s="257"/>
      <c r="AG96" s="257"/>
      <c r="AH96" s="258"/>
      <c r="AI96" s="259" t="s">
        <v>245</v>
      </c>
      <c r="AJ96" s="260"/>
      <c r="AK96" s="265" t="s">
        <v>244</v>
      </c>
      <c r="AL96" s="266"/>
      <c r="AM96" s="266"/>
      <c r="AN96" s="266"/>
      <c r="AO96" s="266"/>
      <c r="AP96" s="266"/>
      <c r="AQ96" s="266"/>
      <c r="AR96" s="266"/>
      <c r="AS96" s="266"/>
      <c r="AT96" s="266"/>
      <c r="AU96" s="266"/>
      <c r="AV96" s="266"/>
      <c r="AW96" s="266"/>
      <c r="AX96" s="266"/>
      <c r="AY96" s="266"/>
      <c r="AZ96" s="266"/>
      <c r="BA96" s="266"/>
      <c r="BB96" s="266"/>
      <c r="BC96" s="266"/>
      <c r="BD96" s="266"/>
      <c r="BE96" s="266"/>
      <c r="BF96" s="266"/>
      <c r="BG96" s="267"/>
    </row>
    <row r="97" spans="8:59" x14ac:dyDescent="0.4">
      <c r="H97" s="241" t="s">
        <v>472</v>
      </c>
      <c r="I97" s="241"/>
      <c r="J97" s="241"/>
      <c r="K97" s="241"/>
      <c r="L97" s="241"/>
      <c r="M97" s="241"/>
      <c r="N97" s="241"/>
      <c r="O97" s="241"/>
      <c r="P97" s="241"/>
      <c r="Q97" s="241"/>
      <c r="R97" s="241" t="s">
        <v>473</v>
      </c>
      <c r="S97" s="241"/>
      <c r="T97" s="241"/>
      <c r="U97" s="241"/>
      <c r="V97" s="241"/>
      <c r="W97" s="241"/>
      <c r="X97" s="241"/>
      <c r="Y97" s="241"/>
      <c r="Z97" s="241"/>
      <c r="AA97" s="241"/>
      <c r="AB97" s="241" t="s">
        <v>425</v>
      </c>
      <c r="AC97" s="241"/>
      <c r="AD97" s="232" t="s">
        <v>474</v>
      </c>
      <c r="AE97" s="232"/>
      <c r="AF97" s="232"/>
      <c r="AG97" s="232"/>
      <c r="AH97" s="232"/>
      <c r="AI97" s="241" t="s">
        <v>428</v>
      </c>
      <c r="AJ97" s="241"/>
      <c r="AK97" s="253" t="s">
        <v>573</v>
      </c>
      <c r="AL97" s="254"/>
      <c r="AM97" s="254"/>
      <c r="AN97" s="254"/>
      <c r="AO97" s="254"/>
      <c r="AP97" s="254"/>
      <c r="AQ97" s="254"/>
      <c r="AR97" s="254"/>
      <c r="AS97" s="254"/>
      <c r="AT97" s="254"/>
      <c r="AU97" s="254"/>
      <c r="AV97" s="254"/>
      <c r="AW97" s="254"/>
      <c r="AX97" s="254"/>
      <c r="AY97" s="254"/>
      <c r="AZ97" s="254"/>
      <c r="BA97" s="254"/>
      <c r="BB97" s="254"/>
      <c r="BC97" s="254"/>
      <c r="BD97" s="254"/>
      <c r="BE97" s="254"/>
      <c r="BF97" s="254"/>
      <c r="BG97" s="254"/>
    </row>
    <row r="98" spans="8:59" x14ac:dyDescent="0.4">
      <c r="H98" s="241"/>
      <c r="I98" s="241"/>
      <c r="J98" s="241"/>
      <c r="K98" s="241"/>
      <c r="L98" s="241"/>
      <c r="M98" s="241"/>
      <c r="N98" s="241"/>
      <c r="O98" s="241"/>
      <c r="P98" s="241"/>
      <c r="Q98" s="241"/>
      <c r="R98" s="241"/>
      <c r="S98" s="241"/>
      <c r="T98" s="241"/>
      <c r="U98" s="241"/>
      <c r="V98" s="241"/>
      <c r="W98" s="241"/>
      <c r="X98" s="241"/>
      <c r="Y98" s="241"/>
      <c r="Z98" s="241"/>
      <c r="AA98" s="241"/>
      <c r="AB98" s="241"/>
      <c r="AC98" s="241"/>
      <c r="AD98" s="232"/>
      <c r="AE98" s="232"/>
      <c r="AF98" s="232"/>
      <c r="AG98" s="232"/>
      <c r="AH98" s="232"/>
      <c r="AI98" s="241"/>
      <c r="AJ98" s="241"/>
      <c r="AK98" s="254"/>
      <c r="AL98" s="254"/>
      <c r="AM98" s="254"/>
      <c r="AN98" s="254"/>
      <c r="AO98" s="254"/>
      <c r="AP98" s="254"/>
      <c r="AQ98" s="254"/>
      <c r="AR98" s="254"/>
      <c r="AS98" s="254"/>
      <c r="AT98" s="254"/>
      <c r="AU98" s="254"/>
      <c r="AV98" s="254"/>
      <c r="AW98" s="254"/>
      <c r="AX98" s="254"/>
      <c r="AY98" s="254"/>
      <c r="AZ98" s="254"/>
      <c r="BA98" s="254"/>
      <c r="BB98" s="254"/>
      <c r="BC98" s="254"/>
      <c r="BD98" s="254"/>
      <c r="BE98" s="254"/>
      <c r="BF98" s="254"/>
      <c r="BG98" s="254"/>
    </row>
    <row r="99" spans="8:59" x14ac:dyDescent="0.4">
      <c r="H99" s="241" t="s">
        <v>475</v>
      </c>
      <c r="I99" s="241"/>
      <c r="J99" s="241"/>
      <c r="K99" s="241"/>
      <c r="L99" s="241"/>
      <c r="M99" s="241"/>
      <c r="N99" s="241"/>
      <c r="O99" s="241"/>
      <c r="P99" s="241"/>
      <c r="Q99" s="241"/>
      <c r="R99" s="241" t="s">
        <v>476</v>
      </c>
      <c r="S99" s="241"/>
      <c r="T99" s="241"/>
      <c r="U99" s="241"/>
      <c r="V99" s="241"/>
      <c r="W99" s="241"/>
      <c r="X99" s="241"/>
      <c r="Y99" s="241"/>
      <c r="Z99" s="241"/>
      <c r="AA99" s="241"/>
      <c r="AB99" s="241" t="s">
        <v>459</v>
      </c>
      <c r="AC99" s="241"/>
      <c r="AD99" s="232" t="s">
        <v>477</v>
      </c>
      <c r="AE99" s="232"/>
      <c r="AF99" s="232"/>
      <c r="AG99" s="232"/>
      <c r="AH99" s="232"/>
      <c r="AI99" s="241" t="s">
        <v>428</v>
      </c>
      <c r="AJ99" s="241"/>
      <c r="AK99" s="253" t="s">
        <v>574</v>
      </c>
      <c r="AL99" s="254"/>
      <c r="AM99" s="254"/>
      <c r="AN99" s="254"/>
      <c r="AO99" s="254"/>
      <c r="AP99" s="254"/>
      <c r="AQ99" s="254"/>
      <c r="AR99" s="254"/>
      <c r="AS99" s="254"/>
      <c r="AT99" s="254"/>
      <c r="AU99" s="254"/>
      <c r="AV99" s="254"/>
      <c r="AW99" s="254"/>
      <c r="AX99" s="254"/>
      <c r="AY99" s="254"/>
      <c r="AZ99" s="254"/>
      <c r="BA99" s="254"/>
      <c r="BB99" s="254"/>
      <c r="BC99" s="254"/>
      <c r="BD99" s="254"/>
      <c r="BE99" s="254"/>
      <c r="BF99" s="254"/>
      <c r="BG99" s="254"/>
    </row>
    <row r="100" spans="8:59" x14ac:dyDescent="0.4">
      <c r="H100" s="241"/>
      <c r="I100" s="241"/>
      <c r="J100" s="241"/>
      <c r="K100" s="241"/>
      <c r="L100" s="241"/>
      <c r="M100" s="241"/>
      <c r="N100" s="241"/>
      <c r="O100" s="241"/>
      <c r="P100" s="241"/>
      <c r="Q100" s="241"/>
      <c r="R100" s="241"/>
      <c r="S100" s="241"/>
      <c r="T100" s="241"/>
      <c r="U100" s="241"/>
      <c r="V100" s="241"/>
      <c r="W100" s="241"/>
      <c r="X100" s="241"/>
      <c r="Y100" s="241"/>
      <c r="Z100" s="241"/>
      <c r="AA100" s="241"/>
      <c r="AB100" s="241"/>
      <c r="AC100" s="241"/>
      <c r="AD100" s="232"/>
      <c r="AE100" s="232"/>
      <c r="AF100" s="232"/>
      <c r="AG100" s="232"/>
      <c r="AH100" s="232"/>
      <c r="AI100" s="241"/>
      <c r="AJ100" s="241"/>
      <c r="AK100" s="254"/>
      <c r="AL100" s="254"/>
      <c r="AM100" s="254"/>
      <c r="AN100" s="254"/>
      <c r="AO100" s="254"/>
      <c r="AP100" s="254"/>
      <c r="AQ100" s="254"/>
      <c r="AR100" s="254"/>
      <c r="AS100" s="254"/>
      <c r="AT100" s="254"/>
      <c r="AU100" s="254"/>
      <c r="AV100" s="254"/>
      <c r="AW100" s="254"/>
      <c r="AX100" s="254"/>
      <c r="AY100" s="254"/>
      <c r="AZ100" s="254"/>
      <c r="BA100" s="254"/>
      <c r="BB100" s="254"/>
      <c r="BC100" s="254"/>
      <c r="BD100" s="254"/>
      <c r="BE100" s="254"/>
      <c r="BF100" s="254"/>
      <c r="BG100" s="254"/>
    </row>
    <row r="101" spans="8:59" x14ac:dyDescent="0.4">
      <c r="H101" s="241"/>
      <c r="I101" s="241"/>
      <c r="J101" s="241"/>
      <c r="K101" s="241"/>
      <c r="L101" s="241"/>
      <c r="M101" s="241"/>
      <c r="N101" s="241"/>
      <c r="O101" s="241"/>
      <c r="P101" s="241"/>
      <c r="Q101" s="241"/>
      <c r="R101" s="241"/>
      <c r="S101" s="241"/>
      <c r="T101" s="241"/>
      <c r="U101" s="241"/>
      <c r="V101" s="241"/>
      <c r="W101" s="241"/>
      <c r="X101" s="241"/>
      <c r="Y101" s="241"/>
      <c r="Z101" s="241"/>
      <c r="AA101" s="241"/>
      <c r="AB101" s="255" t="s">
        <v>448</v>
      </c>
      <c r="AC101" s="255"/>
      <c r="AD101" s="256" t="s">
        <v>245</v>
      </c>
      <c r="AE101" s="257"/>
      <c r="AF101" s="257"/>
      <c r="AG101" s="257"/>
      <c r="AH101" s="258"/>
      <c r="AI101" s="259" t="s">
        <v>245</v>
      </c>
      <c r="AJ101" s="260"/>
      <c r="AK101" s="261" t="s">
        <v>244</v>
      </c>
      <c r="AL101" s="261"/>
      <c r="AM101" s="261"/>
      <c r="AN101" s="261"/>
      <c r="AO101" s="261"/>
      <c r="AP101" s="261"/>
      <c r="AQ101" s="261"/>
      <c r="AR101" s="261"/>
      <c r="AS101" s="261"/>
      <c r="AT101" s="261"/>
      <c r="AU101" s="261"/>
      <c r="AV101" s="261"/>
      <c r="AW101" s="261"/>
      <c r="AX101" s="261"/>
      <c r="AY101" s="261"/>
      <c r="AZ101" s="261"/>
      <c r="BA101" s="261"/>
      <c r="BB101" s="261"/>
      <c r="BC101" s="261"/>
      <c r="BD101" s="261"/>
      <c r="BE101" s="261"/>
      <c r="BF101" s="261"/>
      <c r="BG101" s="261"/>
    </row>
    <row r="102" spans="8:59" ht="18.75" customHeight="1" x14ac:dyDescent="0.4">
      <c r="H102" s="241" t="s">
        <v>478</v>
      </c>
      <c r="I102" s="241"/>
      <c r="J102" s="241"/>
      <c r="K102" s="241"/>
      <c r="L102" s="241"/>
      <c r="M102" s="241"/>
      <c r="N102" s="241"/>
      <c r="O102" s="241"/>
      <c r="P102" s="241"/>
      <c r="Q102" s="241"/>
      <c r="R102" s="241" t="s">
        <v>479</v>
      </c>
      <c r="S102" s="241"/>
      <c r="T102" s="241"/>
      <c r="U102" s="241"/>
      <c r="V102" s="241"/>
      <c r="W102" s="241"/>
      <c r="X102" s="241"/>
      <c r="Y102" s="241"/>
      <c r="Z102" s="241"/>
      <c r="AA102" s="241"/>
      <c r="AB102" s="241" t="s">
        <v>425</v>
      </c>
      <c r="AC102" s="241"/>
      <c r="AD102" s="252" t="s">
        <v>480</v>
      </c>
      <c r="AE102" s="252"/>
      <c r="AF102" s="252"/>
      <c r="AG102" s="252"/>
      <c r="AH102" s="252"/>
      <c r="AI102" s="241" t="s">
        <v>428</v>
      </c>
      <c r="AJ102" s="241"/>
      <c r="AK102" s="253" t="s">
        <v>575</v>
      </c>
      <c r="AL102" s="254"/>
      <c r="AM102" s="254"/>
      <c r="AN102" s="254"/>
      <c r="AO102" s="254"/>
      <c r="AP102" s="254"/>
      <c r="AQ102" s="254"/>
      <c r="AR102" s="254"/>
      <c r="AS102" s="254"/>
      <c r="AT102" s="254"/>
      <c r="AU102" s="254"/>
      <c r="AV102" s="254"/>
      <c r="AW102" s="254"/>
      <c r="AX102" s="254"/>
      <c r="AY102" s="254"/>
      <c r="AZ102" s="254"/>
      <c r="BA102" s="254"/>
      <c r="BB102" s="254"/>
      <c r="BC102" s="254"/>
      <c r="BD102" s="254"/>
      <c r="BE102" s="254"/>
      <c r="BF102" s="254"/>
      <c r="BG102" s="254"/>
    </row>
    <row r="103" spans="8:59" x14ac:dyDescent="0.4">
      <c r="H103" s="241"/>
      <c r="I103" s="241"/>
      <c r="J103" s="241"/>
      <c r="K103" s="241"/>
      <c r="L103" s="241"/>
      <c r="M103" s="241"/>
      <c r="N103" s="241"/>
      <c r="O103" s="241"/>
      <c r="P103" s="241"/>
      <c r="Q103" s="241"/>
      <c r="R103" s="241"/>
      <c r="S103" s="241"/>
      <c r="T103" s="241"/>
      <c r="U103" s="241"/>
      <c r="V103" s="241"/>
      <c r="W103" s="241"/>
      <c r="X103" s="241"/>
      <c r="Y103" s="241"/>
      <c r="Z103" s="241"/>
      <c r="AA103" s="241"/>
      <c r="AB103" s="241"/>
      <c r="AC103" s="241"/>
      <c r="AD103" s="252"/>
      <c r="AE103" s="252"/>
      <c r="AF103" s="252"/>
      <c r="AG103" s="252"/>
      <c r="AH103" s="252"/>
      <c r="AI103" s="241"/>
      <c r="AJ103" s="241"/>
      <c r="AK103" s="254"/>
      <c r="AL103" s="254"/>
      <c r="AM103" s="254"/>
      <c r="AN103" s="254"/>
      <c r="AO103" s="254"/>
      <c r="AP103" s="254"/>
      <c r="AQ103" s="254"/>
      <c r="AR103" s="254"/>
      <c r="AS103" s="254"/>
      <c r="AT103" s="254"/>
      <c r="AU103" s="254"/>
      <c r="AV103" s="254"/>
      <c r="AW103" s="254"/>
      <c r="AX103" s="254"/>
      <c r="AY103" s="254"/>
      <c r="AZ103" s="254"/>
      <c r="BA103" s="254"/>
      <c r="BB103" s="254"/>
      <c r="BC103" s="254"/>
      <c r="BD103" s="254"/>
      <c r="BE103" s="254"/>
      <c r="BF103" s="254"/>
      <c r="BG103" s="254"/>
    </row>
    <row r="104" spans="8:59" ht="18.75" customHeight="1" x14ac:dyDescent="0.4">
      <c r="H104" s="241" t="s">
        <v>481</v>
      </c>
      <c r="I104" s="241"/>
      <c r="J104" s="241"/>
      <c r="K104" s="241"/>
      <c r="L104" s="241"/>
      <c r="M104" s="241"/>
      <c r="N104" s="241"/>
      <c r="O104" s="241"/>
      <c r="P104" s="241"/>
      <c r="Q104" s="241"/>
      <c r="R104" s="241" t="s">
        <v>482</v>
      </c>
      <c r="S104" s="241"/>
      <c r="T104" s="241"/>
      <c r="U104" s="241"/>
      <c r="V104" s="241"/>
      <c r="W104" s="241"/>
      <c r="X104" s="241"/>
      <c r="Y104" s="241"/>
      <c r="Z104" s="241"/>
      <c r="AA104" s="241"/>
      <c r="AB104" s="241" t="s">
        <v>459</v>
      </c>
      <c r="AC104" s="241"/>
      <c r="AD104" s="252" t="s">
        <v>483</v>
      </c>
      <c r="AE104" s="252"/>
      <c r="AF104" s="252"/>
      <c r="AG104" s="252"/>
      <c r="AH104" s="252"/>
      <c r="AI104" s="241" t="s">
        <v>428</v>
      </c>
      <c r="AJ104" s="241"/>
      <c r="AK104" s="253" t="s">
        <v>576</v>
      </c>
      <c r="AL104" s="254"/>
      <c r="AM104" s="254"/>
      <c r="AN104" s="254"/>
      <c r="AO104" s="254"/>
      <c r="AP104" s="254"/>
      <c r="AQ104" s="254"/>
      <c r="AR104" s="254"/>
      <c r="AS104" s="254"/>
      <c r="AT104" s="254"/>
      <c r="AU104" s="254"/>
      <c r="AV104" s="254"/>
      <c r="AW104" s="254"/>
      <c r="AX104" s="254"/>
      <c r="AY104" s="254"/>
      <c r="AZ104" s="254"/>
      <c r="BA104" s="254"/>
      <c r="BB104" s="254"/>
      <c r="BC104" s="254"/>
      <c r="BD104" s="254"/>
      <c r="BE104" s="254"/>
      <c r="BF104" s="254"/>
      <c r="BG104" s="254"/>
    </row>
    <row r="105" spans="8:59" x14ac:dyDescent="0.4">
      <c r="H105" s="241"/>
      <c r="I105" s="241"/>
      <c r="J105" s="241"/>
      <c r="K105" s="241"/>
      <c r="L105" s="241"/>
      <c r="M105" s="241"/>
      <c r="N105" s="241"/>
      <c r="O105" s="241"/>
      <c r="P105" s="241"/>
      <c r="Q105" s="241"/>
      <c r="R105" s="241"/>
      <c r="S105" s="241"/>
      <c r="T105" s="241"/>
      <c r="U105" s="241"/>
      <c r="V105" s="241"/>
      <c r="W105" s="241"/>
      <c r="X105" s="241"/>
      <c r="Y105" s="241"/>
      <c r="Z105" s="241"/>
      <c r="AA105" s="241"/>
      <c r="AB105" s="241"/>
      <c r="AC105" s="241"/>
      <c r="AD105" s="252"/>
      <c r="AE105" s="252"/>
      <c r="AF105" s="252"/>
      <c r="AG105" s="252"/>
      <c r="AH105" s="252"/>
      <c r="AI105" s="241"/>
      <c r="AJ105" s="241"/>
      <c r="AK105" s="254"/>
      <c r="AL105" s="254"/>
      <c r="AM105" s="254"/>
      <c r="AN105" s="254"/>
      <c r="AO105" s="254"/>
      <c r="AP105" s="254"/>
      <c r="AQ105" s="254"/>
      <c r="AR105" s="254"/>
      <c r="AS105" s="254"/>
      <c r="AT105" s="254"/>
      <c r="AU105" s="254"/>
      <c r="AV105" s="254"/>
      <c r="AW105" s="254"/>
      <c r="AX105" s="254"/>
      <c r="AY105" s="254"/>
      <c r="AZ105" s="254"/>
      <c r="BA105" s="254"/>
      <c r="BB105" s="254"/>
      <c r="BC105" s="254"/>
      <c r="BD105" s="254"/>
      <c r="BE105" s="254"/>
      <c r="BF105" s="254"/>
      <c r="BG105" s="254"/>
    </row>
    <row r="106" spans="8:59" x14ac:dyDescent="0.4">
      <c r="H106" s="241"/>
      <c r="I106" s="241"/>
      <c r="J106" s="241"/>
      <c r="K106" s="241"/>
      <c r="L106" s="241"/>
      <c r="M106" s="241"/>
      <c r="N106" s="241"/>
      <c r="O106" s="241"/>
      <c r="P106" s="241"/>
      <c r="Q106" s="241"/>
      <c r="R106" s="241"/>
      <c r="S106" s="241"/>
      <c r="T106" s="241"/>
      <c r="U106" s="241"/>
      <c r="V106" s="241"/>
      <c r="W106" s="241"/>
      <c r="X106" s="241"/>
      <c r="Y106" s="241"/>
      <c r="Z106" s="241"/>
      <c r="AA106" s="241"/>
      <c r="AB106" s="255" t="s">
        <v>448</v>
      </c>
      <c r="AC106" s="255"/>
      <c r="AD106" s="256" t="s">
        <v>245</v>
      </c>
      <c r="AE106" s="257"/>
      <c r="AF106" s="257"/>
      <c r="AG106" s="257"/>
      <c r="AH106" s="258"/>
      <c r="AI106" s="259" t="s">
        <v>245</v>
      </c>
      <c r="AJ106" s="260"/>
      <c r="AK106" s="261" t="s">
        <v>244</v>
      </c>
      <c r="AL106" s="261"/>
      <c r="AM106" s="261"/>
      <c r="AN106" s="261"/>
      <c r="AO106" s="261"/>
      <c r="AP106" s="261"/>
      <c r="AQ106" s="261"/>
      <c r="AR106" s="261"/>
      <c r="AS106" s="261"/>
      <c r="AT106" s="261"/>
      <c r="AU106" s="261"/>
      <c r="AV106" s="261"/>
      <c r="AW106" s="261"/>
      <c r="AX106" s="261"/>
      <c r="AY106" s="261"/>
      <c r="AZ106" s="261"/>
      <c r="BA106" s="261"/>
      <c r="BB106" s="261"/>
      <c r="BC106" s="261"/>
      <c r="BD106" s="261"/>
      <c r="BE106" s="261"/>
      <c r="BF106" s="261"/>
      <c r="BG106" s="261"/>
    </row>
    <row r="107" spans="8:59" ht="18.75" customHeight="1" x14ac:dyDescent="0.4">
      <c r="H107" s="241" t="s">
        <v>484</v>
      </c>
      <c r="I107" s="241"/>
      <c r="J107" s="241"/>
      <c r="K107" s="241"/>
      <c r="L107" s="241"/>
      <c r="M107" s="241"/>
      <c r="N107" s="241"/>
      <c r="O107" s="241"/>
      <c r="P107" s="241"/>
      <c r="Q107" s="241"/>
      <c r="R107" s="241" t="s">
        <v>485</v>
      </c>
      <c r="S107" s="241"/>
      <c r="T107" s="241"/>
      <c r="U107" s="241"/>
      <c r="V107" s="241"/>
      <c r="W107" s="241"/>
      <c r="X107" s="241"/>
      <c r="Y107" s="241"/>
      <c r="Z107" s="241"/>
      <c r="AA107" s="241"/>
      <c r="AB107" s="241" t="s">
        <v>425</v>
      </c>
      <c r="AC107" s="241"/>
      <c r="AD107" s="252" t="s">
        <v>486</v>
      </c>
      <c r="AE107" s="252"/>
      <c r="AF107" s="252"/>
      <c r="AG107" s="252"/>
      <c r="AH107" s="252"/>
      <c r="AI107" s="241" t="s">
        <v>428</v>
      </c>
      <c r="AJ107" s="241"/>
      <c r="AK107" s="253" t="s">
        <v>577</v>
      </c>
      <c r="AL107" s="254"/>
      <c r="AM107" s="254"/>
      <c r="AN107" s="254"/>
      <c r="AO107" s="254"/>
      <c r="AP107" s="254"/>
      <c r="AQ107" s="254"/>
      <c r="AR107" s="254"/>
      <c r="AS107" s="254"/>
      <c r="AT107" s="254"/>
      <c r="AU107" s="254"/>
      <c r="AV107" s="254"/>
      <c r="AW107" s="254"/>
      <c r="AX107" s="254"/>
      <c r="AY107" s="254"/>
      <c r="AZ107" s="254"/>
      <c r="BA107" s="254"/>
      <c r="BB107" s="254"/>
      <c r="BC107" s="254"/>
      <c r="BD107" s="254"/>
      <c r="BE107" s="254"/>
      <c r="BF107" s="254"/>
      <c r="BG107" s="254"/>
    </row>
    <row r="108" spans="8:59" x14ac:dyDescent="0.4">
      <c r="H108" s="241"/>
      <c r="I108" s="241"/>
      <c r="J108" s="241"/>
      <c r="K108" s="241"/>
      <c r="L108" s="241"/>
      <c r="M108" s="241"/>
      <c r="N108" s="241"/>
      <c r="O108" s="241"/>
      <c r="P108" s="241"/>
      <c r="Q108" s="241"/>
      <c r="R108" s="241"/>
      <c r="S108" s="241"/>
      <c r="T108" s="241"/>
      <c r="U108" s="241"/>
      <c r="V108" s="241"/>
      <c r="W108" s="241"/>
      <c r="X108" s="241"/>
      <c r="Y108" s="241"/>
      <c r="Z108" s="241"/>
      <c r="AA108" s="241"/>
      <c r="AB108" s="241"/>
      <c r="AC108" s="241"/>
      <c r="AD108" s="252"/>
      <c r="AE108" s="252"/>
      <c r="AF108" s="252"/>
      <c r="AG108" s="252"/>
      <c r="AH108" s="252"/>
      <c r="AI108" s="241"/>
      <c r="AJ108" s="241"/>
      <c r="AK108" s="254"/>
      <c r="AL108" s="254"/>
      <c r="AM108" s="254"/>
      <c r="AN108" s="254"/>
      <c r="AO108" s="254"/>
      <c r="AP108" s="254"/>
      <c r="AQ108" s="254"/>
      <c r="AR108" s="254"/>
      <c r="AS108" s="254"/>
      <c r="AT108" s="254"/>
      <c r="AU108" s="254"/>
      <c r="AV108" s="254"/>
      <c r="AW108" s="254"/>
      <c r="AX108" s="254"/>
      <c r="AY108" s="254"/>
      <c r="AZ108" s="254"/>
      <c r="BA108" s="254"/>
      <c r="BB108" s="254"/>
      <c r="BC108" s="254"/>
      <c r="BD108" s="254"/>
      <c r="BE108" s="254"/>
      <c r="BF108" s="254"/>
      <c r="BG108" s="254"/>
    </row>
    <row r="109" spans="8:59" ht="18.75" customHeight="1" x14ac:dyDescent="0.4">
      <c r="H109" s="241" t="s">
        <v>487</v>
      </c>
      <c r="I109" s="241"/>
      <c r="J109" s="241"/>
      <c r="K109" s="241"/>
      <c r="L109" s="241"/>
      <c r="M109" s="241"/>
      <c r="N109" s="241"/>
      <c r="O109" s="241"/>
      <c r="P109" s="241"/>
      <c r="Q109" s="241"/>
      <c r="R109" s="241" t="s">
        <v>488</v>
      </c>
      <c r="S109" s="241"/>
      <c r="T109" s="241"/>
      <c r="U109" s="241"/>
      <c r="V109" s="241"/>
      <c r="W109" s="241"/>
      <c r="X109" s="241"/>
      <c r="Y109" s="241"/>
      <c r="Z109" s="241"/>
      <c r="AA109" s="241"/>
      <c r="AB109" s="241" t="s">
        <v>459</v>
      </c>
      <c r="AC109" s="241"/>
      <c r="AD109" s="252" t="s">
        <v>489</v>
      </c>
      <c r="AE109" s="252"/>
      <c r="AF109" s="252"/>
      <c r="AG109" s="252"/>
      <c r="AH109" s="252"/>
      <c r="AI109" s="241" t="s">
        <v>428</v>
      </c>
      <c r="AJ109" s="241"/>
      <c r="AK109" s="253" t="s">
        <v>578</v>
      </c>
      <c r="AL109" s="254"/>
      <c r="AM109" s="254"/>
      <c r="AN109" s="254"/>
      <c r="AO109" s="254"/>
      <c r="AP109" s="254"/>
      <c r="AQ109" s="254"/>
      <c r="AR109" s="254"/>
      <c r="AS109" s="254"/>
      <c r="AT109" s="254"/>
      <c r="AU109" s="254"/>
      <c r="AV109" s="254"/>
      <c r="AW109" s="254"/>
      <c r="AX109" s="254"/>
      <c r="AY109" s="254"/>
      <c r="AZ109" s="254"/>
      <c r="BA109" s="254"/>
      <c r="BB109" s="254"/>
      <c r="BC109" s="254"/>
      <c r="BD109" s="254"/>
      <c r="BE109" s="254"/>
      <c r="BF109" s="254"/>
      <c r="BG109" s="254"/>
    </row>
    <row r="110" spans="8:59" x14ac:dyDescent="0.4">
      <c r="H110" s="241"/>
      <c r="I110" s="241"/>
      <c r="J110" s="241"/>
      <c r="K110" s="241"/>
      <c r="L110" s="241"/>
      <c r="M110" s="241"/>
      <c r="N110" s="241"/>
      <c r="O110" s="241"/>
      <c r="P110" s="241"/>
      <c r="Q110" s="241"/>
      <c r="R110" s="241"/>
      <c r="S110" s="241"/>
      <c r="T110" s="241"/>
      <c r="U110" s="241"/>
      <c r="V110" s="241"/>
      <c r="W110" s="241"/>
      <c r="X110" s="241"/>
      <c r="Y110" s="241"/>
      <c r="Z110" s="241"/>
      <c r="AA110" s="241"/>
      <c r="AB110" s="241"/>
      <c r="AC110" s="241"/>
      <c r="AD110" s="252"/>
      <c r="AE110" s="252"/>
      <c r="AF110" s="252"/>
      <c r="AG110" s="252"/>
      <c r="AH110" s="252"/>
      <c r="AI110" s="241"/>
      <c r="AJ110" s="241"/>
      <c r="AK110" s="254"/>
      <c r="AL110" s="254"/>
      <c r="AM110" s="254"/>
      <c r="AN110" s="254"/>
      <c r="AO110" s="254"/>
      <c r="AP110" s="254"/>
      <c r="AQ110" s="254"/>
      <c r="AR110" s="254"/>
      <c r="AS110" s="254"/>
      <c r="AT110" s="254"/>
      <c r="AU110" s="254"/>
      <c r="AV110" s="254"/>
      <c r="AW110" s="254"/>
      <c r="AX110" s="254"/>
      <c r="AY110" s="254"/>
      <c r="AZ110" s="254"/>
      <c r="BA110" s="254"/>
      <c r="BB110" s="254"/>
      <c r="BC110" s="254"/>
      <c r="BD110" s="254"/>
      <c r="BE110" s="254"/>
      <c r="BF110" s="254"/>
      <c r="BG110" s="254"/>
    </row>
    <row r="111" spans="8:59" x14ac:dyDescent="0.4">
      <c r="H111" s="241"/>
      <c r="I111" s="241"/>
      <c r="J111" s="241"/>
      <c r="K111" s="241"/>
      <c r="L111" s="241"/>
      <c r="M111" s="241"/>
      <c r="N111" s="241"/>
      <c r="O111" s="241"/>
      <c r="P111" s="241"/>
      <c r="Q111" s="241"/>
      <c r="R111" s="241"/>
      <c r="S111" s="241"/>
      <c r="T111" s="241"/>
      <c r="U111" s="241"/>
      <c r="V111" s="241"/>
      <c r="W111" s="241"/>
      <c r="X111" s="241"/>
      <c r="Y111" s="241"/>
      <c r="Z111" s="241"/>
      <c r="AA111" s="241"/>
      <c r="AB111" s="255" t="s">
        <v>448</v>
      </c>
      <c r="AC111" s="255"/>
      <c r="AD111" s="256" t="s">
        <v>245</v>
      </c>
      <c r="AE111" s="257"/>
      <c r="AF111" s="257"/>
      <c r="AG111" s="257"/>
      <c r="AH111" s="258"/>
      <c r="AI111" s="259" t="s">
        <v>245</v>
      </c>
      <c r="AJ111" s="260"/>
      <c r="AK111" s="261" t="s">
        <v>244</v>
      </c>
      <c r="AL111" s="261"/>
      <c r="AM111" s="261"/>
      <c r="AN111" s="261"/>
      <c r="AO111" s="261"/>
      <c r="AP111" s="261"/>
      <c r="AQ111" s="261"/>
      <c r="AR111" s="261"/>
      <c r="AS111" s="261"/>
      <c r="AT111" s="261"/>
      <c r="AU111" s="261"/>
      <c r="AV111" s="261"/>
      <c r="AW111" s="261"/>
      <c r="AX111" s="261"/>
      <c r="AY111" s="261"/>
      <c r="AZ111" s="261"/>
      <c r="BA111" s="261"/>
      <c r="BB111" s="261"/>
      <c r="BC111" s="261"/>
      <c r="BD111" s="261"/>
      <c r="BE111" s="261"/>
      <c r="BF111" s="261"/>
      <c r="BG111" s="261"/>
    </row>
    <row r="112" spans="8:59" ht="18.75" customHeight="1" x14ac:dyDescent="0.4">
      <c r="H112" s="241" t="s">
        <v>490</v>
      </c>
      <c r="I112" s="241"/>
      <c r="J112" s="241"/>
      <c r="K112" s="241"/>
      <c r="L112" s="241"/>
      <c r="M112" s="241"/>
      <c r="N112" s="241"/>
      <c r="O112" s="241"/>
      <c r="P112" s="241"/>
      <c r="Q112" s="241"/>
      <c r="R112" s="241" t="s">
        <v>491</v>
      </c>
      <c r="S112" s="241"/>
      <c r="T112" s="241"/>
      <c r="U112" s="241"/>
      <c r="V112" s="241"/>
      <c r="W112" s="241"/>
      <c r="X112" s="241"/>
      <c r="Y112" s="241"/>
      <c r="Z112" s="241"/>
      <c r="AA112" s="241"/>
      <c r="AB112" s="241" t="s">
        <v>425</v>
      </c>
      <c r="AC112" s="241"/>
      <c r="AD112" s="252" t="s">
        <v>492</v>
      </c>
      <c r="AE112" s="252"/>
      <c r="AF112" s="252"/>
      <c r="AG112" s="252"/>
      <c r="AH112" s="252"/>
      <c r="AI112" s="241" t="s">
        <v>428</v>
      </c>
      <c r="AJ112" s="241"/>
      <c r="AK112" s="253" t="s">
        <v>579</v>
      </c>
      <c r="AL112" s="254"/>
      <c r="AM112" s="254"/>
      <c r="AN112" s="254"/>
      <c r="AO112" s="254"/>
      <c r="AP112" s="254"/>
      <c r="AQ112" s="254"/>
      <c r="AR112" s="254"/>
      <c r="AS112" s="254"/>
      <c r="AT112" s="254"/>
      <c r="AU112" s="254"/>
      <c r="AV112" s="254"/>
      <c r="AW112" s="254"/>
      <c r="AX112" s="254"/>
      <c r="AY112" s="254"/>
      <c r="AZ112" s="254"/>
      <c r="BA112" s="254"/>
      <c r="BB112" s="254"/>
      <c r="BC112" s="254"/>
      <c r="BD112" s="254"/>
      <c r="BE112" s="254"/>
      <c r="BF112" s="254"/>
      <c r="BG112" s="254"/>
    </row>
    <row r="113" spans="8:59" x14ac:dyDescent="0.4">
      <c r="H113" s="241"/>
      <c r="I113" s="241"/>
      <c r="J113" s="241"/>
      <c r="K113" s="241"/>
      <c r="L113" s="241"/>
      <c r="M113" s="241"/>
      <c r="N113" s="241"/>
      <c r="O113" s="241"/>
      <c r="P113" s="241"/>
      <c r="Q113" s="241"/>
      <c r="R113" s="241"/>
      <c r="S113" s="241"/>
      <c r="T113" s="241"/>
      <c r="U113" s="241"/>
      <c r="V113" s="241"/>
      <c r="W113" s="241"/>
      <c r="X113" s="241"/>
      <c r="Y113" s="241"/>
      <c r="Z113" s="241"/>
      <c r="AA113" s="241"/>
      <c r="AB113" s="241"/>
      <c r="AC113" s="241"/>
      <c r="AD113" s="252"/>
      <c r="AE113" s="252"/>
      <c r="AF113" s="252"/>
      <c r="AG113" s="252"/>
      <c r="AH113" s="252"/>
      <c r="AI113" s="241"/>
      <c r="AJ113" s="241"/>
      <c r="AK113" s="254"/>
      <c r="AL113" s="254"/>
      <c r="AM113" s="254"/>
      <c r="AN113" s="254"/>
      <c r="AO113" s="254"/>
      <c r="AP113" s="254"/>
      <c r="AQ113" s="254"/>
      <c r="AR113" s="254"/>
      <c r="AS113" s="254"/>
      <c r="AT113" s="254"/>
      <c r="AU113" s="254"/>
      <c r="AV113" s="254"/>
      <c r="AW113" s="254"/>
      <c r="AX113" s="254"/>
      <c r="AY113" s="254"/>
      <c r="AZ113" s="254"/>
      <c r="BA113" s="254"/>
      <c r="BB113" s="254"/>
      <c r="BC113" s="254"/>
      <c r="BD113" s="254"/>
      <c r="BE113" s="254"/>
      <c r="BF113" s="254"/>
      <c r="BG113" s="254"/>
    </row>
    <row r="114" spans="8:59" ht="18.75" customHeight="1" x14ac:dyDescent="0.4">
      <c r="H114" s="241" t="s">
        <v>493</v>
      </c>
      <c r="I114" s="241"/>
      <c r="J114" s="241"/>
      <c r="K114" s="241"/>
      <c r="L114" s="241"/>
      <c r="M114" s="241"/>
      <c r="N114" s="241"/>
      <c r="O114" s="241"/>
      <c r="P114" s="241"/>
      <c r="Q114" s="241"/>
      <c r="R114" s="241" t="s">
        <v>494</v>
      </c>
      <c r="S114" s="241"/>
      <c r="T114" s="241"/>
      <c r="U114" s="241"/>
      <c r="V114" s="241"/>
      <c r="W114" s="241"/>
      <c r="X114" s="241"/>
      <c r="Y114" s="241"/>
      <c r="Z114" s="241"/>
      <c r="AA114" s="241"/>
      <c r="AB114" s="241" t="s">
        <v>459</v>
      </c>
      <c r="AC114" s="241"/>
      <c r="AD114" s="252" t="s">
        <v>495</v>
      </c>
      <c r="AE114" s="252"/>
      <c r="AF114" s="252"/>
      <c r="AG114" s="252"/>
      <c r="AH114" s="252"/>
      <c r="AI114" s="241" t="s">
        <v>428</v>
      </c>
      <c r="AJ114" s="241"/>
      <c r="AK114" s="253" t="s">
        <v>580</v>
      </c>
      <c r="AL114" s="254"/>
      <c r="AM114" s="254"/>
      <c r="AN114" s="254"/>
      <c r="AO114" s="254"/>
      <c r="AP114" s="254"/>
      <c r="AQ114" s="254"/>
      <c r="AR114" s="254"/>
      <c r="AS114" s="254"/>
      <c r="AT114" s="254"/>
      <c r="AU114" s="254"/>
      <c r="AV114" s="254"/>
      <c r="AW114" s="254"/>
      <c r="AX114" s="254"/>
      <c r="AY114" s="254"/>
      <c r="AZ114" s="254"/>
      <c r="BA114" s="254"/>
      <c r="BB114" s="254"/>
      <c r="BC114" s="254"/>
      <c r="BD114" s="254"/>
      <c r="BE114" s="254"/>
      <c r="BF114" s="254"/>
      <c r="BG114" s="254"/>
    </row>
    <row r="115" spans="8:59" x14ac:dyDescent="0.4">
      <c r="H115" s="241"/>
      <c r="I115" s="241"/>
      <c r="J115" s="241"/>
      <c r="K115" s="241"/>
      <c r="L115" s="241"/>
      <c r="M115" s="241"/>
      <c r="N115" s="241"/>
      <c r="O115" s="241"/>
      <c r="P115" s="241"/>
      <c r="Q115" s="241"/>
      <c r="R115" s="241"/>
      <c r="S115" s="241"/>
      <c r="T115" s="241"/>
      <c r="U115" s="241"/>
      <c r="V115" s="241"/>
      <c r="W115" s="241"/>
      <c r="X115" s="241"/>
      <c r="Y115" s="241"/>
      <c r="Z115" s="241"/>
      <c r="AA115" s="241"/>
      <c r="AB115" s="241"/>
      <c r="AC115" s="241"/>
      <c r="AD115" s="252"/>
      <c r="AE115" s="252"/>
      <c r="AF115" s="252"/>
      <c r="AG115" s="252"/>
      <c r="AH115" s="252"/>
      <c r="AI115" s="241"/>
      <c r="AJ115" s="241"/>
      <c r="AK115" s="254"/>
      <c r="AL115" s="254"/>
      <c r="AM115" s="254"/>
      <c r="AN115" s="254"/>
      <c r="AO115" s="254"/>
      <c r="AP115" s="254"/>
      <c r="AQ115" s="254"/>
      <c r="AR115" s="254"/>
      <c r="AS115" s="254"/>
      <c r="AT115" s="254"/>
      <c r="AU115" s="254"/>
      <c r="AV115" s="254"/>
      <c r="AW115" s="254"/>
      <c r="AX115" s="254"/>
      <c r="AY115" s="254"/>
      <c r="AZ115" s="254"/>
      <c r="BA115" s="254"/>
      <c r="BB115" s="254"/>
      <c r="BC115" s="254"/>
      <c r="BD115" s="254"/>
      <c r="BE115" s="254"/>
      <c r="BF115" s="254"/>
      <c r="BG115" s="254"/>
    </row>
    <row r="116" spans="8:59" x14ac:dyDescent="0.4">
      <c r="H116" s="241"/>
      <c r="I116" s="241"/>
      <c r="J116" s="241"/>
      <c r="K116" s="241"/>
      <c r="L116" s="241"/>
      <c r="M116" s="241"/>
      <c r="N116" s="241"/>
      <c r="O116" s="241"/>
      <c r="P116" s="241"/>
      <c r="Q116" s="241"/>
      <c r="R116" s="241"/>
      <c r="S116" s="241"/>
      <c r="T116" s="241"/>
      <c r="U116" s="241"/>
      <c r="V116" s="241"/>
      <c r="W116" s="241"/>
      <c r="X116" s="241"/>
      <c r="Y116" s="241"/>
      <c r="Z116" s="241"/>
      <c r="AA116" s="241"/>
      <c r="AB116" s="255" t="s">
        <v>448</v>
      </c>
      <c r="AC116" s="255"/>
      <c r="AD116" s="256" t="s">
        <v>245</v>
      </c>
      <c r="AE116" s="257"/>
      <c r="AF116" s="257"/>
      <c r="AG116" s="257"/>
      <c r="AH116" s="258"/>
      <c r="AI116" s="259" t="s">
        <v>245</v>
      </c>
      <c r="AJ116" s="260"/>
      <c r="AK116" s="261" t="s">
        <v>244</v>
      </c>
      <c r="AL116" s="261"/>
      <c r="AM116" s="261"/>
      <c r="AN116" s="261"/>
      <c r="AO116" s="261"/>
      <c r="AP116" s="261"/>
      <c r="AQ116" s="261"/>
      <c r="AR116" s="261"/>
      <c r="AS116" s="261"/>
      <c r="AT116" s="261"/>
      <c r="AU116" s="261"/>
      <c r="AV116" s="261"/>
      <c r="AW116" s="261"/>
      <c r="AX116" s="261"/>
      <c r="AY116" s="261"/>
      <c r="AZ116" s="261"/>
      <c r="BA116" s="261"/>
      <c r="BB116" s="261"/>
      <c r="BC116" s="261"/>
      <c r="BD116" s="261"/>
      <c r="BE116" s="261"/>
      <c r="BF116" s="261"/>
      <c r="BG116" s="261"/>
    </row>
    <row r="117" spans="8:59" x14ac:dyDescent="0.4">
      <c r="H117" s="174" t="s">
        <v>776</v>
      </c>
      <c r="I117" s="175"/>
      <c r="J117" s="175"/>
      <c r="K117" s="175"/>
      <c r="L117" s="175"/>
      <c r="M117" s="175"/>
      <c r="N117" s="175"/>
      <c r="O117" s="175"/>
      <c r="P117" s="175"/>
      <c r="Q117" s="175"/>
      <c r="R117" s="175"/>
      <c r="S117" s="175"/>
      <c r="T117" s="175"/>
      <c r="U117" s="175"/>
      <c r="V117" s="175"/>
      <c r="W117" s="175"/>
      <c r="X117" s="175"/>
      <c r="Y117" s="175"/>
      <c r="Z117" s="175"/>
      <c r="AA117" s="175"/>
      <c r="AB117" s="175"/>
      <c r="AC117" s="175"/>
      <c r="AD117" s="175"/>
      <c r="AE117" s="175"/>
      <c r="AF117" s="175"/>
      <c r="AG117" s="175"/>
      <c r="AH117" s="175"/>
      <c r="AI117" s="175"/>
      <c r="AJ117" s="175"/>
      <c r="AK117" s="175"/>
      <c r="AL117" s="175"/>
      <c r="AM117" s="175"/>
      <c r="AN117" s="175"/>
      <c r="AO117" s="175"/>
      <c r="AP117" s="175"/>
      <c r="AQ117" s="175"/>
      <c r="AR117" s="175"/>
      <c r="AS117" s="175"/>
      <c r="AT117" s="175"/>
      <c r="AU117" s="175"/>
      <c r="AV117" s="175"/>
      <c r="AW117" s="175"/>
      <c r="AX117" s="175"/>
      <c r="AY117" s="175"/>
      <c r="AZ117" s="175"/>
      <c r="BA117" s="175"/>
      <c r="BB117" s="175"/>
      <c r="BC117" s="175"/>
      <c r="BD117" s="175"/>
      <c r="BE117" s="175"/>
      <c r="BF117" s="175"/>
      <c r="BG117" s="176"/>
    </row>
    <row r="118" spans="8:59" x14ac:dyDescent="0.4">
      <c r="AD118" s="32"/>
      <c r="AE118" s="32"/>
      <c r="AF118" s="32"/>
      <c r="AG118" s="32"/>
      <c r="AH118" s="32"/>
    </row>
    <row r="119" spans="8:59" x14ac:dyDescent="0.4">
      <c r="AD119" s="32"/>
      <c r="AE119" s="32"/>
      <c r="AF119" s="32"/>
      <c r="AG119" s="32"/>
      <c r="AH119" s="32"/>
    </row>
    <row r="120" spans="8:59" x14ac:dyDescent="0.4">
      <c r="H120" s="217" t="s">
        <v>496</v>
      </c>
      <c r="I120" s="218"/>
      <c r="J120" s="218"/>
      <c r="K120" s="218"/>
      <c r="L120" s="218"/>
      <c r="M120" s="218"/>
      <c r="N120" s="218"/>
      <c r="O120" s="218"/>
      <c r="P120" s="218"/>
      <c r="Q120" s="218"/>
      <c r="R120" s="218"/>
      <c r="S120" s="218"/>
      <c r="T120" s="218"/>
      <c r="U120" s="218"/>
      <c r="V120" s="218"/>
      <c r="W120" s="218"/>
      <c r="X120" s="218"/>
      <c r="Y120" s="218"/>
      <c r="Z120" s="218"/>
      <c r="AA120" s="218"/>
      <c r="AB120" s="218"/>
      <c r="AC120" s="218"/>
      <c r="AD120" s="218"/>
      <c r="AE120" s="218"/>
      <c r="AF120" s="218"/>
      <c r="AG120" s="218"/>
      <c r="AH120" s="218"/>
      <c r="AI120" s="218"/>
      <c r="AJ120" s="218"/>
      <c r="AK120" s="218"/>
      <c r="AL120" s="218"/>
      <c r="AM120" s="218"/>
      <c r="AN120" s="218"/>
      <c r="AO120" s="218"/>
      <c r="AP120" s="218"/>
      <c r="AQ120" s="218"/>
      <c r="AR120" s="218"/>
      <c r="AS120" s="218"/>
      <c r="AT120" s="218"/>
      <c r="AU120" s="218"/>
      <c r="AV120" s="218"/>
      <c r="AW120" s="218"/>
      <c r="AX120" s="218"/>
      <c r="AY120" s="218"/>
      <c r="AZ120" s="218"/>
      <c r="BA120" s="218"/>
      <c r="BB120" s="218"/>
      <c r="BC120" s="218"/>
      <c r="BD120" s="218"/>
      <c r="BE120" s="218"/>
      <c r="BF120" s="218"/>
      <c r="BG120" s="219"/>
    </row>
    <row r="121" spans="8:59" x14ac:dyDescent="0.4">
      <c r="H121" s="220" t="s">
        <v>419</v>
      </c>
      <c r="I121" s="220"/>
      <c r="J121" s="220"/>
      <c r="K121" s="220"/>
      <c r="L121" s="220"/>
      <c r="M121" s="220"/>
      <c r="N121" s="220"/>
      <c r="O121" s="220"/>
      <c r="P121" s="220"/>
      <c r="Q121" s="220"/>
      <c r="R121" s="220" t="s">
        <v>1</v>
      </c>
      <c r="S121" s="220"/>
      <c r="T121" s="220"/>
      <c r="U121" s="220"/>
      <c r="V121" s="220"/>
      <c r="W121" s="220"/>
      <c r="X121" s="220"/>
      <c r="Y121" s="220"/>
      <c r="Z121" s="220"/>
      <c r="AA121" s="220"/>
      <c r="AB121" s="221" t="s">
        <v>420</v>
      </c>
      <c r="AC121" s="222"/>
      <c r="AD121" s="221" t="s">
        <v>421</v>
      </c>
      <c r="AE121" s="223"/>
      <c r="AF121" s="223"/>
      <c r="AG121" s="223"/>
      <c r="AH121" s="222"/>
      <c r="AI121" s="224" t="s">
        <v>422</v>
      </c>
      <c r="AJ121" s="224"/>
      <c r="AK121" s="220" t="s">
        <v>423</v>
      </c>
      <c r="AL121" s="220"/>
      <c r="AM121" s="220"/>
      <c r="AN121" s="220"/>
      <c r="AO121" s="220"/>
      <c r="AP121" s="220"/>
      <c r="AQ121" s="220"/>
      <c r="AR121" s="220"/>
      <c r="AS121" s="220"/>
      <c r="AT121" s="220"/>
      <c r="AU121" s="220"/>
      <c r="AV121" s="220"/>
      <c r="AW121" s="220"/>
      <c r="AX121" s="220"/>
      <c r="AY121" s="220"/>
      <c r="AZ121" s="220"/>
      <c r="BA121" s="220"/>
      <c r="BB121" s="220"/>
      <c r="BC121" s="220"/>
      <c r="BD121" s="220"/>
      <c r="BE121" s="220"/>
      <c r="BF121" s="220"/>
      <c r="BG121" s="220"/>
    </row>
    <row r="122" spans="8:59" x14ac:dyDescent="0.4">
      <c r="H122" s="177" t="s">
        <v>497</v>
      </c>
      <c r="I122" s="177"/>
      <c r="J122" s="177"/>
      <c r="K122" s="177"/>
      <c r="L122" s="177"/>
      <c r="M122" s="177"/>
      <c r="N122" s="177"/>
      <c r="O122" s="177"/>
      <c r="P122" s="177"/>
      <c r="Q122" s="177"/>
      <c r="R122" s="177" t="s">
        <v>498</v>
      </c>
      <c r="S122" s="177"/>
      <c r="T122" s="177"/>
      <c r="U122" s="177"/>
      <c r="V122" s="177"/>
      <c r="W122" s="177"/>
      <c r="X122" s="177"/>
      <c r="Y122" s="177"/>
      <c r="Z122" s="177"/>
      <c r="AA122" s="177"/>
      <c r="AB122" s="207" t="s">
        <v>429</v>
      </c>
      <c r="AC122" s="208"/>
      <c r="AD122" s="208" t="s">
        <v>430</v>
      </c>
      <c r="AE122" s="208"/>
      <c r="AF122" s="208"/>
      <c r="AG122" s="208"/>
      <c r="AH122" s="208"/>
      <c r="AI122" s="178" t="s">
        <v>428</v>
      </c>
      <c r="AJ122" s="178"/>
      <c r="AK122" s="212" t="s">
        <v>499</v>
      </c>
      <c r="AL122" s="212"/>
      <c r="AM122" s="212"/>
      <c r="AN122" s="212"/>
      <c r="AO122" s="212"/>
      <c r="AP122" s="212"/>
      <c r="AQ122" s="212"/>
      <c r="AR122" s="212"/>
      <c r="AS122" s="212"/>
      <c r="AT122" s="212"/>
      <c r="AU122" s="212"/>
      <c r="AV122" s="212"/>
      <c r="AW122" s="212"/>
      <c r="AX122" s="212"/>
      <c r="AY122" s="212"/>
      <c r="AZ122" s="212"/>
      <c r="BA122" s="212"/>
      <c r="BB122" s="212"/>
      <c r="BC122" s="212"/>
      <c r="BD122" s="212"/>
      <c r="BE122" s="212"/>
      <c r="BF122" s="212"/>
      <c r="BG122" s="212"/>
    </row>
    <row r="123" spans="8:59" x14ac:dyDescent="0.4">
      <c r="H123" s="177"/>
      <c r="I123" s="177"/>
      <c r="J123" s="177"/>
      <c r="K123" s="177"/>
      <c r="L123" s="177"/>
      <c r="M123" s="177"/>
      <c r="N123" s="177"/>
      <c r="O123" s="177"/>
      <c r="P123" s="177"/>
      <c r="Q123" s="177"/>
      <c r="R123" s="177"/>
      <c r="S123" s="177"/>
      <c r="T123" s="177"/>
      <c r="U123" s="177"/>
      <c r="V123" s="177"/>
      <c r="W123" s="177"/>
      <c r="X123" s="177"/>
      <c r="Y123" s="177"/>
      <c r="Z123" s="177"/>
      <c r="AA123" s="177"/>
      <c r="AB123" s="207"/>
      <c r="AC123" s="208"/>
      <c r="AD123" s="208"/>
      <c r="AE123" s="208"/>
      <c r="AF123" s="208"/>
      <c r="AG123" s="208"/>
      <c r="AH123" s="208"/>
      <c r="AI123" s="178"/>
      <c r="AJ123" s="178"/>
      <c r="AK123" s="212"/>
      <c r="AL123" s="212"/>
      <c r="AM123" s="212"/>
      <c r="AN123" s="212"/>
      <c r="AO123" s="212"/>
      <c r="AP123" s="212"/>
      <c r="AQ123" s="212"/>
      <c r="AR123" s="212"/>
      <c r="AS123" s="212"/>
      <c r="AT123" s="212"/>
      <c r="AU123" s="212"/>
      <c r="AV123" s="212"/>
      <c r="AW123" s="212"/>
      <c r="AX123" s="212"/>
      <c r="AY123" s="212"/>
      <c r="AZ123" s="212"/>
      <c r="BA123" s="212"/>
      <c r="BB123" s="212"/>
      <c r="BC123" s="212"/>
      <c r="BD123" s="212"/>
      <c r="BE123" s="212"/>
      <c r="BF123" s="212"/>
      <c r="BG123" s="212"/>
    </row>
    <row r="124" spans="8:59" x14ac:dyDescent="0.4">
      <c r="H124" s="177"/>
      <c r="I124" s="177"/>
      <c r="J124" s="177"/>
      <c r="K124" s="177"/>
      <c r="L124" s="177"/>
      <c r="M124" s="177"/>
      <c r="N124" s="177"/>
      <c r="O124" s="177"/>
      <c r="P124" s="177"/>
      <c r="Q124" s="177"/>
      <c r="R124" s="177"/>
      <c r="S124" s="177"/>
      <c r="T124" s="177"/>
      <c r="U124" s="177"/>
      <c r="V124" s="177"/>
      <c r="W124" s="177"/>
      <c r="X124" s="177"/>
      <c r="Y124" s="177"/>
      <c r="Z124" s="177"/>
      <c r="AA124" s="177"/>
      <c r="AB124" s="243" t="s">
        <v>431</v>
      </c>
      <c r="AC124" s="244"/>
      <c r="AD124" s="248" t="s">
        <v>433</v>
      </c>
      <c r="AE124" s="243"/>
      <c r="AF124" s="243"/>
      <c r="AG124" s="243"/>
      <c r="AH124" s="244"/>
      <c r="AI124" s="233" t="s">
        <v>428</v>
      </c>
      <c r="AJ124" s="233"/>
      <c r="AK124" s="242" t="s">
        <v>500</v>
      </c>
      <c r="AL124" s="242"/>
      <c r="AM124" s="242"/>
      <c r="AN124" s="242"/>
      <c r="AO124" s="242"/>
      <c r="AP124" s="242"/>
      <c r="AQ124" s="242"/>
      <c r="AR124" s="242"/>
      <c r="AS124" s="242"/>
      <c r="AT124" s="242"/>
      <c r="AU124" s="242"/>
      <c r="AV124" s="242"/>
      <c r="AW124" s="242"/>
      <c r="AX124" s="242"/>
      <c r="AY124" s="242"/>
      <c r="AZ124" s="242"/>
      <c r="BA124" s="242"/>
      <c r="BB124" s="242"/>
      <c r="BC124" s="242"/>
      <c r="BD124" s="242"/>
      <c r="BE124" s="242"/>
      <c r="BF124" s="242"/>
      <c r="BG124" s="242"/>
    </row>
    <row r="125" spans="8:59" x14ac:dyDescent="0.4">
      <c r="H125" s="177"/>
      <c r="I125" s="177"/>
      <c r="J125" s="177"/>
      <c r="K125" s="177"/>
      <c r="L125" s="177"/>
      <c r="M125" s="177"/>
      <c r="N125" s="177"/>
      <c r="O125" s="177"/>
      <c r="P125" s="177"/>
      <c r="Q125" s="177"/>
      <c r="R125" s="177"/>
      <c r="S125" s="177"/>
      <c r="T125" s="177"/>
      <c r="U125" s="177"/>
      <c r="V125" s="177"/>
      <c r="W125" s="177"/>
      <c r="X125" s="177"/>
      <c r="Y125" s="177"/>
      <c r="Z125" s="177"/>
      <c r="AA125" s="177"/>
      <c r="AB125" s="243" t="s">
        <v>432</v>
      </c>
      <c r="AC125" s="244"/>
      <c r="AD125" s="238" t="s">
        <v>435</v>
      </c>
      <c r="AE125" s="240"/>
      <c r="AF125" s="240"/>
      <c r="AG125" s="240"/>
      <c r="AH125" s="239"/>
      <c r="AI125" s="233" t="s">
        <v>428</v>
      </c>
      <c r="AJ125" s="233"/>
      <c r="AK125" s="242" t="s">
        <v>501</v>
      </c>
      <c r="AL125" s="242"/>
      <c r="AM125" s="242"/>
      <c r="AN125" s="242"/>
      <c r="AO125" s="242"/>
      <c r="AP125" s="242"/>
      <c r="AQ125" s="242"/>
      <c r="AR125" s="242"/>
      <c r="AS125" s="242"/>
      <c r="AT125" s="242"/>
      <c r="AU125" s="242"/>
      <c r="AV125" s="242"/>
      <c r="AW125" s="242"/>
      <c r="AX125" s="242"/>
      <c r="AY125" s="242"/>
      <c r="AZ125" s="242"/>
      <c r="BA125" s="242"/>
      <c r="BB125" s="242"/>
      <c r="BC125" s="242"/>
      <c r="BD125" s="242"/>
      <c r="BE125" s="242"/>
      <c r="BF125" s="242"/>
      <c r="BG125" s="242"/>
    </row>
    <row r="126" spans="8:59" x14ac:dyDescent="0.4">
      <c r="H126" s="177"/>
      <c r="I126" s="177"/>
      <c r="J126" s="177"/>
      <c r="K126" s="177"/>
      <c r="L126" s="177"/>
      <c r="M126" s="177"/>
      <c r="N126" s="177"/>
      <c r="O126" s="177"/>
      <c r="P126" s="177"/>
      <c r="Q126" s="177"/>
      <c r="R126" s="177"/>
      <c r="S126" s="177"/>
      <c r="T126" s="177"/>
      <c r="U126" s="177"/>
      <c r="V126" s="177"/>
      <c r="W126" s="177"/>
      <c r="X126" s="177"/>
      <c r="Y126" s="177"/>
      <c r="Z126" s="177"/>
      <c r="AA126" s="177"/>
      <c r="AB126" s="238" t="s">
        <v>434</v>
      </c>
      <c r="AC126" s="239"/>
      <c r="AD126" s="238" t="s">
        <v>437</v>
      </c>
      <c r="AE126" s="240"/>
      <c r="AF126" s="240"/>
      <c r="AG126" s="240"/>
      <c r="AH126" s="239"/>
      <c r="AI126" s="241" t="s">
        <v>428</v>
      </c>
      <c r="AJ126" s="241"/>
      <c r="AK126" s="245" t="s">
        <v>502</v>
      </c>
      <c r="AL126" s="246"/>
      <c r="AM126" s="246"/>
      <c r="AN126" s="246"/>
      <c r="AO126" s="246"/>
      <c r="AP126" s="246"/>
      <c r="AQ126" s="246"/>
      <c r="AR126" s="246"/>
      <c r="AS126" s="246"/>
      <c r="AT126" s="246"/>
      <c r="AU126" s="246"/>
      <c r="AV126" s="246"/>
      <c r="AW126" s="246"/>
      <c r="AX126" s="246"/>
      <c r="AY126" s="246"/>
      <c r="AZ126" s="246"/>
      <c r="BA126" s="246"/>
      <c r="BB126" s="246"/>
      <c r="BC126" s="246"/>
      <c r="BD126" s="246"/>
      <c r="BE126" s="246"/>
      <c r="BF126" s="246"/>
      <c r="BG126" s="247"/>
    </row>
    <row r="127" spans="8:59" x14ac:dyDescent="0.4">
      <c r="H127" s="177"/>
      <c r="I127" s="177"/>
      <c r="J127" s="177"/>
      <c r="K127" s="177"/>
      <c r="L127" s="177"/>
      <c r="M127" s="177"/>
      <c r="N127" s="177"/>
      <c r="O127" s="177"/>
      <c r="P127" s="177"/>
      <c r="Q127" s="177"/>
      <c r="R127" s="177"/>
      <c r="S127" s="177"/>
      <c r="T127" s="177"/>
      <c r="U127" s="177"/>
      <c r="V127" s="177"/>
      <c r="W127" s="177"/>
      <c r="X127" s="177"/>
      <c r="Y127" s="177"/>
      <c r="Z127" s="177"/>
      <c r="AA127" s="177"/>
      <c r="AB127" s="238" t="s">
        <v>436</v>
      </c>
      <c r="AC127" s="239"/>
      <c r="AD127" s="238" t="s">
        <v>439</v>
      </c>
      <c r="AE127" s="240"/>
      <c r="AF127" s="240"/>
      <c r="AG127" s="240"/>
      <c r="AH127" s="239"/>
      <c r="AI127" s="241" t="s">
        <v>428</v>
      </c>
      <c r="AJ127" s="241"/>
      <c r="AK127" s="242" t="s">
        <v>503</v>
      </c>
      <c r="AL127" s="242"/>
      <c r="AM127" s="242"/>
      <c r="AN127" s="242"/>
      <c r="AO127" s="242"/>
      <c r="AP127" s="242"/>
      <c r="AQ127" s="242"/>
      <c r="AR127" s="242"/>
      <c r="AS127" s="242"/>
      <c r="AT127" s="242"/>
      <c r="AU127" s="242"/>
      <c r="AV127" s="242"/>
      <c r="AW127" s="242"/>
      <c r="AX127" s="242"/>
      <c r="AY127" s="242"/>
      <c r="AZ127" s="242"/>
      <c r="BA127" s="242"/>
      <c r="BB127" s="242"/>
      <c r="BC127" s="242"/>
      <c r="BD127" s="242"/>
      <c r="BE127" s="242"/>
      <c r="BF127" s="242"/>
      <c r="BG127" s="242"/>
    </row>
    <row r="128" spans="8:59" x14ac:dyDescent="0.4">
      <c r="H128" s="177"/>
      <c r="I128" s="177"/>
      <c r="J128" s="177"/>
      <c r="K128" s="177"/>
      <c r="L128" s="177"/>
      <c r="M128" s="177"/>
      <c r="N128" s="177"/>
      <c r="O128" s="177"/>
      <c r="P128" s="177"/>
      <c r="Q128" s="177"/>
      <c r="R128" s="177"/>
      <c r="S128" s="177"/>
      <c r="T128" s="177"/>
      <c r="U128" s="177"/>
      <c r="V128" s="177"/>
      <c r="W128" s="177"/>
      <c r="X128" s="177"/>
      <c r="Y128" s="177"/>
      <c r="Z128" s="177"/>
      <c r="AA128" s="177"/>
      <c r="AB128" s="238" t="s">
        <v>438</v>
      </c>
      <c r="AC128" s="239"/>
      <c r="AD128" s="238" t="s">
        <v>441</v>
      </c>
      <c r="AE128" s="240"/>
      <c r="AF128" s="240"/>
      <c r="AG128" s="240"/>
      <c r="AH128" s="239"/>
      <c r="AI128" s="241" t="s">
        <v>428</v>
      </c>
      <c r="AJ128" s="241"/>
      <c r="AK128" s="242" t="s">
        <v>504</v>
      </c>
      <c r="AL128" s="242"/>
      <c r="AM128" s="242"/>
      <c r="AN128" s="242"/>
      <c r="AO128" s="242"/>
      <c r="AP128" s="242"/>
      <c r="AQ128" s="242"/>
      <c r="AR128" s="242"/>
      <c r="AS128" s="242"/>
      <c r="AT128" s="242"/>
      <c r="AU128" s="242"/>
      <c r="AV128" s="242"/>
      <c r="AW128" s="242"/>
      <c r="AX128" s="242"/>
      <c r="AY128" s="242"/>
      <c r="AZ128" s="242"/>
      <c r="BA128" s="242"/>
      <c r="BB128" s="242"/>
      <c r="BC128" s="242"/>
      <c r="BD128" s="242"/>
      <c r="BE128" s="242"/>
      <c r="BF128" s="242"/>
      <c r="BG128" s="242"/>
    </row>
    <row r="129" spans="8:59" x14ac:dyDescent="0.4">
      <c r="H129" s="177"/>
      <c r="I129" s="177"/>
      <c r="J129" s="177"/>
      <c r="K129" s="177"/>
      <c r="L129" s="177"/>
      <c r="M129" s="177"/>
      <c r="N129" s="177"/>
      <c r="O129" s="177"/>
      <c r="P129" s="177"/>
      <c r="Q129" s="177"/>
      <c r="R129" s="177"/>
      <c r="S129" s="177"/>
      <c r="T129" s="177"/>
      <c r="U129" s="177"/>
      <c r="V129" s="177"/>
      <c r="W129" s="177"/>
      <c r="X129" s="177"/>
      <c r="Y129" s="177"/>
      <c r="Z129" s="177"/>
      <c r="AA129" s="177"/>
      <c r="AB129" s="238" t="s">
        <v>440</v>
      </c>
      <c r="AC129" s="239"/>
      <c r="AD129" s="238" t="s">
        <v>470</v>
      </c>
      <c r="AE129" s="240"/>
      <c r="AF129" s="240"/>
      <c r="AG129" s="240"/>
      <c r="AH129" s="239"/>
      <c r="AI129" s="241" t="s">
        <v>428</v>
      </c>
      <c r="AJ129" s="241"/>
      <c r="AK129" s="242" t="s">
        <v>505</v>
      </c>
      <c r="AL129" s="242"/>
      <c r="AM129" s="242"/>
      <c r="AN129" s="242"/>
      <c r="AO129" s="242"/>
      <c r="AP129" s="242"/>
      <c r="AQ129" s="242"/>
      <c r="AR129" s="242"/>
      <c r="AS129" s="242"/>
      <c r="AT129" s="242"/>
      <c r="AU129" s="242"/>
      <c r="AV129" s="242"/>
      <c r="AW129" s="242"/>
      <c r="AX129" s="242"/>
      <c r="AY129" s="242"/>
      <c r="AZ129" s="242"/>
      <c r="BA129" s="242"/>
      <c r="BB129" s="242"/>
      <c r="BC129" s="242"/>
      <c r="BD129" s="242"/>
      <c r="BE129" s="242"/>
      <c r="BF129" s="242"/>
      <c r="BG129" s="242"/>
    </row>
    <row r="130" spans="8:59" x14ac:dyDescent="0.4">
      <c r="H130" s="177"/>
      <c r="I130" s="177"/>
      <c r="J130" s="177"/>
      <c r="K130" s="177"/>
      <c r="L130" s="177"/>
      <c r="M130" s="177"/>
      <c r="N130" s="177"/>
      <c r="O130" s="177"/>
      <c r="P130" s="177"/>
      <c r="Q130" s="177"/>
      <c r="R130" s="177"/>
      <c r="S130" s="177"/>
      <c r="T130" s="177"/>
      <c r="U130" s="177"/>
      <c r="V130" s="177"/>
      <c r="W130" s="177"/>
      <c r="X130" s="177"/>
      <c r="Y130" s="177"/>
      <c r="Z130" s="177"/>
      <c r="AA130" s="177"/>
      <c r="AB130" s="199" t="s">
        <v>447</v>
      </c>
      <c r="AC130" s="200"/>
      <c r="AD130" s="249" t="s">
        <v>245</v>
      </c>
      <c r="AE130" s="250"/>
      <c r="AF130" s="250"/>
      <c r="AG130" s="250"/>
      <c r="AH130" s="251"/>
      <c r="AI130" s="202" t="s">
        <v>245</v>
      </c>
      <c r="AJ130" s="203"/>
      <c r="AK130" s="204" t="s">
        <v>244</v>
      </c>
      <c r="AL130" s="205"/>
      <c r="AM130" s="205"/>
      <c r="AN130" s="205"/>
      <c r="AO130" s="205"/>
      <c r="AP130" s="205"/>
      <c r="AQ130" s="205"/>
      <c r="AR130" s="205"/>
      <c r="AS130" s="205"/>
      <c r="AT130" s="205"/>
      <c r="AU130" s="205"/>
      <c r="AV130" s="205"/>
      <c r="AW130" s="205"/>
      <c r="AX130" s="205"/>
      <c r="AY130" s="205"/>
      <c r="AZ130" s="205"/>
      <c r="BA130" s="205"/>
      <c r="BB130" s="205"/>
      <c r="BC130" s="205"/>
      <c r="BD130" s="205"/>
      <c r="BE130" s="205"/>
      <c r="BF130" s="205"/>
      <c r="BG130" s="206"/>
    </row>
    <row r="131" spans="8:59" x14ac:dyDescent="0.4">
      <c r="H131" s="235" t="s">
        <v>506</v>
      </c>
      <c r="I131" s="235"/>
      <c r="J131" s="235"/>
      <c r="K131" s="235"/>
      <c r="L131" s="235"/>
      <c r="M131" s="235"/>
      <c r="N131" s="235"/>
      <c r="O131" s="235"/>
      <c r="P131" s="235"/>
      <c r="Q131" s="235"/>
      <c r="R131" s="236" t="s">
        <v>507</v>
      </c>
      <c r="S131" s="236"/>
      <c r="T131" s="236"/>
      <c r="U131" s="236"/>
      <c r="V131" s="236"/>
      <c r="W131" s="236"/>
      <c r="X131" s="236"/>
      <c r="Y131" s="236"/>
      <c r="Z131" s="236"/>
      <c r="AA131" s="236"/>
      <c r="AB131" s="226" t="s">
        <v>429</v>
      </c>
      <c r="AC131" s="227"/>
      <c r="AD131" s="232" t="s">
        <v>442</v>
      </c>
      <c r="AE131" s="232"/>
      <c r="AF131" s="232"/>
      <c r="AG131" s="232"/>
      <c r="AH131" s="232"/>
      <c r="AI131" s="233" t="s">
        <v>427</v>
      </c>
      <c r="AJ131" s="233"/>
      <c r="AK131" s="234" t="s">
        <v>508</v>
      </c>
      <c r="AL131" s="234"/>
      <c r="AM131" s="234"/>
      <c r="AN131" s="234"/>
      <c r="AO131" s="234"/>
      <c r="AP131" s="234"/>
      <c r="AQ131" s="234"/>
      <c r="AR131" s="234"/>
      <c r="AS131" s="234"/>
      <c r="AT131" s="234"/>
      <c r="AU131" s="234"/>
      <c r="AV131" s="234"/>
      <c r="AW131" s="234"/>
      <c r="AX131" s="234"/>
      <c r="AY131" s="234"/>
      <c r="AZ131" s="234"/>
      <c r="BA131" s="234"/>
      <c r="BB131" s="234"/>
      <c r="BC131" s="234"/>
      <c r="BD131" s="234"/>
      <c r="BE131" s="234"/>
      <c r="BF131" s="234"/>
      <c r="BG131" s="234"/>
    </row>
    <row r="132" spans="8:59" x14ac:dyDescent="0.4">
      <c r="H132" s="233"/>
      <c r="I132" s="233"/>
      <c r="J132" s="233"/>
      <c r="K132" s="233"/>
      <c r="L132" s="233"/>
      <c r="M132" s="233"/>
      <c r="N132" s="233"/>
      <c r="O132" s="233"/>
      <c r="P132" s="233"/>
      <c r="Q132" s="233"/>
      <c r="R132" s="237"/>
      <c r="S132" s="237"/>
      <c r="T132" s="237"/>
      <c r="U132" s="237"/>
      <c r="V132" s="237"/>
      <c r="W132" s="237"/>
      <c r="X132" s="237"/>
      <c r="Y132" s="237"/>
      <c r="Z132" s="237"/>
      <c r="AA132" s="237"/>
      <c r="AB132" s="230"/>
      <c r="AC132" s="231"/>
      <c r="AD132" s="232"/>
      <c r="AE132" s="232"/>
      <c r="AF132" s="232"/>
      <c r="AG132" s="232"/>
      <c r="AH132" s="232"/>
      <c r="AI132" s="233"/>
      <c r="AJ132" s="233"/>
      <c r="AK132" s="234"/>
      <c r="AL132" s="234"/>
      <c r="AM132" s="234"/>
      <c r="AN132" s="234"/>
      <c r="AO132" s="234"/>
      <c r="AP132" s="234"/>
      <c r="AQ132" s="234"/>
      <c r="AR132" s="234"/>
      <c r="AS132" s="234"/>
      <c r="AT132" s="234"/>
      <c r="AU132" s="234"/>
      <c r="AV132" s="234"/>
      <c r="AW132" s="234"/>
      <c r="AX132" s="234"/>
      <c r="AY132" s="234"/>
      <c r="AZ132" s="234"/>
      <c r="BA132" s="234"/>
      <c r="BB132" s="234"/>
      <c r="BC132" s="234"/>
      <c r="BD132" s="234"/>
      <c r="BE132" s="234"/>
      <c r="BF132" s="234"/>
      <c r="BG132" s="234"/>
    </row>
    <row r="133" spans="8:59" x14ac:dyDescent="0.4">
      <c r="H133" s="233"/>
      <c r="I133" s="233"/>
      <c r="J133" s="233"/>
      <c r="K133" s="233"/>
      <c r="L133" s="233"/>
      <c r="M133" s="233"/>
      <c r="N133" s="233"/>
      <c r="O133" s="233"/>
      <c r="P133" s="233"/>
      <c r="Q133" s="233"/>
      <c r="R133" s="237"/>
      <c r="S133" s="237"/>
      <c r="T133" s="237"/>
      <c r="U133" s="237"/>
      <c r="V133" s="237"/>
      <c r="W133" s="237"/>
      <c r="X133" s="237"/>
      <c r="Y133" s="237"/>
      <c r="Z133" s="237"/>
      <c r="AA133" s="237"/>
      <c r="AB133" s="226" t="s">
        <v>431</v>
      </c>
      <c r="AC133" s="227"/>
      <c r="AD133" s="232" t="s">
        <v>443</v>
      </c>
      <c r="AE133" s="232"/>
      <c r="AF133" s="232"/>
      <c r="AG133" s="232"/>
      <c r="AH133" s="232"/>
      <c r="AI133" s="233" t="s">
        <v>444</v>
      </c>
      <c r="AJ133" s="233"/>
      <c r="AK133" s="234" t="s">
        <v>509</v>
      </c>
      <c r="AL133" s="234"/>
      <c r="AM133" s="234"/>
      <c r="AN133" s="234"/>
      <c r="AO133" s="234"/>
      <c r="AP133" s="234"/>
      <c r="AQ133" s="234"/>
      <c r="AR133" s="234"/>
      <c r="AS133" s="234"/>
      <c r="AT133" s="234"/>
      <c r="AU133" s="234"/>
      <c r="AV133" s="234"/>
      <c r="AW133" s="234"/>
      <c r="AX133" s="234"/>
      <c r="AY133" s="234"/>
      <c r="AZ133" s="234"/>
      <c r="BA133" s="234"/>
      <c r="BB133" s="234"/>
      <c r="BC133" s="234"/>
      <c r="BD133" s="234"/>
      <c r="BE133" s="234"/>
      <c r="BF133" s="234"/>
      <c r="BG133" s="234"/>
    </row>
    <row r="134" spans="8:59" ht="18.75" customHeight="1" x14ac:dyDescent="0.4">
      <c r="H134" s="233"/>
      <c r="I134" s="233"/>
      <c r="J134" s="233"/>
      <c r="K134" s="233"/>
      <c r="L134" s="233"/>
      <c r="M134" s="233"/>
      <c r="N134" s="233"/>
      <c r="O134" s="233"/>
      <c r="P134" s="233"/>
      <c r="Q134" s="233"/>
      <c r="R134" s="237"/>
      <c r="S134" s="237"/>
      <c r="T134" s="237"/>
      <c r="U134" s="237"/>
      <c r="V134" s="237"/>
      <c r="W134" s="237"/>
      <c r="X134" s="237"/>
      <c r="Y134" s="237"/>
      <c r="Z134" s="237"/>
      <c r="AA134" s="237"/>
      <c r="AB134" s="230"/>
      <c r="AC134" s="231"/>
      <c r="AD134" s="232"/>
      <c r="AE134" s="232"/>
      <c r="AF134" s="232"/>
      <c r="AG134" s="232"/>
      <c r="AH134" s="232"/>
      <c r="AI134" s="233"/>
      <c r="AJ134" s="233"/>
      <c r="AK134" s="234"/>
      <c r="AL134" s="234"/>
      <c r="AM134" s="234"/>
      <c r="AN134" s="234"/>
      <c r="AO134" s="234"/>
      <c r="AP134" s="234"/>
      <c r="AQ134" s="234"/>
      <c r="AR134" s="234"/>
      <c r="AS134" s="234"/>
      <c r="AT134" s="234"/>
      <c r="AU134" s="234"/>
      <c r="AV134" s="234"/>
      <c r="AW134" s="234"/>
      <c r="AX134" s="234"/>
      <c r="AY134" s="234"/>
      <c r="AZ134" s="234"/>
      <c r="BA134" s="234"/>
      <c r="BB134" s="234"/>
      <c r="BC134" s="234"/>
      <c r="BD134" s="234"/>
      <c r="BE134" s="234"/>
      <c r="BF134" s="234"/>
      <c r="BG134" s="234"/>
    </row>
    <row r="135" spans="8:59" x14ac:dyDescent="0.4">
      <c r="H135" s="233"/>
      <c r="I135" s="233"/>
      <c r="J135" s="233"/>
      <c r="K135" s="233"/>
      <c r="L135" s="233"/>
      <c r="M135" s="233"/>
      <c r="N135" s="233"/>
      <c r="O135" s="233"/>
      <c r="P135" s="233"/>
      <c r="Q135" s="233"/>
      <c r="R135" s="237"/>
      <c r="S135" s="237"/>
      <c r="T135" s="237"/>
      <c r="U135" s="237"/>
      <c r="V135" s="237"/>
      <c r="W135" s="237"/>
      <c r="X135" s="237"/>
      <c r="Y135" s="237"/>
      <c r="Z135" s="237"/>
      <c r="AA135" s="237"/>
      <c r="AB135" s="226" t="s">
        <v>432</v>
      </c>
      <c r="AC135" s="227"/>
      <c r="AD135" s="232" t="s">
        <v>445</v>
      </c>
      <c r="AE135" s="232"/>
      <c r="AF135" s="232"/>
      <c r="AG135" s="232"/>
      <c r="AH135" s="232"/>
      <c r="AI135" s="233" t="s">
        <v>444</v>
      </c>
      <c r="AJ135" s="233"/>
      <c r="AK135" s="234" t="s">
        <v>510</v>
      </c>
      <c r="AL135" s="234"/>
      <c r="AM135" s="234"/>
      <c r="AN135" s="234"/>
      <c r="AO135" s="234"/>
      <c r="AP135" s="234"/>
      <c r="AQ135" s="234"/>
      <c r="AR135" s="234"/>
      <c r="AS135" s="234"/>
      <c r="AT135" s="234"/>
      <c r="AU135" s="234"/>
      <c r="AV135" s="234"/>
      <c r="AW135" s="234"/>
      <c r="AX135" s="234"/>
      <c r="AY135" s="234"/>
      <c r="AZ135" s="234"/>
      <c r="BA135" s="234"/>
      <c r="BB135" s="234"/>
      <c r="BC135" s="234"/>
      <c r="BD135" s="234"/>
      <c r="BE135" s="234"/>
      <c r="BF135" s="234"/>
      <c r="BG135" s="234"/>
    </row>
    <row r="136" spans="8:59" x14ac:dyDescent="0.4">
      <c r="H136" s="233"/>
      <c r="I136" s="233"/>
      <c r="J136" s="233"/>
      <c r="K136" s="233"/>
      <c r="L136" s="233"/>
      <c r="M136" s="233"/>
      <c r="N136" s="233"/>
      <c r="O136" s="233"/>
      <c r="P136" s="233"/>
      <c r="Q136" s="233"/>
      <c r="R136" s="237"/>
      <c r="S136" s="237"/>
      <c r="T136" s="237"/>
      <c r="U136" s="237"/>
      <c r="V136" s="237"/>
      <c r="W136" s="237"/>
      <c r="X136" s="237"/>
      <c r="Y136" s="237"/>
      <c r="Z136" s="237"/>
      <c r="AA136" s="237"/>
      <c r="AB136" s="228"/>
      <c r="AC136" s="229"/>
      <c r="AD136" s="232"/>
      <c r="AE136" s="232"/>
      <c r="AF136" s="232"/>
      <c r="AG136" s="232"/>
      <c r="AH136" s="232"/>
      <c r="AI136" s="233"/>
      <c r="AJ136" s="233"/>
      <c r="AK136" s="234"/>
      <c r="AL136" s="234"/>
      <c r="AM136" s="234"/>
      <c r="AN136" s="234"/>
      <c r="AO136" s="234"/>
      <c r="AP136" s="234"/>
      <c r="AQ136" s="234"/>
      <c r="AR136" s="234"/>
      <c r="AS136" s="234"/>
      <c r="AT136" s="234"/>
      <c r="AU136" s="234"/>
      <c r="AV136" s="234"/>
      <c r="AW136" s="234"/>
      <c r="AX136" s="234"/>
      <c r="AY136" s="234"/>
      <c r="AZ136" s="234"/>
      <c r="BA136" s="234"/>
      <c r="BB136" s="234"/>
      <c r="BC136" s="234"/>
      <c r="BD136" s="234"/>
      <c r="BE136" s="234"/>
      <c r="BF136" s="234"/>
      <c r="BG136" s="234"/>
    </row>
    <row r="137" spans="8:59" x14ac:dyDescent="0.4">
      <c r="H137" s="233"/>
      <c r="I137" s="233"/>
      <c r="J137" s="233"/>
      <c r="K137" s="233"/>
      <c r="L137" s="233"/>
      <c r="M137" s="233"/>
      <c r="N137" s="233"/>
      <c r="O137" s="233"/>
      <c r="P137" s="233"/>
      <c r="Q137" s="233"/>
      <c r="R137" s="237"/>
      <c r="S137" s="237"/>
      <c r="T137" s="237"/>
      <c r="U137" s="237"/>
      <c r="V137" s="237"/>
      <c r="W137" s="237"/>
      <c r="X137" s="237"/>
      <c r="Y137" s="237"/>
      <c r="Z137" s="237"/>
      <c r="AA137" s="237"/>
      <c r="AB137" s="230"/>
      <c r="AC137" s="231"/>
      <c r="AD137" s="232"/>
      <c r="AE137" s="232"/>
      <c r="AF137" s="232"/>
      <c r="AG137" s="232"/>
      <c r="AH137" s="232"/>
      <c r="AI137" s="233"/>
      <c r="AJ137" s="233"/>
      <c r="AK137" s="234"/>
      <c r="AL137" s="234"/>
      <c r="AM137" s="234"/>
      <c r="AN137" s="234"/>
      <c r="AO137" s="234"/>
      <c r="AP137" s="234"/>
      <c r="AQ137" s="234"/>
      <c r="AR137" s="234"/>
      <c r="AS137" s="234"/>
      <c r="AT137" s="234"/>
      <c r="AU137" s="234"/>
      <c r="AV137" s="234"/>
      <c r="AW137" s="234"/>
      <c r="AX137" s="234"/>
      <c r="AY137" s="234"/>
      <c r="AZ137" s="234"/>
      <c r="BA137" s="234"/>
      <c r="BB137" s="234"/>
      <c r="BC137" s="234"/>
      <c r="BD137" s="234"/>
      <c r="BE137" s="234"/>
      <c r="BF137" s="234"/>
      <c r="BG137" s="234"/>
    </row>
    <row r="138" spans="8:59" x14ac:dyDescent="0.4">
      <c r="H138" s="233"/>
      <c r="I138" s="233"/>
      <c r="J138" s="233"/>
      <c r="K138" s="233"/>
      <c r="L138" s="233"/>
      <c r="M138" s="233"/>
      <c r="N138" s="233"/>
      <c r="O138" s="233"/>
      <c r="P138" s="233"/>
      <c r="Q138" s="233"/>
      <c r="R138" s="237"/>
      <c r="S138" s="237"/>
      <c r="T138" s="237"/>
      <c r="U138" s="237"/>
      <c r="V138" s="237"/>
      <c r="W138" s="237"/>
      <c r="X138" s="237"/>
      <c r="Y138" s="237"/>
      <c r="Z138" s="237"/>
      <c r="AA138" s="237"/>
      <c r="AB138" s="226" t="s">
        <v>434</v>
      </c>
      <c r="AC138" s="227"/>
      <c r="AD138" s="232" t="s">
        <v>446</v>
      </c>
      <c r="AE138" s="232"/>
      <c r="AF138" s="232"/>
      <c r="AG138" s="232"/>
      <c r="AH138" s="232"/>
      <c r="AI138" s="233" t="s">
        <v>444</v>
      </c>
      <c r="AJ138" s="233"/>
      <c r="AK138" s="234" t="s">
        <v>511</v>
      </c>
      <c r="AL138" s="234"/>
      <c r="AM138" s="234"/>
      <c r="AN138" s="234"/>
      <c r="AO138" s="234"/>
      <c r="AP138" s="234"/>
      <c r="AQ138" s="234"/>
      <c r="AR138" s="234"/>
      <c r="AS138" s="234"/>
      <c r="AT138" s="234"/>
      <c r="AU138" s="234"/>
      <c r="AV138" s="234"/>
      <c r="AW138" s="234"/>
      <c r="AX138" s="234"/>
      <c r="AY138" s="234"/>
      <c r="AZ138" s="234"/>
      <c r="BA138" s="234"/>
      <c r="BB138" s="234"/>
      <c r="BC138" s="234"/>
      <c r="BD138" s="234"/>
      <c r="BE138" s="234"/>
      <c r="BF138" s="234"/>
      <c r="BG138" s="234"/>
    </row>
    <row r="139" spans="8:59" x14ac:dyDescent="0.4">
      <c r="H139" s="233"/>
      <c r="I139" s="233"/>
      <c r="J139" s="233"/>
      <c r="K139" s="233"/>
      <c r="L139" s="233"/>
      <c r="M139" s="233"/>
      <c r="N139" s="233"/>
      <c r="O139" s="233"/>
      <c r="P139" s="233"/>
      <c r="Q139" s="233"/>
      <c r="R139" s="237"/>
      <c r="S139" s="237"/>
      <c r="T139" s="237"/>
      <c r="U139" s="237"/>
      <c r="V139" s="237"/>
      <c r="W139" s="237"/>
      <c r="X139" s="237"/>
      <c r="Y139" s="237"/>
      <c r="Z139" s="237"/>
      <c r="AA139" s="237"/>
      <c r="AB139" s="230"/>
      <c r="AC139" s="231"/>
      <c r="AD139" s="232"/>
      <c r="AE139" s="232"/>
      <c r="AF139" s="232"/>
      <c r="AG139" s="232"/>
      <c r="AH139" s="232"/>
      <c r="AI139" s="233"/>
      <c r="AJ139" s="233"/>
      <c r="AK139" s="234"/>
      <c r="AL139" s="234"/>
      <c r="AM139" s="234"/>
      <c r="AN139" s="234"/>
      <c r="AO139" s="234"/>
      <c r="AP139" s="234"/>
      <c r="AQ139" s="234"/>
      <c r="AR139" s="234"/>
      <c r="AS139" s="234"/>
      <c r="AT139" s="234"/>
      <c r="AU139" s="234"/>
      <c r="AV139" s="234"/>
      <c r="AW139" s="234"/>
      <c r="AX139" s="234"/>
      <c r="AY139" s="234"/>
      <c r="AZ139" s="234"/>
      <c r="BA139" s="234"/>
      <c r="BB139" s="234"/>
      <c r="BC139" s="234"/>
      <c r="BD139" s="234"/>
      <c r="BE139" s="234"/>
      <c r="BF139" s="234"/>
      <c r="BG139" s="234"/>
    </row>
    <row r="140" spans="8:59" x14ac:dyDescent="0.4">
      <c r="H140" s="233"/>
      <c r="I140" s="233"/>
      <c r="J140" s="233"/>
      <c r="K140" s="233"/>
      <c r="L140" s="233"/>
      <c r="M140" s="233"/>
      <c r="N140" s="233"/>
      <c r="O140" s="233"/>
      <c r="P140" s="233"/>
      <c r="Q140" s="233"/>
      <c r="R140" s="237"/>
      <c r="S140" s="237"/>
      <c r="T140" s="237"/>
      <c r="U140" s="237"/>
      <c r="V140" s="237"/>
      <c r="W140" s="237"/>
      <c r="X140" s="237"/>
      <c r="Y140" s="237"/>
      <c r="Z140" s="237"/>
      <c r="AA140" s="237"/>
      <c r="AB140" s="201" t="s">
        <v>512</v>
      </c>
      <c r="AC140" s="200"/>
      <c r="AD140" s="201" t="s">
        <v>245</v>
      </c>
      <c r="AE140" s="199"/>
      <c r="AF140" s="199"/>
      <c r="AG140" s="199"/>
      <c r="AH140" s="200"/>
      <c r="AI140" s="202" t="s">
        <v>245</v>
      </c>
      <c r="AJ140" s="203"/>
      <c r="AK140" s="204" t="s">
        <v>244</v>
      </c>
      <c r="AL140" s="205"/>
      <c r="AM140" s="205"/>
      <c r="AN140" s="205"/>
      <c r="AO140" s="205"/>
      <c r="AP140" s="205"/>
      <c r="AQ140" s="205"/>
      <c r="AR140" s="205"/>
      <c r="AS140" s="205"/>
      <c r="AT140" s="205"/>
      <c r="AU140" s="205"/>
      <c r="AV140" s="205"/>
      <c r="AW140" s="205"/>
      <c r="AX140" s="205"/>
      <c r="AY140" s="205"/>
      <c r="AZ140" s="205"/>
      <c r="BA140" s="205"/>
      <c r="BB140" s="205"/>
      <c r="BC140" s="205"/>
      <c r="BD140" s="205"/>
      <c r="BE140" s="205"/>
      <c r="BF140" s="205"/>
      <c r="BG140" s="206"/>
    </row>
    <row r="141" spans="8:59" x14ac:dyDescent="0.4">
      <c r="H141" s="177" t="s">
        <v>513</v>
      </c>
      <c r="I141" s="177"/>
      <c r="J141" s="177"/>
      <c r="K141" s="177"/>
      <c r="L141" s="177"/>
      <c r="M141" s="177"/>
      <c r="N141" s="177"/>
      <c r="O141" s="177"/>
      <c r="P141" s="177"/>
      <c r="Q141" s="177"/>
      <c r="R141" s="178" t="s">
        <v>514</v>
      </c>
      <c r="S141" s="178"/>
      <c r="T141" s="178"/>
      <c r="U141" s="178"/>
      <c r="V141" s="178"/>
      <c r="W141" s="178"/>
      <c r="X141" s="178"/>
      <c r="Y141" s="178"/>
      <c r="Z141" s="178"/>
      <c r="AA141" s="178"/>
      <c r="AB141" s="208" t="s">
        <v>449</v>
      </c>
      <c r="AC141" s="208"/>
      <c r="AD141" s="216" t="s">
        <v>515</v>
      </c>
      <c r="AE141" s="216"/>
      <c r="AF141" s="216"/>
      <c r="AG141" s="216"/>
      <c r="AH141" s="216"/>
      <c r="AI141" s="178" t="s">
        <v>428</v>
      </c>
      <c r="AJ141" s="178"/>
      <c r="AK141" s="212" t="s">
        <v>581</v>
      </c>
      <c r="AL141" s="213"/>
      <c r="AM141" s="213"/>
      <c r="AN141" s="213"/>
      <c r="AO141" s="213"/>
      <c r="AP141" s="213"/>
      <c r="AQ141" s="213"/>
      <c r="AR141" s="213"/>
      <c r="AS141" s="213"/>
      <c r="AT141" s="213"/>
      <c r="AU141" s="213"/>
      <c r="AV141" s="213"/>
      <c r="AW141" s="213"/>
      <c r="AX141" s="213"/>
      <c r="AY141" s="213"/>
      <c r="AZ141" s="213"/>
      <c r="BA141" s="213"/>
      <c r="BB141" s="213"/>
      <c r="BC141" s="213"/>
      <c r="BD141" s="213"/>
      <c r="BE141" s="213"/>
      <c r="BF141" s="213"/>
      <c r="BG141" s="213"/>
    </row>
    <row r="142" spans="8:59" x14ac:dyDescent="0.4">
      <c r="H142" s="177"/>
      <c r="I142" s="177"/>
      <c r="J142" s="177"/>
      <c r="K142" s="177"/>
      <c r="L142" s="177"/>
      <c r="M142" s="177"/>
      <c r="N142" s="177"/>
      <c r="O142" s="177"/>
      <c r="P142" s="177"/>
      <c r="Q142" s="177"/>
      <c r="R142" s="178"/>
      <c r="S142" s="178"/>
      <c r="T142" s="178"/>
      <c r="U142" s="178"/>
      <c r="V142" s="178"/>
      <c r="W142" s="178"/>
      <c r="X142" s="178"/>
      <c r="Y142" s="178"/>
      <c r="Z142" s="178"/>
      <c r="AA142" s="178"/>
      <c r="AB142" s="208"/>
      <c r="AC142" s="208"/>
      <c r="AD142" s="216"/>
      <c r="AE142" s="216"/>
      <c r="AF142" s="216"/>
      <c r="AG142" s="216"/>
      <c r="AH142" s="216"/>
      <c r="AI142" s="178"/>
      <c r="AJ142" s="178"/>
      <c r="AK142" s="213"/>
      <c r="AL142" s="213"/>
      <c r="AM142" s="213"/>
      <c r="AN142" s="213"/>
      <c r="AO142" s="213"/>
      <c r="AP142" s="213"/>
      <c r="AQ142" s="213"/>
      <c r="AR142" s="213"/>
      <c r="AS142" s="213"/>
      <c r="AT142" s="213"/>
      <c r="AU142" s="213"/>
      <c r="AV142" s="213"/>
      <c r="AW142" s="213"/>
      <c r="AX142" s="213"/>
      <c r="AY142" s="213"/>
      <c r="AZ142" s="213"/>
      <c r="BA142" s="213"/>
      <c r="BB142" s="213"/>
      <c r="BC142" s="213"/>
      <c r="BD142" s="213"/>
      <c r="BE142" s="213"/>
      <c r="BF142" s="213"/>
      <c r="BG142" s="213"/>
    </row>
    <row r="143" spans="8:59" x14ac:dyDescent="0.4">
      <c r="H143" s="177" t="s">
        <v>516</v>
      </c>
      <c r="I143" s="177"/>
      <c r="J143" s="177"/>
      <c r="K143" s="177"/>
      <c r="L143" s="177"/>
      <c r="M143" s="177"/>
      <c r="N143" s="177"/>
      <c r="O143" s="177"/>
      <c r="P143" s="177"/>
      <c r="Q143" s="177"/>
      <c r="R143" s="178" t="s">
        <v>517</v>
      </c>
      <c r="S143" s="178"/>
      <c r="T143" s="178"/>
      <c r="U143" s="178"/>
      <c r="V143" s="178"/>
      <c r="W143" s="178"/>
      <c r="X143" s="178"/>
      <c r="Y143" s="178"/>
      <c r="Z143" s="178"/>
      <c r="AA143" s="178"/>
      <c r="AB143" s="208" t="s">
        <v>449</v>
      </c>
      <c r="AC143" s="208"/>
      <c r="AD143" s="225" t="s">
        <v>518</v>
      </c>
      <c r="AE143" s="216"/>
      <c r="AF143" s="216"/>
      <c r="AG143" s="216"/>
      <c r="AH143" s="216"/>
      <c r="AI143" s="178" t="s">
        <v>428</v>
      </c>
      <c r="AJ143" s="178"/>
      <c r="AK143" s="212" t="s">
        <v>582</v>
      </c>
      <c r="AL143" s="213"/>
      <c r="AM143" s="213"/>
      <c r="AN143" s="213"/>
      <c r="AO143" s="213"/>
      <c r="AP143" s="213"/>
      <c r="AQ143" s="213"/>
      <c r="AR143" s="213"/>
      <c r="AS143" s="213"/>
      <c r="AT143" s="213"/>
      <c r="AU143" s="213"/>
      <c r="AV143" s="213"/>
      <c r="AW143" s="213"/>
      <c r="AX143" s="213"/>
      <c r="AY143" s="213"/>
      <c r="AZ143" s="213"/>
      <c r="BA143" s="213"/>
      <c r="BB143" s="213"/>
      <c r="BC143" s="213"/>
      <c r="BD143" s="213"/>
      <c r="BE143" s="213"/>
      <c r="BF143" s="213"/>
      <c r="BG143" s="213"/>
    </row>
    <row r="144" spans="8:59" x14ac:dyDescent="0.4">
      <c r="H144" s="177"/>
      <c r="I144" s="177"/>
      <c r="J144" s="177"/>
      <c r="K144" s="177"/>
      <c r="L144" s="177"/>
      <c r="M144" s="177"/>
      <c r="N144" s="177"/>
      <c r="O144" s="177"/>
      <c r="P144" s="177"/>
      <c r="Q144" s="177"/>
      <c r="R144" s="178"/>
      <c r="S144" s="178"/>
      <c r="T144" s="178"/>
      <c r="U144" s="178"/>
      <c r="V144" s="178"/>
      <c r="W144" s="178"/>
      <c r="X144" s="178"/>
      <c r="Y144" s="178"/>
      <c r="Z144" s="178"/>
      <c r="AA144" s="178"/>
      <c r="AB144" s="208"/>
      <c r="AC144" s="208"/>
      <c r="AD144" s="216"/>
      <c r="AE144" s="216"/>
      <c r="AF144" s="216"/>
      <c r="AG144" s="216"/>
      <c r="AH144" s="216"/>
      <c r="AI144" s="178"/>
      <c r="AJ144" s="178"/>
      <c r="AK144" s="213"/>
      <c r="AL144" s="213"/>
      <c r="AM144" s="213"/>
      <c r="AN144" s="213"/>
      <c r="AO144" s="213"/>
      <c r="AP144" s="213"/>
      <c r="AQ144" s="213"/>
      <c r="AR144" s="213"/>
      <c r="AS144" s="213"/>
      <c r="AT144" s="213"/>
      <c r="AU144" s="213"/>
      <c r="AV144" s="213"/>
      <c r="AW144" s="213"/>
      <c r="AX144" s="213"/>
      <c r="AY144" s="213"/>
      <c r="AZ144" s="213"/>
      <c r="BA144" s="213"/>
      <c r="BB144" s="213"/>
      <c r="BC144" s="213"/>
      <c r="BD144" s="213"/>
      <c r="BE144" s="213"/>
      <c r="BF144" s="213"/>
      <c r="BG144" s="213"/>
    </row>
    <row r="145" spans="8:59" x14ac:dyDescent="0.4">
      <c r="H145" s="174" t="s">
        <v>519</v>
      </c>
      <c r="I145" s="175"/>
      <c r="J145" s="175"/>
      <c r="K145" s="175"/>
      <c r="L145" s="175"/>
      <c r="M145" s="175"/>
      <c r="N145" s="175"/>
      <c r="O145" s="175"/>
      <c r="P145" s="175"/>
      <c r="Q145" s="175"/>
      <c r="R145" s="175"/>
      <c r="S145" s="175"/>
      <c r="T145" s="175"/>
      <c r="U145" s="175"/>
      <c r="V145" s="175"/>
      <c r="W145" s="175"/>
      <c r="X145" s="175"/>
      <c r="Y145" s="175"/>
      <c r="Z145" s="175"/>
      <c r="AA145" s="175"/>
      <c r="AB145" s="175"/>
      <c r="AC145" s="175"/>
      <c r="AD145" s="175"/>
      <c r="AE145" s="175"/>
      <c r="AF145" s="175"/>
      <c r="AG145" s="175"/>
      <c r="AH145" s="175"/>
      <c r="AI145" s="175"/>
      <c r="AJ145" s="175"/>
      <c r="AK145" s="175"/>
      <c r="AL145" s="175"/>
      <c r="AM145" s="175"/>
      <c r="AN145" s="175"/>
      <c r="AO145" s="175"/>
      <c r="AP145" s="175"/>
      <c r="AQ145" s="175"/>
      <c r="AR145" s="175"/>
      <c r="AS145" s="175"/>
      <c r="AT145" s="175"/>
      <c r="AU145" s="175"/>
      <c r="AV145" s="175"/>
      <c r="AW145" s="175"/>
      <c r="AX145" s="175"/>
      <c r="AY145" s="175"/>
      <c r="AZ145" s="175"/>
      <c r="BA145" s="175"/>
      <c r="BB145" s="175"/>
      <c r="BC145" s="175"/>
      <c r="BD145" s="175"/>
      <c r="BE145" s="175"/>
      <c r="BF145" s="175"/>
      <c r="BG145" s="176"/>
    </row>
    <row r="148" spans="8:59" x14ac:dyDescent="0.4">
      <c r="H148" s="217" t="s">
        <v>520</v>
      </c>
      <c r="I148" s="218"/>
      <c r="J148" s="218"/>
      <c r="K148" s="218"/>
      <c r="L148" s="218"/>
      <c r="M148" s="218"/>
      <c r="N148" s="218"/>
      <c r="O148" s="218"/>
      <c r="P148" s="218"/>
      <c r="Q148" s="218"/>
      <c r="R148" s="218"/>
      <c r="S148" s="218"/>
      <c r="T148" s="218"/>
      <c r="U148" s="218"/>
      <c r="V148" s="218"/>
      <c r="W148" s="218"/>
      <c r="X148" s="218"/>
      <c r="Y148" s="218"/>
      <c r="Z148" s="218"/>
      <c r="AA148" s="218"/>
      <c r="AB148" s="218"/>
      <c r="AC148" s="218"/>
      <c r="AD148" s="218"/>
      <c r="AE148" s="218"/>
      <c r="AF148" s="218"/>
      <c r="AG148" s="218"/>
      <c r="AH148" s="218"/>
      <c r="AI148" s="218"/>
      <c r="AJ148" s="218"/>
      <c r="AK148" s="218"/>
      <c r="AL148" s="218"/>
      <c r="AM148" s="218"/>
      <c r="AN148" s="218"/>
      <c r="AO148" s="218"/>
      <c r="AP148" s="218"/>
      <c r="AQ148" s="218"/>
      <c r="AR148" s="218"/>
      <c r="AS148" s="218"/>
      <c r="AT148" s="218"/>
      <c r="AU148" s="218"/>
      <c r="AV148" s="218"/>
      <c r="AW148" s="218"/>
      <c r="AX148" s="218"/>
      <c r="AY148" s="218"/>
      <c r="AZ148" s="218"/>
      <c r="BA148" s="218"/>
      <c r="BB148" s="218"/>
      <c r="BC148" s="218"/>
      <c r="BD148" s="218"/>
      <c r="BE148" s="218"/>
      <c r="BF148" s="218"/>
      <c r="BG148" s="219"/>
    </row>
    <row r="149" spans="8:59" x14ac:dyDescent="0.4">
      <c r="H149" s="220" t="s">
        <v>419</v>
      </c>
      <c r="I149" s="220"/>
      <c r="J149" s="220"/>
      <c r="K149" s="220"/>
      <c r="L149" s="220"/>
      <c r="M149" s="220"/>
      <c r="N149" s="220"/>
      <c r="O149" s="220"/>
      <c r="P149" s="220"/>
      <c r="Q149" s="220"/>
      <c r="R149" s="220" t="s">
        <v>1</v>
      </c>
      <c r="S149" s="220"/>
      <c r="T149" s="220"/>
      <c r="U149" s="220"/>
      <c r="V149" s="220"/>
      <c r="W149" s="220"/>
      <c r="X149" s="220"/>
      <c r="Y149" s="220"/>
      <c r="Z149" s="220"/>
      <c r="AA149" s="220"/>
      <c r="AB149" s="221" t="s">
        <v>420</v>
      </c>
      <c r="AC149" s="222"/>
      <c r="AD149" s="221" t="s">
        <v>421</v>
      </c>
      <c r="AE149" s="223"/>
      <c r="AF149" s="223"/>
      <c r="AG149" s="223"/>
      <c r="AH149" s="222"/>
      <c r="AI149" s="224" t="s">
        <v>422</v>
      </c>
      <c r="AJ149" s="224"/>
      <c r="AK149" s="220" t="s">
        <v>423</v>
      </c>
      <c r="AL149" s="220"/>
      <c r="AM149" s="220"/>
      <c r="AN149" s="220"/>
      <c r="AO149" s="220"/>
      <c r="AP149" s="220"/>
      <c r="AQ149" s="220"/>
      <c r="AR149" s="220"/>
      <c r="AS149" s="220"/>
      <c r="AT149" s="220"/>
      <c r="AU149" s="220"/>
      <c r="AV149" s="220"/>
      <c r="AW149" s="220"/>
      <c r="AX149" s="220"/>
      <c r="AY149" s="220"/>
      <c r="AZ149" s="220"/>
      <c r="BA149" s="220"/>
      <c r="BB149" s="220"/>
      <c r="BC149" s="220"/>
      <c r="BD149" s="220"/>
      <c r="BE149" s="220"/>
      <c r="BF149" s="220"/>
      <c r="BG149" s="220"/>
    </row>
    <row r="150" spans="8:59" x14ac:dyDescent="0.4">
      <c r="H150" s="177" t="s">
        <v>521</v>
      </c>
      <c r="I150" s="177"/>
      <c r="J150" s="177"/>
      <c r="K150" s="177"/>
      <c r="L150" s="177"/>
      <c r="M150" s="177"/>
      <c r="N150" s="177"/>
      <c r="O150" s="177"/>
      <c r="P150" s="177"/>
      <c r="Q150" s="177"/>
      <c r="R150" s="178" t="s">
        <v>522</v>
      </c>
      <c r="S150" s="178"/>
      <c r="T150" s="178"/>
      <c r="U150" s="178"/>
      <c r="V150" s="178"/>
      <c r="W150" s="178"/>
      <c r="X150" s="178"/>
      <c r="Y150" s="178"/>
      <c r="Z150" s="178"/>
      <c r="AA150" s="178"/>
      <c r="AB150" s="207" t="s">
        <v>523</v>
      </c>
      <c r="AC150" s="208"/>
      <c r="AD150" s="216" t="s">
        <v>524</v>
      </c>
      <c r="AE150" s="216"/>
      <c r="AF150" s="216"/>
      <c r="AG150" s="216"/>
      <c r="AH150" s="216"/>
      <c r="AI150" s="178" t="s">
        <v>428</v>
      </c>
      <c r="AJ150" s="178"/>
      <c r="AK150" s="212" t="s">
        <v>525</v>
      </c>
      <c r="AL150" s="213"/>
      <c r="AM150" s="213"/>
      <c r="AN150" s="213"/>
      <c r="AO150" s="213"/>
      <c r="AP150" s="213"/>
      <c r="AQ150" s="213"/>
      <c r="AR150" s="213"/>
      <c r="AS150" s="213"/>
      <c r="AT150" s="213"/>
      <c r="AU150" s="213"/>
      <c r="AV150" s="213"/>
      <c r="AW150" s="213"/>
      <c r="AX150" s="213"/>
      <c r="AY150" s="213"/>
      <c r="AZ150" s="213"/>
      <c r="BA150" s="213"/>
      <c r="BB150" s="213"/>
      <c r="BC150" s="213"/>
      <c r="BD150" s="213"/>
      <c r="BE150" s="213"/>
      <c r="BF150" s="213"/>
      <c r="BG150" s="213"/>
    </row>
    <row r="151" spans="8:59" x14ac:dyDescent="0.4">
      <c r="H151" s="177"/>
      <c r="I151" s="177"/>
      <c r="J151" s="177"/>
      <c r="K151" s="177"/>
      <c r="L151" s="177"/>
      <c r="M151" s="177"/>
      <c r="N151" s="177"/>
      <c r="O151" s="177"/>
      <c r="P151" s="177"/>
      <c r="Q151" s="177"/>
      <c r="R151" s="178"/>
      <c r="S151" s="178"/>
      <c r="T151" s="178"/>
      <c r="U151" s="178"/>
      <c r="V151" s="178"/>
      <c r="W151" s="178"/>
      <c r="X151" s="178"/>
      <c r="Y151" s="178"/>
      <c r="Z151" s="178"/>
      <c r="AA151" s="178"/>
      <c r="AB151" s="207"/>
      <c r="AC151" s="208"/>
      <c r="AD151" s="216"/>
      <c r="AE151" s="216"/>
      <c r="AF151" s="216"/>
      <c r="AG151" s="216"/>
      <c r="AH151" s="216"/>
      <c r="AI151" s="178"/>
      <c r="AJ151" s="178"/>
      <c r="AK151" s="213"/>
      <c r="AL151" s="213"/>
      <c r="AM151" s="213"/>
      <c r="AN151" s="213"/>
      <c r="AO151" s="213"/>
      <c r="AP151" s="213"/>
      <c r="AQ151" s="213"/>
      <c r="AR151" s="213"/>
      <c r="AS151" s="213"/>
      <c r="AT151" s="213"/>
      <c r="AU151" s="213"/>
      <c r="AV151" s="213"/>
      <c r="AW151" s="213"/>
      <c r="AX151" s="213"/>
      <c r="AY151" s="213"/>
      <c r="AZ151" s="213"/>
      <c r="BA151" s="213"/>
      <c r="BB151" s="213"/>
      <c r="BC151" s="213"/>
      <c r="BD151" s="213"/>
      <c r="BE151" s="213"/>
      <c r="BF151" s="213"/>
      <c r="BG151" s="213"/>
    </row>
    <row r="152" spans="8:59" x14ac:dyDescent="0.4">
      <c r="H152" s="177"/>
      <c r="I152" s="177"/>
      <c r="J152" s="177"/>
      <c r="K152" s="177"/>
      <c r="L152" s="177"/>
      <c r="M152" s="177"/>
      <c r="N152" s="177"/>
      <c r="O152" s="177"/>
      <c r="P152" s="177"/>
      <c r="Q152" s="177"/>
      <c r="R152" s="178"/>
      <c r="S152" s="178"/>
      <c r="T152" s="178"/>
      <c r="U152" s="178"/>
      <c r="V152" s="178"/>
      <c r="W152" s="178"/>
      <c r="X152" s="178"/>
      <c r="Y152" s="178"/>
      <c r="Z152" s="178"/>
      <c r="AA152" s="178"/>
      <c r="AB152" s="199" t="s">
        <v>526</v>
      </c>
      <c r="AC152" s="200"/>
      <c r="AD152" s="201" t="s">
        <v>245</v>
      </c>
      <c r="AE152" s="199"/>
      <c r="AF152" s="199"/>
      <c r="AG152" s="199"/>
      <c r="AH152" s="200"/>
      <c r="AI152" s="202" t="s">
        <v>245</v>
      </c>
      <c r="AJ152" s="203"/>
      <c r="AK152" s="204" t="s">
        <v>244</v>
      </c>
      <c r="AL152" s="205"/>
      <c r="AM152" s="205"/>
      <c r="AN152" s="205"/>
      <c r="AO152" s="205"/>
      <c r="AP152" s="205"/>
      <c r="AQ152" s="205"/>
      <c r="AR152" s="205"/>
      <c r="AS152" s="205"/>
      <c r="AT152" s="205"/>
      <c r="AU152" s="205"/>
      <c r="AV152" s="205"/>
      <c r="AW152" s="205"/>
      <c r="AX152" s="205"/>
      <c r="AY152" s="205"/>
      <c r="AZ152" s="205"/>
      <c r="BA152" s="205"/>
      <c r="BB152" s="205"/>
      <c r="BC152" s="205"/>
      <c r="BD152" s="205"/>
      <c r="BE152" s="205"/>
      <c r="BF152" s="205"/>
      <c r="BG152" s="206"/>
    </row>
    <row r="153" spans="8:59" x14ac:dyDescent="0.4">
      <c r="H153" s="177" t="s">
        <v>527</v>
      </c>
      <c r="I153" s="177"/>
      <c r="J153" s="177"/>
      <c r="K153" s="177"/>
      <c r="L153" s="177"/>
      <c r="M153" s="177"/>
      <c r="N153" s="177"/>
      <c r="O153" s="177"/>
      <c r="P153" s="177"/>
      <c r="Q153" s="177"/>
      <c r="R153" s="178" t="s">
        <v>528</v>
      </c>
      <c r="S153" s="178"/>
      <c r="T153" s="178"/>
      <c r="U153" s="178"/>
      <c r="V153" s="178"/>
      <c r="W153" s="178"/>
      <c r="X153" s="178"/>
      <c r="Y153" s="178"/>
      <c r="Z153" s="178"/>
      <c r="AA153" s="178"/>
      <c r="AB153" s="207" t="s">
        <v>449</v>
      </c>
      <c r="AC153" s="208"/>
      <c r="AD153" s="216" t="s">
        <v>529</v>
      </c>
      <c r="AE153" s="216"/>
      <c r="AF153" s="216"/>
      <c r="AG153" s="216"/>
      <c r="AH153" s="216"/>
      <c r="AI153" s="178" t="s">
        <v>428</v>
      </c>
      <c r="AJ153" s="178"/>
      <c r="AK153" s="212" t="s">
        <v>922</v>
      </c>
      <c r="AL153" s="213"/>
      <c r="AM153" s="213"/>
      <c r="AN153" s="213"/>
      <c r="AO153" s="213"/>
      <c r="AP153" s="213"/>
      <c r="AQ153" s="213"/>
      <c r="AR153" s="213"/>
      <c r="AS153" s="213"/>
      <c r="AT153" s="213"/>
      <c r="AU153" s="213"/>
      <c r="AV153" s="213"/>
      <c r="AW153" s="213"/>
      <c r="AX153" s="213"/>
      <c r="AY153" s="213"/>
      <c r="AZ153" s="213"/>
      <c r="BA153" s="213"/>
      <c r="BB153" s="213"/>
      <c r="BC153" s="213"/>
      <c r="BD153" s="213"/>
      <c r="BE153" s="213"/>
      <c r="BF153" s="213"/>
      <c r="BG153" s="213"/>
    </row>
    <row r="154" spans="8:59" x14ac:dyDescent="0.4">
      <c r="H154" s="177"/>
      <c r="I154" s="177"/>
      <c r="J154" s="177"/>
      <c r="K154" s="177"/>
      <c r="L154" s="177"/>
      <c r="M154" s="177"/>
      <c r="N154" s="177"/>
      <c r="O154" s="177"/>
      <c r="P154" s="177"/>
      <c r="Q154" s="177"/>
      <c r="R154" s="178"/>
      <c r="S154" s="178"/>
      <c r="T154" s="178"/>
      <c r="U154" s="178"/>
      <c r="V154" s="178"/>
      <c r="W154" s="178"/>
      <c r="X154" s="178"/>
      <c r="Y154" s="178"/>
      <c r="Z154" s="178"/>
      <c r="AA154" s="178"/>
      <c r="AB154" s="207"/>
      <c r="AC154" s="208"/>
      <c r="AD154" s="216"/>
      <c r="AE154" s="216"/>
      <c r="AF154" s="216"/>
      <c r="AG154" s="216"/>
      <c r="AH154" s="216"/>
      <c r="AI154" s="178"/>
      <c r="AJ154" s="178"/>
      <c r="AK154" s="212"/>
      <c r="AL154" s="213"/>
      <c r="AM154" s="213"/>
      <c r="AN154" s="213"/>
      <c r="AO154" s="213"/>
      <c r="AP154" s="213"/>
      <c r="AQ154" s="213"/>
      <c r="AR154" s="213"/>
      <c r="AS154" s="213"/>
      <c r="AT154" s="213"/>
      <c r="AU154" s="213"/>
      <c r="AV154" s="213"/>
      <c r="AW154" s="213"/>
      <c r="AX154" s="213"/>
      <c r="AY154" s="213"/>
      <c r="AZ154" s="213"/>
      <c r="BA154" s="213"/>
      <c r="BB154" s="213"/>
      <c r="BC154" s="213"/>
      <c r="BD154" s="213"/>
      <c r="BE154" s="213"/>
      <c r="BF154" s="213"/>
      <c r="BG154" s="213"/>
    </row>
    <row r="155" spans="8:59" x14ac:dyDescent="0.4">
      <c r="H155" s="177" t="s">
        <v>530</v>
      </c>
      <c r="I155" s="177"/>
      <c r="J155" s="177"/>
      <c r="K155" s="177"/>
      <c r="L155" s="177"/>
      <c r="M155" s="177"/>
      <c r="N155" s="177"/>
      <c r="O155" s="177"/>
      <c r="P155" s="177"/>
      <c r="Q155" s="177"/>
      <c r="R155" s="178" t="s">
        <v>531</v>
      </c>
      <c r="S155" s="178"/>
      <c r="T155" s="178"/>
      <c r="U155" s="178"/>
      <c r="V155" s="178"/>
      <c r="W155" s="178"/>
      <c r="X155" s="178"/>
      <c r="Y155" s="178"/>
      <c r="Z155" s="178"/>
      <c r="AA155" s="178"/>
      <c r="AB155" s="207" t="s">
        <v>523</v>
      </c>
      <c r="AC155" s="208"/>
      <c r="AD155" s="216" t="s">
        <v>532</v>
      </c>
      <c r="AE155" s="216"/>
      <c r="AF155" s="216"/>
      <c r="AG155" s="216"/>
      <c r="AH155" s="216"/>
      <c r="AI155" s="178" t="s">
        <v>428</v>
      </c>
      <c r="AJ155" s="178"/>
      <c r="AK155" s="212" t="s">
        <v>525</v>
      </c>
      <c r="AL155" s="213"/>
      <c r="AM155" s="213"/>
      <c r="AN155" s="213"/>
      <c r="AO155" s="213"/>
      <c r="AP155" s="213"/>
      <c r="AQ155" s="213"/>
      <c r="AR155" s="213"/>
      <c r="AS155" s="213"/>
      <c r="AT155" s="213"/>
      <c r="AU155" s="213"/>
      <c r="AV155" s="213"/>
      <c r="AW155" s="213"/>
      <c r="AX155" s="213"/>
      <c r="AY155" s="213"/>
      <c r="AZ155" s="213"/>
      <c r="BA155" s="213"/>
      <c r="BB155" s="213"/>
      <c r="BC155" s="213"/>
      <c r="BD155" s="213"/>
      <c r="BE155" s="213"/>
      <c r="BF155" s="213"/>
      <c r="BG155" s="213"/>
    </row>
    <row r="156" spans="8:59" x14ac:dyDescent="0.4">
      <c r="H156" s="177"/>
      <c r="I156" s="177"/>
      <c r="J156" s="177"/>
      <c r="K156" s="177"/>
      <c r="L156" s="177"/>
      <c r="M156" s="177"/>
      <c r="N156" s="177"/>
      <c r="O156" s="177"/>
      <c r="P156" s="177"/>
      <c r="Q156" s="177"/>
      <c r="R156" s="178"/>
      <c r="S156" s="178"/>
      <c r="T156" s="178"/>
      <c r="U156" s="178"/>
      <c r="V156" s="178"/>
      <c r="W156" s="178"/>
      <c r="X156" s="178"/>
      <c r="Y156" s="178"/>
      <c r="Z156" s="178"/>
      <c r="AA156" s="178"/>
      <c r="AB156" s="207"/>
      <c r="AC156" s="208"/>
      <c r="AD156" s="216"/>
      <c r="AE156" s="216"/>
      <c r="AF156" s="216"/>
      <c r="AG156" s="216"/>
      <c r="AH156" s="216"/>
      <c r="AI156" s="178"/>
      <c r="AJ156" s="178"/>
      <c r="AK156" s="213"/>
      <c r="AL156" s="213"/>
      <c r="AM156" s="213"/>
      <c r="AN156" s="213"/>
      <c r="AO156" s="213"/>
      <c r="AP156" s="213"/>
      <c r="AQ156" s="213"/>
      <c r="AR156" s="213"/>
      <c r="AS156" s="213"/>
      <c r="AT156" s="213"/>
      <c r="AU156" s="213"/>
      <c r="AV156" s="213"/>
      <c r="AW156" s="213"/>
      <c r="AX156" s="213"/>
      <c r="AY156" s="213"/>
      <c r="AZ156" s="213"/>
      <c r="BA156" s="213"/>
      <c r="BB156" s="213"/>
      <c r="BC156" s="213"/>
      <c r="BD156" s="213"/>
      <c r="BE156" s="213"/>
      <c r="BF156" s="213"/>
      <c r="BG156" s="213"/>
    </row>
    <row r="157" spans="8:59" x14ac:dyDescent="0.4">
      <c r="H157" s="177"/>
      <c r="I157" s="177"/>
      <c r="J157" s="177"/>
      <c r="K157" s="177"/>
      <c r="L157" s="177"/>
      <c r="M157" s="177"/>
      <c r="N157" s="177"/>
      <c r="O157" s="177"/>
      <c r="P157" s="177"/>
      <c r="Q157" s="177"/>
      <c r="R157" s="178"/>
      <c r="S157" s="178"/>
      <c r="T157" s="178"/>
      <c r="U157" s="178"/>
      <c r="V157" s="178"/>
      <c r="W157" s="178"/>
      <c r="X157" s="178"/>
      <c r="Y157" s="178"/>
      <c r="Z157" s="178"/>
      <c r="AA157" s="178"/>
      <c r="AB157" s="199" t="s">
        <v>526</v>
      </c>
      <c r="AC157" s="200"/>
      <c r="AD157" s="201" t="s">
        <v>245</v>
      </c>
      <c r="AE157" s="199"/>
      <c r="AF157" s="199"/>
      <c r="AG157" s="199"/>
      <c r="AH157" s="200"/>
      <c r="AI157" s="202" t="s">
        <v>245</v>
      </c>
      <c r="AJ157" s="203"/>
      <c r="AK157" s="204" t="s">
        <v>244</v>
      </c>
      <c r="AL157" s="205"/>
      <c r="AM157" s="205"/>
      <c r="AN157" s="205"/>
      <c r="AO157" s="205"/>
      <c r="AP157" s="205"/>
      <c r="AQ157" s="205"/>
      <c r="AR157" s="205"/>
      <c r="AS157" s="205"/>
      <c r="AT157" s="205"/>
      <c r="AU157" s="205"/>
      <c r="AV157" s="205"/>
      <c r="AW157" s="205"/>
      <c r="AX157" s="205"/>
      <c r="AY157" s="205"/>
      <c r="AZ157" s="205"/>
      <c r="BA157" s="205"/>
      <c r="BB157" s="205"/>
      <c r="BC157" s="205"/>
      <c r="BD157" s="205"/>
      <c r="BE157" s="205"/>
      <c r="BF157" s="205"/>
      <c r="BG157" s="206"/>
    </row>
    <row r="158" spans="8:59" x14ac:dyDescent="0.4">
      <c r="H158" s="177" t="s">
        <v>533</v>
      </c>
      <c r="I158" s="177"/>
      <c r="J158" s="177"/>
      <c r="K158" s="177"/>
      <c r="L158" s="177"/>
      <c r="M158" s="177"/>
      <c r="N158" s="177"/>
      <c r="O158" s="177"/>
      <c r="P158" s="177"/>
      <c r="Q158" s="177"/>
      <c r="R158" s="178" t="s">
        <v>534</v>
      </c>
      <c r="S158" s="178"/>
      <c r="T158" s="178"/>
      <c r="U158" s="178"/>
      <c r="V158" s="178"/>
      <c r="W158" s="178"/>
      <c r="X158" s="178"/>
      <c r="Y158" s="178"/>
      <c r="Z158" s="178"/>
      <c r="AA158" s="178"/>
      <c r="AB158" s="207" t="s">
        <v>449</v>
      </c>
      <c r="AC158" s="208"/>
      <c r="AD158" s="216" t="s">
        <v>535</v>
      </c>
      <c r="AE158" s="216"/>
      <c r="AF158" s="216"/>
      <c r="AG158" s="216"/>
      <c r="AH158" s="216"/>
      <c r="AI158" s="178" t="s">
        <v>428</v>
      </c>
      <c r="AJ158" s="178"/>
      <c r="AK158" s="212" t="s">
        <v>923</v>
      </c>
      <c r="AL158" s="213"/>
      <c r="AM158" s="213"/>
      <c r="AN158" s="213"/>
      <c r="AO158" s="213"/>
      <c r="AP158" s="213"/>
      <c r="AQ158" s="213"/>
      <c r="AR158" s="213"/>
      <c r="AS158" s="213"/>
      <c r="AT158" s="213"/>
      <c r="AU158" s="213"/>
      <c r="AV158" s="213"/>
      <c r="AW158" s="213"/>
      <c r="AX158" s="213"/>
      <c r="AY158" s="213"/>
      <c r="AZ158" s="213"/>
      <c r="BA158" s="213"/>
      <c r="BB158" s="213"/>
      <c r="BC158" s="213"/>
      <c r="BD158" s="213"/>
      <c r="BE158" s="213"/>
      <c r="BF158" s="213"/>
      <c r="BG158" s="213"/>
    </row>
    <row r="159" spans="8:59" x14ac:dyDescent="0.4">
      <c r="H159" s="177"/>
      <c r="I159" s="177"/>
      <c r="J159" s="177"/>
      <c r="K159" s="177"/>
      <c r="L159" s="177"/>
      <c r="M159" s="177"/>
      <c r="N159" s="177"/>
      <c r="O159" s="177"/>
      <c r="P159" s="177"/>
      <c r="Q159" s="177"/>
      <c r="R159" s="178"/>
      <c r="S159" s="178"/>
      <c r="T159" s="178"/>
      <c r="U159" s="178"/>
      <c r="V159" s="178"/>
      <c r="W159" s="178"/>
      <c r="X159" s="178"/>
      <c r="Y159" s="178"/>
      <c r="Z159" s="178"/>
      <c r="AA159" s="178"/>
      <c r="AB159" s="207"/>
      <c r="AC159" s="208"/>
      <c r="AD159" s="216"/>
      <c r="AE159" s="216"/>
      <c r="AF159" s="216"/>
      <c r="AG159" s="216"/>
      <c r="AH159" s="216"/>
      <c r="AI159" s="178"/>
      <c r="AJ159" s="178"/>
      <c r="AK159" s="212"/>
      <c r="AL159" s="213"/>
      <c r="AM159" s="213"/>
      <c r="AN159" s="213"/>
      <c r="AO159" s="213"/>
      <c r="AP159" s="213"/>
      <c r="AQ159" s="213"/>
      <c r="AR159" s="213"/>
      <c r="AS159" s="213"/>
      <c r="AT159" s="213"/>
      <c r="AU159" s="213"/>
      <c r="AV159" s="213"/>
      <c r="AW159" s="213"/>
      <c r="AX159" s="213"/>
      <c r="AY159" s="213"/>
      <c r="AZ159" s="213"/>
      <c r="BA159" s="213"/>
      <c r="BB159" s="213"/>
      <c r="BC159" s="213"/>
      <c r="BD159" s="213"/>
      <c r="BE159" s="213"/>
      <c r="BF159" s="213"/>
      <c r="BG159" s="213"/>
    </row>
    <row r="160" spans="8:59" x14ac:dyDescent="0.4">
      <c r="H160" s="177" t="s">
        <v>0</v>
      </c>
      <c r="I160" s="177"/>
      <c r="J160" s="177"/>
      <c r="K160" s="177"/>
      <c r="L160" s="177"/>
      <c r="M160" s="177"/>
      <c r="N160" s="177"/>
      <c r="O160" s="177"/>
      <c r="P160" s="177"/>
      <c r="Q160" s="177"/>
      <c r="R160" s="178" t="s">
        <v>0</v>
      </c>
      <c r="S160" s="178"/>
      <c r="T160" s="178"/>
      <c r="U160" s="178"/>
      <c r="V160" s="178"/>
      <c r="W160" s="178"/>
      <c r="X160" s="178"/>
      <c r="Y160" s="178"/>
      <c r="Z160" s="178"/>
      <c r="AA160" s="178"/>
      <c r="AB160" s="207" t="s">
        <v>0</v>
      </c>
      <c r="AC160" s="208"/>
      <c r="AD160" s="216" t="s">
        <v>0</v>
      </c>
      <c r="AE160" s="216"/>
      <c r="AF160" s="216"/>
      <c r="AG160" s="216"/>
      <c r="AH160" s="216"/>
      <c r="AI160" s="178" t="s">
        <v>0</v>
      </c>
      <c r="AJ160" s="178"/>
      <c r="AK160" s="177" t="s">
        <v>0</v>
      </c>
      <c r="AL160" s="178"/>
      <c r="AM160" s="178"/>
      <c r="AN160" s="178"/>
      <c r="AO160" s="178"/>
      <c r="AP160" s="178"/>
      <c r="AQ160" s="178"/>
      <c r="AR160" s="178"/>
      <c r="AS160" s="178"/>
      <c r="AT160" s="178"/>
      <c r="AU160" s="178"/>
      <c r="AV160" s="178"/>
      <c r="AW160" s="178"/>
      <c r="AX160" s="178"/>
      <c r="AY160" s="178"/>
      <c r="AZ160" s="178"/>
      <c r="BA160" s="178"/>
      <c r="BB160" s="178"/>
      <c r="BC160" s="178"/>
      <c r="BD160" s="178"/>
      <c r="BE160" s="178"/>
      <c r="BF160" s="178"/>
      <c r="BG160" s="178"/>
    </row>
    <row r="161" spans="8:59" x14ac:dyDescent="0.4">
      <c r="H161" s="177" t="s">
        <v>536</v>
      </c>
      <c r="I161" s="177"/>
      <c r="J161" s="177"/>
      <c r="K161" s="177"/>
      <c r="L161" s="177"/>
      <c r="M161" s="177"/>
      <c r="N161" s="177"/>
      <c r="O161" s="177"/>
      <c r="P161" s="177"/>
      <c r="Q161" s="177"/>
      <c r="R161" s="178" t="s">
        <v>537</v>
      </c>
      <c r="S161" s="178"/>
      <c r="T161" s="178"/>
      <c r="U161" s="178"/>
      <c r="V161" s="178"/>
      <c r="W161" s="178"/>
      <c r="X161" s="178"/>
      <c r="Y161" s="178"/>
      <c r="Z161" s="178"/>
      <c r="AA161" s="178"/>
      <c r="AB161" s="207" t="s">
        <v>523</v>
      </c>
      <c r="AC161" s="208"/>
      <c r="AD161" s="216" t="s">
        <v>538</v>
      </c>
      <c r="AE161" s="216"/>
      <c r="AF161" s="216"/>
      <c r="AG161" s="216"/>
      <c r="AH161" s="216"/>
      <c r="AI161" s="178" t="s">
        <v>428</v>
      </c>
      <c r="AJ161" s="178"/>
      <c r="AK161" s="212" t="s">
        <v>583</v>
      </c>
      <c r="AL161" s="213"/>
      <c r="AM161" s="213"/>
      <c r="AN161" s="213"/>
      <c r="AO161" s="213"/>
      <c r="AP161" s="213"/>
      <c r="AQ161" s="213"/>
      <c r="AR161" s="213"/>
      <c r="AS161" s="213"/>
      <c r="AT161" s="213"/>
      <c r="AU161" s="213"/>
      <c r="AV161" s="213"/>
      <c r="AW161" s="213"/>
      <c r="AX161" s="213"/>
      <c r="AY161" s="213"/>
      <c r="AZ161" s="213"/>
      <c r="BA161" s="213"/>
      <c r="BB161" s="213"/>
      <c r="BC161" s="213"/>
      <c r="BD161" s="213"/>
      <c r="BE161" s="213"/>
      <c r="BF161" s="213"/>
      <c r="BG161" s="213"/>
    </row>
    <row r="162" spans="8:59" x14ac:dyDescent="0.4">
      <c r="H162" s="177"/>
      <c r="I162" s="177"/>
      <c r="J162" s="177"/>
      <c r="K162" s="177"/>
      <c r="L162" s="177"/>
      <c r="M162" s="177"/>
      <c r="N162" s="177"/>
      <c r="O162" s="177"/>
      <c r="P162" s="177"/>
      <c r="Q162" s="177"/>
      <c r="R162" s="178"/>
      <c r="S162" s="178"/>
      <c r="T162" s="178"/>
      <c r="U162" s="178"/>
      <c r="V162" s="178"/>
      <c r="W162" s="178"/>
      <c r="X162" s="178"/>
      <c r="Y162" s="178"/>
      <c r="Z162" s="178"/>
      <c r="AA162" s="178"/>
      <c r="AB162" s="207"/>
      <c r="AC162" s="208"/>
      <c r="AD162" s="216"/>
      <c r="AE162" s="216"/>
      <c r="AF162" s="216"/>
      <c r="AG162" s="216"/>
      <c r="AH162" s="216"/>
      <c r="AI162" s="178"/>
      <c r="AJ162" s="178"/>
      <c r="AK162" s="212"/>
      <c r="AL162" s="213"/>
      <c r="AM162" s="213"/>
      <c r="AN162" s="213"/>
      <c r="AO162" s="213"/>
      <c r="AP162" s="213"/>
      <c r="AQ162" s="213"/>
      <c r="AR162" s="213"/>
      <c r="AS162" s="213"/>
      <c r="AT162" s="213"/>
      <c r="AU162" s="213"/>
      <c r="AV162" s="213"/>
      <c r="AW162" s="213"/>
      <c r="AX162" s="213"/>
      <c r="AY162" s="213"/>
      <c r="AZ162" s="213"/>
      <c r="BA162" s="213"/>
      <c r="BB162" s="213"/>
      <c r="BC162" s="213"/>
      <c r="BD162" s="213"/>
      <c r="BE162" s="213"/>
      <c r="BF162" s="213"/>
      <c r="BG162" s="213"/>
    </row>
    <row r="163" spans="8:59" x14ac:dyDescent="0.4">
      <c r="H163" s="177"/>
      <c r="I163" s="177"/>
      <c r="J163" s="177"/>
      <c r="K163" s="177"/>
      <c r="L163" s="177"/>
      <c r="M163" s="177"/>
      <c r="N163" s="177"/>
      <c r="O163" s="177"/>
      <c r="P163" s="177"/>
      <c r="Q163" s="177"/>
      <c r="R163" s="178"/>
      <c r="S163" s="178"/>
      <c r="T163" s="178"/>
      <c r="U163" s="178"/>
      <c r="V163" s="178"/>
      <c r="W163" s="178"/>
      <c r="X163" s="178"/>
      <c r="Y163" s="178"/>
      <c r="Z163" s="178"/>
      <c r="AA163" s="178"/>
      <c r="AB163" s="199" t="s">
        <v>526</v>
      </c>
      <c r="AC163" s="200"/>
      <c r="AD163" s="201" t="s">
        <v>245</v>
      </c>
      <c r="AE163" s="199"/>
      <c r="AF163" s="199"/>
      <c r="AG163" s="199"/>
      <c r="AH163" s="200"/>
      <c r="AI163" s="202" t="s">
        <v>245</v>
      </c>
      <c r="AJ163" s="203"/>
      <c r="AK163" s="204" t="s">
        <v>244</v>
      </c>
      <c r="AL163" s="205"/>
      <c r="AM163" s="205"/>
      <c r="AN163" s="205"/>
      <c r="AO163" s="205"/>
      <c r="AP163" s="205"/>
      <c r="AQ163" s="205"/>
      <c r="AR163" s="205"/>
      <c r="AS163" s="205"/>
      <c r="AT163" s="205"/>
      <c r="AU163" s="205"/>
      <c r="AV163" s="205"/>
      <c r="AW163" s="205"/>
      <c r="AX163" s="205"/>
      <c r="AY163" s="205"/>
      <c r="AZ163" s="205"/>
      <c r="BA163" s="205"/>
      <c r="BB163" s="205"/>
      <c r="BC163" s="205"/>
      <c r="BD163" s="205"/>
      <c r="BE163" s="205"/>
      <c r="BF163" s="205"/>
      <c r="BG163" s="206"/>
    </row>
    <row r="164" spans="8:59" x14ac:dyDescent="0.4">
      <c r="H164" s="177" t="s">
        <v>539</v>
      </c>
      <c r="I164" s="177"/>
      <c r="J164" s="177"/>
      <c r="K164" s="177"/>
      <c r="L164" s="177"/>
      <c r="M164" s="177"/>
      <c r="N164" s="177"/>
      <c r="O164" s="177"/>
      <c r="P164" s="177"/>
      <c r="Q164" s="177"/>
      <c r="R164" s="178" t="s">
        <v>540</v>
      </c>
      <c r="S164" s="178"/>
      <c r="T164" s="178"/>
      <c r="U164" s="178"/>
      <c r="V164" s="178"/>
      <c r="W164" s="178"/>
      <c r="X164" s="178"/>
      <c r="Y164" s="178"/>
      <c r="Z164" s="178"/>
      <c r="AA164" s="178"/>
      <c r="AB164" s="207" t="s">
        <v>449</v>
      </c>
      <c r="AC164" s="208"/>
      <c r="AD164" s="209" t="s">
        <v>541</v>
      </c>
      <c r="AE164" s="209"/>
      <c r="AF164" s="209"/>
      <c r="AG164" s="209"/>
      <c r="AH164" s="209"/>
      <c r="AI164" s="178" t="s">
        <v>428</v>
      </c>
      <c r="AJ164" s="178"/>
      <c r="AK164" s="212" t="s">
        <v>924</v>
      </c>
      <c r="AL164" s="213"/>
      <c r="AM164" s="213"/>
      <c r="AN164" s="213"/>
      <c r="AO164" s="213"/>
      <c r="AP164" s="213"/>
      <c r="AQ164" s="213"/>
      <c r="AR164" s="213"/>
      <c r="AS164" s="213"/>
      <c r="AT164" s="213"/>
      <c r="AU164" s="213"/>
      <c r="AV164" s="213"/>
      <c r="AW164" s="213"/>
      <c r="AX164" s="213"/>
      <c r="AY164" s="213"/>
      <c r="AZ164" s="213"/>
      <c r="BA164" s="213"/>
      <c r="BB164" s="213"/>
      <c r="BC164" s="213"/>
      <c r="BD164" s="213"/>
      <c r="BE164" s="213"/>
      <c r="BF164" s="213"/>
      <c r="BG164" s="213"/>
    </row>
    <row r="165" spans="8:59" x14ac:dyDescent="0.4">
      <c r="H165" s="177"/>
      <c r="I165" s="177"/>
      <c r="J165" s="177"/>
      <c r="K165" s="177"/>
      <c r="L165" s="177"/>
      <c r="M165" s="177"/>
      <c r="N165" s="177"/>
      <c r="O165" s="177"/>
      <c r="P165" s="177"/>
      <c r="Q165" s="177"/>
      <c r="R165" s="178"/>
      <c r="S165" s="178"/>
      <c r="T165" s="178"/>
      <c r="U165" s="178"/>
      <c r="V165" s="178"/>
      <c r="W165" s="178"/>
      <c r="X165" s="178"/>
      <c r="Y165" s="178"/>
      <c r="Z165" s="178"/>
      <c r="AA165" s="178"/>
      <c r="AB165" s="207"/>
      <c r="AC165" s="208"/>
      <c r="AD165" s="210"/>
      <c r="AE165" s="210"/>
      <c r="AF165" s="210"/>
      <c r="AG165" s="210"/>
      <c r="AH165" s="210"/>
      <c r="AI165" s="211"/>
      <c r="AJ165" s="211"/>
      <c r="AK165" s="214"/>
      <c r="AL165" s="215"/>
      <c r="AM165" s="215"/>
      <c r="AN165" s="215"/>
      <c r="AO165" s="215"/>
      <c r="AP165" s="215"/>
      <c r="AQ165" s="215"/>
      <c r="AR165" s="215"/>
      <c r="AS165" s="215"/>
      <c r="AT165" s="215"/>
      <c r="AU165" s="215"/>
      <c r="AV165" s="215"/>
      <c r="AW165" s="215"/>
      <c r="AX165" s="215"/>
      <c r="AY165" s="215"/>
      <c r="AZ165" s="215"/>
      <c r="BA165" s="215"/>
      <c r="BB165" s="215"/>
      <c r="BC165" s="215"/>
      <c r="BD165" s="215"/>
      <c r="BE165" s="215"/>
      <c r="BF165" s="215"/>
      <c r="BG165" s="215"/>
    </row>
    <row r="166" spans="8:59" ht="18.75" customHeight="1" x14ac:dyDescent="0.4">
      <c r="H166" s="177" t="s">
        <v>542</v>
      </c>
      <c r="I166" s="177"/>
      <c r="J166" s="177"/>
      <c r="K166" s="177"/>
      <c r="L166" s="177"/>
      <c r="M166" s="177"/>
      <c r="N166" s="177"/>
      <c r="O166" s="177"/>
      <c r="P166" s="177"/>
      <c r="Q166" s="177"/>
      <c r="R166" s="178" t="s">
        <v>543</v>
      </c>
      <c r="S166" s="178"/>
      <c r="T166" s="178"/>
      <c r="U166" s="178"/>
      <c r="V166" s="178"/>
      <c r="W166" s="178"/>
      <c r="X166" s="178"/>
      <c r="Y166" s="178"/>
      <c r="Z166" s="178"/>
      <c r="AA166" s="178"/>
      <c r="AB166" s="179" t="s">
        <v>523</v>
      </c>
      <c r="AC166" s="180"/>
      <c r="AD166" s="183" t="s">
        <v>544</v>
      </c>
      <c r="AE166" s="184"/>
      <c r="AF166" s="184"/>
      <c r="AG166" s="184"/>
      <c r="AH166" s="185"/>
      <c r="AI166" s="189" t="s">
        <v>428</v>
      </c>
      <c r="AJ166" s="190"/>
      <c r="AK166" s="193" t="s">
        <v>545</v>
      </c>
      <c r="AL166" s="194"/>
      <c r="AM166" s="194"/>
      <c r="AN166" s="194"/>
      <c r="AO166" s="194"/>
      <c r="AP166" s="194"/>
      <c r="AQ166" s="194"/>
      <c r="AR166" s="194"/>
      <c r="AS166" s="194"/>
      <c r="AT166" s="194"/>
      <c r="AU166" s="194"/>
      <c r="AV166" s="194"/>
      <c r="AW166" s="194"/>
      <c r="AX166" s="194"/>
      <c r="AY166" s="194"/>
      <c r="AZ166" s="194"/>
      <c r="BA166" s="194"/>
      <c r="BB166" s="194"/>
      <c r="BC166" s="194"/>
      <c r="BD166" s="194"/>
      <c r="BE166" s="194"/>
      <c r="BF166" s="194"/>
      <c r="BG166" s="195"/>
    </row>
    <row r="167" spans="8:59" x14ac:dyDescent="0.4">
      <c r="H167" s="177"/>
      <c r="I167" s="177"/>
      <c r="J167" s="177"/>
      <c r="K167" s="177"/>
      <c r="L167" s="177"/>
      <c r="M167" s="177"/>
      <c r="N167" s="177"/>
      <c r="O167" s="177"/>
      <c r="P167" s="177"/>
      <c r="Q167" s="177"/>
      <c r="R167" s="178"/>
      <c r="S167" s="178"/>
      <c r="T167" s="178"/>
      <c r="U167" s="178"/>
      <c r="V167" s="178"/>
      <c r="W167" s="178"/>
      <c r="X167" s="178"/>
      <c r="Y167" s="178"/>
      <c r="Z167" s="178"/>
      <c r="AA167" s="178"/>
      <c r="AB167" s="181"/>
      <c r="AC167" s="182"/>
      <c r="AD167" s="186"/>
      <c r="AE167" s="187"/>
      <c r="AF167" s="187"/>
      <c r="AG167" s="187"/>
      <c r="AH167" s="188"/>
      <c r="AI167" s="191"/>
      <c r="AJ167" s="192"/>
      <c r="AK167" s="196"/>
      <c r="AL167" s="197"/>
      <c r="AM167" s="197"/>
      <c r="AN167" s="197"/>
      <c r="AO167" s="197"/>
      <c r="AP167" s="197"/>
      <c r="AQ167" s="197"/>
      <c r="AR167" s="197"/>
      <c r="AS167" s="197"/>
      <c r="AT167" s="197"/>
      <c r="AU167" s="197"/>
      <c r="AV167" s="197"/>
      <c r="AW167" s="197"/>
      <c r="AX167" s="197"/>
      <c r="AY167" s="197"/>
      <c r="AZ167" s="197"/>
      <c r="BA167" s="197"/>
      <c r="BB167" s="197"/>
      <c r="BC167" s="197"/>
      <c r="BD167" s="197"/>
      <c r="BE167" s="197"/>
      <c r="BF167" s="197"/>
      <c r="BG167" s="198"/>
    </row>
    <row r="168" spans="8:59" x14ac:dyDescent="0.4">
      <c r="H168" s="177"/>
      <c r="I168" s="177"/>
      <c r="J168" s="177"/>
      <c r="K168" s="177"/>
      <c r="L168" s="177"/>
      <c r="M168" s="177"/>
      <c r="N168" s="177"/>
      <c r="O168" s="177"/>
      <c r="P168" s="177"/>
      <c r="Q168" s="177"/>
      <c r="R168" s="178"/>
      <c r="S168" s="178"/>
      <c r="T168" s="178"/>
      <c r="U168" s="178"/>
      <c r="V168" s="178"/>
      <c r="W168" s="178"/>
      <c r="X168" s="178"/>
      <c r="Y168" s="178"/>
      <c r="Z168" s="178"/>
      <c r="AA168" s="178"/>
      <c r="AB168" s="199" t="s">
        <v>526</v>
      </c>
      <c r="AC168" s="200"/>
      <c r="AD168" s="201" t="s">
        <v>245</v>
      </c>
      <c r="AE168" s="199"/>
      <c r="AF168" s="199"/>
      <c r="AG168" s="199"/>
      <c r="AH168" s="200"/>
      <c r="AI168" s="202" t="s">
        <v>245</v>
      </c>
      <c r="AJ168" s="203"/>
      <c r="AK168" s="204" t="s">
        <v>244</v>
      </c>
      <c r="AL168" s="205"/>
      <c r="AM168" s="205"/>
      <c r="AN168" s="205"/>
      <c r="AO168" s="205"/>
      <c r="AP168" s="205"/>
      <c r="AQ168" s="205"/>
      <c r="AR168" s="205"/>
      <c r="AS168" s="205"/>
      <c r="AT168" s="205"/>
      <c r="AU168" s="205"/>
      <c r="AV168" s="205"/>
      <c r="AW168" s="205"/>
      <c r="AX168" s="205"/>
      <c r="AY168" s="205"/>
      <c r="AZ168" s="205"/>
      <c r="BA168" s="205"/>
      <c r="BB168" s="205"/>
      <c r="BC168" s="205"/>
      <c r="BD168" s="205"/>
      <c r="BE168" s="205"/>
      <c r="BF168" s="205"/>
      <c r="BG168" s="206"/>
    </row>
    <row r="169" spans="8:59" x14ac:dyDescent="0.4">
      <c r="H169" s="174" t="s">
        <v>546</v>
      </c>
      <c r="I169" s="175"/>
      <c r="J169" s="175"/>
      <c r="K169" s="175"/>
      <c r="L169" s="175"/>
      <c r="M169" s="175"/>
      <c r="N169" s="175"/>
      <c r="O169" s="175"/>
      <c r="P169" s="175"/>
      <c r="Q169" s="175"/>
      <c r="R169" s="175"/>
      <c r="S169" s="175"/>
      <c r="T169" s="175"/>
      <c r="U169" s="175"/>
      <c r="V169" s="175"/>
      <c r="W169" s="175"/>
      <c r="X169" s="175"/>
      <c r="Y169" s="175"/>
      <c r="Z169" s="175"/>
      <c r="AA169" s="175"/>
      <c r="AB169" s="175"/>
      <c r="AC169" s="175"/>
      <c r="AD169" s="175"/>
      <c r="AE169" s="175"/>
      <c r="AF169" s="175"/>
      <c r="AG169" s="175"/>
      <c r="AH169" s="175"/>
      <c r="AI169" s="175"/>
      <c r="AJ169" s="175"/>
      <c r="AK169" s="175"/>
      <c r="AL169" s="175"/>
      <c r="AM169" s="175"/>
      <c r="AN169" s="175"/>
      <c r="AO169" s="175"/>
      <c r="AP169" s="175"/>
      <c r="AQ169" s="175"/>
      <c r="AR169" s="175"/>
      <c r="AS169" s="175"/>
      <c r="AT169" s="175"/>
      <c r="AU169" s="175"/>
      <c r="AV169" s="175"/>
      <c r="AW169" s="175"/>
      <c r="AX169" s="175"/>
      <c r="AY169" s="175"/>
      <c r="AZ169" s="175"/>
      <c r="BA169" s="175"/>
      <c r="BB169" s="175"/>
      <c r="BC169" s="175"/>
      <c r="BD169" s="175"/>
      <c r="BE169" s="175"/>
      <c r="BF169" s="175"/>
      <c r="BG169" s="176"/>
    </row>
  </sheetData>
  <mergeCells count="486">
    <mergeCell ref="H3:N3"/>
    <mergeCell ref="O3:V3"/>
    <mergeCell ref="W3:Y3"/>
    <mergeCell ref="H2:N2"/>
    <mergeCell ref="O2:V2"/>
    <mergeCell ref="W2:Y2"/>
    <mergeCell ref="H6:N6"/>
    <mergeCell ref="O6:V6"/>
    <mergeCell ref="W6:Y6"/>
    <mergeCell ref="H5:N5"/>
    <mergeCell ref="O5:V5"/>
    <mergeCell ref="W5:Y5"/>
    <mergeCell ref="H4:N4"/>
    <mergeCell ref="O4:V4"/>
    <mergeCell ref="W4:Y4"/>
    <mergeCell ref="H9:N9"/>
    <mergeCell ref="O9:V9"/>
    <mergeCell ref="W9:Y9"/>
    <mergeCell ref="H10:N10"/>
    <mergeCell ref="O10:V10"/>
    <mergeCell ref="W10:Y10"/>
    <mergeCell ref="H7:N7"/>
    <mergeCell ref="O7:V7"/>
    <mergeCell ref="W7:Y7"/>
    <mergeCell ref="H8:N8"/>
    <mergeCell ref="O8:V8"/>
    <mergeCell ref="W8:Y8"/>
    <mergeCell ref="H13:N13"/>
    <mergeCell ref="O13:V13"/>
    <mergeCell ref="W13:Y13"/>
    <mergeCell ref="H14:N14"/>
    <mergeCell ref="O14:V14"/>
    <mergeCell ref="W14:Y14"/>
    <mergeCell ref="H11:N11"/>
    <mergeCell ref="O11:V11"/>
    <mergeCell ref="W11:Y11"/>
    <mergeCell ref="H12:N12"/>
    <mergeCell ref="O12:V12"/>
    <mergeCell ref="W12:Y12"/>
    <mergeCell ref="H17:N17"/>
    <mergeCell ref="O17:V17"/>
    <mergeCell ref="W17:Y17"/>
    <mergeCell ref="H18:N18"/>
    <mergeCell ref="O18:V18"/>
    <mergeCell ref="W18:Y18"/>
    <mergeCell ref="H15:N15"/>
    <mergeCell ref="O15:V15"/>
    <mergeCell ref="W15:Y15"/>
    <mergeCell ref="H16:N16"/>
    <mergeCell ref="O16:V16"/>
    <mergeCell ref="W16:Y16"/>
    <mergeCell ref="H21:N21"/>
    <mergeCell ref="O21:V21"/>
    <mergeCell ref="W21:Y21"/>
    <mergeCell ref="H22:N22"/>
    <mergeCell ref="O22:V22"/>
    <mergeCell ref="W22:Y22"/>
    <mergeCell ref="H19:N19"/>
    <mergeCell ref="O19:V19"/>
    <mergeCell ref="W19:Y19"/>
    <mergeCell ref="H20:N20"/>
    <mergeCell ref="O20:V20"/>
    <mergeCell ref="W20:Y20"/>
    <mergeCell ref="H25:N25"/>
    <mergeCell ref="O25:V25"/>
    <mergeCell ref="W25:Y25"/>
    <mergeCell ref="H26:N26"/>
    <mergeCell ref="O26:V26"/>
    <mergeCell ref="W26:Y26"/>
    <mergeCell ref="H23:N23"/>
    <mergeCell ref="O23:V23"/>
    <mergeCell ref="W23:Y23"/>
    <mergeCell ref="H24:N24"/>
    <mergeCell ref="O24:V24"/>
    <mergeCell ref="W24:Y24"/>
    <mergeCell ref="H29:N29"/>
    <mergeCell ref="O29:V29"/>
    <mergeCell ref="W29:Y29"/>
    <mergeCell ref="H30:N30"/>
    <mergeCell ref="O30:V30"/>
    <mergeCell ref="W30:Y30"/>
    <mergeCell ref="H27:N27"/>
    <mergeCell ref="O27:V27"/>
    <mergeCell ref="W27:Y27"/>
    <mergeCell ref="H28:N28"/>
    <mergeCell ref="O28:V28"/>
    <mergeCell ref="W28:Y28"/>
    <mergeCell ref="H33:N33"/>
    <mergeCell ref="O33:V33"/>
    <mergeCell ref="W33:Y33"/>
    <mergeCell ref="H34:N34"/>
    <mergeCell ref="O34:V34"/>
    <mergeCell ref="W34:Y34"/>
    <mergeCell ref="H31:N31"/>
    <mergeCell ref="O31:V31"/>
    <mergeCell ref="W31:Y31"/>
    <mergeCell ref="H32:N32"/>
    <mergeCell ref="O32:V32"/>
    <mergeCell ref="W32:Y32"/>
    <mergeCell ref="H37:N40"/>
    <mergeCell ref="O37:V40"/>
    <mergeCell ref="W37:Y40"/>
    <mergeCell ref="H41:N41"/>
    <mergeCell ref="O41:V41"/>
    <mergeCell ref="W41:Y41"/>
    <mergeCell ref="H35:N35"/>
    <mergeCell ref="O35:V35"/>
    <mergeCell ref="W35:Y35"/>
    <mergeCell ref="H36:N36"/>
    <mergeCell ref="O36:V36"/>
    <mergeCell ref="W36:Y36"/>
    <mergeCell ref="H44:N44"/>
    <mergeCell ref="O44:V44"/>
    <mergeCell ref="W44:Y44"/>
    <mergeCell ref="H45:N45"/>
    <mergeCell ref="O45:V45"/>
    <mergeCell ref="W45:Y45"/>
    <mergeCell ref="H42:N42"/>
    <mergeCell ref="O42:V42"/>
    <mergeCell ref="W42:Y42"/>
    <mergeCell ref="H43:N43"/>
    <mergeCell ref="O43:V43"/>
    <mergeCell ref="W43:Y43"/>
    <mergeCell ref="H48:N48"/>
    <mergeCell ref="O48:V48"/>
    <mergeCell ref="W48:Y48"/>
    <mergeCell ref="H49:N49"/>
    <mergeCell ref="O49:V49"/>
    <mergeCell ref="W49:Y49"/>
    <mergeCell ref="H46:N46"/>
    <mergeCell ref="O46:V46"/>
    <mergeCell ref="W46:Y46"/>
    <mergeCell ref="H47:N47"/>
    <mergeCell ref="O47:V47"/>
    <mergeCell ref="W47:Y47"/>
    <mergeCell ref="H52:N52"/>
    <mergeCell ref="O52:V52"/>
    <mergeCell ref="W52:Y52"/>
    <mergeCell ref="H53:N53"/>
    <mergeCell ref="O53:V53"/>
    <mergeCell ref="W53:Y53"/>
    <mergeCell ref="H50:N50"/>
    <mergeCell ref="O50:V50"/>
    <mergeCell ref="W50:Y50"/>
    <mergeCell ref="H51:N51"/>
    <mergeCell ref="O51:V51"/>
    <mergeCell ref="W51:Y51"/>
    <mergeCell ref="H56:N56"/>
    <mergeCell ref="O56:V56"/>
    <mergeCell ref="W56:Y56"/>
    <mergeCell ref="H57:N57"/>
    <mergeCell ref="O57:V57"/>
    <mergeCell ref="W57:Y57"/>
    <mergeCell ref="H54:N54"/>
    <mergeCell ref="O54:V54"/>
    <mergeCell ref="W54:Y54"/>
    <mergeCell ref="H55:N55"/>
    <mergeCell ref="O55:V55"/>
    <mergeCell ref="W55:Y55"/>
    <mergeCell ref="H60:N60"/>
    <mergeCell ref="O60:V60"/>
    <mergeCell ref="W60:Y60"/>
    <mergeCell ref="H61:N61"/>
    <mergeCell ref="O61:V61"/>
    <mergeCell ref="W61:Y61"/>
    <mergeCell ref="H58:N58"/>
    <mergeCell ref="O58:V58"/>
    <mergeCell ref="W58:Y58"/>
    <mergeCell ref="H59:N59"/>
    <mergeCell ref="O59:V59"/>
    <mergeCell ref="W59:Y59"/>
    <mergeCell ref="H64:N64"/>
    <mergeCell ref="O64:V64"/>
    <mergeCell ref="W64:Y64"/>
    <mergeCell ref="H65:N65"/>
    <mergeCell ref="O65:V65"/>
    <mergeCell ref="W65:Y65"/>
    <mergeCell ref="H62:N62"/>
    <mergeCell ref="O62:V62"/>
    <mergeCell ref="W62:Y62"/>
    <mergeCell ref="H63:N63"/>
    <mergeCell ref="O63:V63"/>
    <mergeCell ref="W63:Y63"/>
    <mergeCell ref="H68:N68"/>
    <mergeCell ref="O68:V68"/>
    <mergeCell ref="W68:Y68"/>
    <mergeCell ref="H69:N69"/>
    <mergeCell ref="O69:V69"/>
    <mergeCell ref="W69:Y69"/>
    <mergeCell ref="H66:N66"/>
    <mergeCell ref="O66:V66"/>
    <mergeCell ref="W66:Y66"/>
    <mergeCell ref="H67:N67"/>
    <mergeCell ref="O67:V67"/>
    <mergeCell ref="W67:Y67"/>
    <mergeCell ref="H72:N72"/>
    <mergeCell ref="O72:V72"/>
    <mergeCell ref="W72:Y72"/>
    <mergeCell ref="H73:N73"/>
    <mergeCell ref="O73:V73"/>
    <mergeCell ref="W73:Y73"/>
    <mergeCell ref="H70:N70"/>
    <mergeCell ref="O70:V70"/>
    <mergeCell ref="W70:Y70"/>
    <mergeCell ref="H71:N71"/>
    <mergeCell ref="O71:V71"/>
    <mergeCell ref="W71:Y71"/>
    <mergeCell ref="H78:BG78"/>
    <mergeCell ref="H79:Q79"/>
    <mergeCell ref="R79:AA79"/>
    <mergeCell ref="AB79:AC79"/>
    <mergeCell ref="AD79:AH79"/>
    <mergeCell ref="AI79:AJ79"/>
    <mergeCell ref="AK79:BG79"/>
    <mergeCell ref="H74:N74"/>
    <mergeCell ref="O74:V74"/>
    <mergeCell ref="W74:Y74"/>
    <mergeCell ref="H81:Q83"/>
    <mergeCell ref="R81:AA83"/>
    <mergeCell ref="AB81:AC83"/>
    <mergeCell ref="AD81:AH83"/>
    <mergeCell ref="AI81:AJ83"/>
    <mergeCell ref="AK81:BG83"/>
    <mergeCell ref="H80:Q80"/>
    <mergeCell ref="R80:AA80"/>
    <mergeCell ref="AB80:AC80"/>
    <mergeCell ref="AD80:AH80"/>
    <mergeCell ref="AI80:AJ80"/>
    <mergeCell ref="AK80:BG80"/>
    <mergeCell ref="H84:Q87"/>
    <mergeCell ref="R84:AA87"/>
    <mergeCell ref="AB84:AC86"/>
    <mergeCell ref="AD84:AH86"/>
    <mergeCell ref="AI84:AJ86"/>
    <mergeCell ref="AK84:BG86"/>
    <mergeCell ref="AB87:AC87"/>
    <mergeCell ref="AD87:AH87"/>
    <mergeCell ref="AI87:AJ87"/>
    <mergeCell ref="AK87:BG87"/>
    <mergeCell ref="AB93:AC93"/>
    <mergeCell ref="AD93:AH93"/>
    <mergeCell ref="AI93:AJ93"/>
    <mergeCell ref="AK93:BG93"/>
    <mergeCell ref="AB94:AC94"/>
    <mergeCell ref="AD94:AH94"/>
    <mergeCell ref="AI94:AJ94"/>
    <mergeCell ref="AK94:BG94"/>
    <mergeCell ref="AB91:AC91"/>
    <mergeCell ref="AD91:AH91"/>
    <mergeCell ref="AI91:AJ91"/>
    <mergeCell ref="AK91:BG91"/>
    <mergeCell ref="AB92:AC92"/>
    <mergeCell ref="AD92:AH92"/>
    <mergeCell ref="AI92:AJ92"/>
    <mergeCell ref="AK92:BG92"/>
    <mergeCell ref="H97:Q98"/>
    <mergeCell ref="R97:AA98"/>
    <mergeCell ref="AB97:AC98"/>
    <mergeCell ref="AD97:AH98"/>
    <mergeCell ref="AI97:AJ98"/>
    <mergeCell ref="AK97:BG98"/>
    <mergeCell ref="AB95:AC95"/>
    <mergeCell ref="AD95:AH95"/>
    <mergeCell ref="AI95:AJ95"/>
    <mergeCell ref="AK95:BG95"/>
    <mergeCell ref="AB96:AC96"/>
    <mergeCell ref="AD96:AH96"/>
    <mergeCell ref="AI96:AJ96"/>
    <mergeCell ref="AK96:BG96"/>
    <mergeCell ref="H88:Q96"/>
    <mergeCell ref="R88:AA96"/>
    <mergeCell ref="AB88:AC89"/>
    <mergeCell ref="AD88:AH89"/>
    <mergeCell ref="AI88:AJ89"/>
    <mergeCell ref="AK88:BG89"/>
    <mergeCell ref="AB90:AC90"/>
    <mergeCell ref="AD90:AH90"/>
    <mergeCell ref="AI90:AJ90"/>
    <mergeCell ref="AK90:BG90"/>
    <mergeCell ref="H102:Q103"/>
    <mergeCell ref="R102:AA103"/>
    <mergeCell ref="AB102:AC103"/>
    <mergeCell ref="AD102:AH103"/>
    <mergeCell ref="AI102:AJ103"/>
    <mergeCell ref="AK102:BG103"/>
    <mergeCell ref="H99:Q101"/>
    <mergeCell ref="R99:AA101"/>
    <mergeCell ref="AB99:AC100"/>
    <mergeCell ref="AD99:AH100"/>
    <mergeCell ref="AI99:AJ100"/>
    <mergeCell ref="AK99:BG100"/>
    <mergeCell ref="AB101:AC101"/>
    <mergeCell ref="AD101:AH101"/>
    <mergeCell ref="AI101:AJ101"/>
    <mergeCell ref="AK101:BG101"/>
    <mergeCell ref="H107:Q108"/>
    <mergeCell ref="R107:AA108"/>
    <mergeCell ref="AB107:AC108"/>
    <mergeCell ref="AD107:AH108"/>
    <mergeCell ref="AI107:AJ108"/>
    <mergeCell ref="AK107:BG108"/>
    <mergeCell ref="H104:Q106"/>
    <mergeCell ref="R104:AA106"/>
    <mergeCell ref="AB104:AC105"/>
    <mergeCell ref="AD104:AH105"/>
    <mergeCell ref="AI104:AJ105"/>
    <mergeCell ref="AK104:BG105"/>
    <mergeCell ref="AB106:AC106"/>
    <mergeCell ref="AD106:AH106"/>
    <mergeCell ref="AI106:AJ106"/>
    <mergeCell ref="AK106:BG106"/>
    <mergeCell ref="H112:Q113"/>
    <mergeCell ref="R112:AA113"/>
    <mergeCell ref="AB112:AC113"/>
    <mergeCell ref="AD112:AH113"/>
    <mergeCell ref="AI112:AJ113"/>
    <mergeCell ref="AK112:BG113"/>
    <mergeCell ref="H109:Q111"/>
    <mergeCell ref="R109:AA111"/>
    <mergeCell ref="AB109:AC110"/>
    <mergeCell ref="AD109:AH110"/>
    <mergeCell ref="AI109:AJ110"/>
    <mergeCell ref="AK109:BG110"/>
    <mergeCell ref="AB111:AC111"/>
    <mergeCell ref="AD111:AH111"/>
    <mergeCell ref="AI111:AJ111"/>
    <mergeCell ref="AK111:BG111"/>
    <mergeCell ref="H117:BG117"/>
    <mergeCell ref="H120:BG120"/>
    <mergeCell ref="H121:Q121"/>
    <mergeCell ref="R121:AA121"/>
    <mergeCell ref="AB121:AC121"/>
    <mergeCell ref="AD121:AH121"/>
    <mergeCell ref="AI121:AJ121"/>
    <mergeCell ref="AK121:BG121"/>
    <mergeCell ref="H114:Q116"/>
    <mergeCell ref="R114:AA116"/>
    <mergeCell ref="AB114:AC115"/>
    <mergeCell ref="AD114:AH115"/>
    <mergeCell ref="AI114:AJ115"/>
    <mergeCell ref="AK114:BG115"/>
    <mergeCell ref="AB116:AC116"/>
    <mergeCell ref="AD116:AH116"/>
    <mergeCell ref="AI116:AJ116"/>
    <mergeCell ref="AK116:BG116"/>
    <mergeCell ref="AB125:AC125"/>
    <mergeCell ref="AD125:AH125"/>
    <mergeCell ref="AI125:AJ125"/>
    <mergeCell ref="AK125:BG125"/>
    <mergeCell ref="AB126:AC126"/>
    <mergeCell ref="AD126:AH126"/>
    <mergeCell ref="AI126:AJ126"/>
    <mergeCell ref="AK126:BG126"/>
    <mergeCell ref="H122:Q130"/>
    <mergeCell ref="R122:AA130"/>
    <mergeCell ref="AB122:AC123"/>
    <mergeCell ref="AD122:AH123"/>
    <mergeCell ref="AI122:AJ123"/>
    <mergeCell ref="AK122:BG123"/>
    <mergeCell ref="AB124:AC124"/>
    <mergeCell ref="AD124:AH124"/>
    <mergeCell ref="AI124:AJ124"/>
    <mergeCell ref="AK124:BG124"/>
    <mergeCell ref="AB129:AC129"/>
    <mergeCell ref="AD129:AH129"/>
    <mergeCell ref="AI129:AJ129"/>
    <mergeCell ref="AK129:BG129"/>
    <mergeCell ref="AB130:AC130"/>
    <mergeCell ref="AD130:AH130"/>
    <mergeCell ref="AI130:AJ130"/>
    <mergeCell ref="AK130:BG130"/>
    <mergeCell ref="AB127:AC127"/>
    <mergeCell ref="AD127:AH127"/>
    <mergeCell ref="AI127:AJ127"/>
    <mergeCell ref="AK127:BG127"/>
    <mergeCell ref="AB128:AC128"/>
    <mergeCell ref="AD128:AH128"/>
    <mergeCell ref="AI128:AJ128"/>
    <mergeCell ref="AK128:BG128"/>
    <mergeCell ref="AB135:AC137"/>
    <mergeCell ref="AD135:AH137"/>
    <mergeCell ref="AI135:AJ137"/>
    <mergeCell ref="AK135:BG137"/>
    <mergeCell ref="AB138:AC139"/>
    <mergeCell ref="AD138:AH139"/>
    <mergeCell ref="AI138:AJ139"/>
    <mergeCell ref="AK138:BG139"/>
    <mergeCell ref="H131:Q140"/>
    <mergeCell ref="R131:AA140"/>
    <mergeCell ref="AB131:AC132"/>
    <mergeCell ref="AD131:AH132"/>
    <mergeCell ref="AI131:AJ132"/>
    <mergeCell ref="AK131:BG132"/>
    <mergeCell ref="AB133:AC134"/>
    <mergeCell ref="AD133:AH134"/>
    <mergeCell ref="AI133:AJ134"/>
    <mergeCell ref="AK133:BG134"/>
    <mergeCell ref="AB140:AC140"/>
    <mergeCell ref="AD140:AH140"/>
    <mergeCell ref="AI140:AJ140"/>
    <mergeCell ref="AK140:BG140"/>
    <mergeCell ref="H141:Q142"/>
    <mergeCell ref="R141:AA142"/>
    <mergeCell ref="AB141:AC142"/>
    <mergeCell ref="AD141:AH142"/>
    <mergeCell ref="AI141:AJ142"/>
    <mergeCell ref="AK141:BG142"/>
    <mergeCell ref="H145:BG145"/>
    <mergeCell ref="H148:BG148"/>
    <mergeCell ref="H149:Q149"/>
    <mergeCell ref="R149:AA149"/>
    <mergeCell ref="AB149:AC149"/>
    <mergeCell ref="AD149:AH149"/>
    <mergeCell ref="AI149:AJ149"/>
    <mergeCell ref="AK149:BG149"/>
    <mergeCell ref="H143:Q144"/>
    <mergeCell ref="R143:AA144"/>
    <mergeCell ref="AB143:AC144"/>
    <mergeCell ref="AD143:AH144"/>
    <mergeCell ref="AI143:AJ144"/>
    <mergeCell ref="AK143:BG144"/>
    <mergeCell ref="H153:Q154"/>
    <mergeCell ref="R153:AA154"/>
    <mergeCell ref="AB153:AC154"/>
    <mergeCell ref="AD153:AH154"/>
    <mergeCell ref="AI153:AJ154"/>
    <mergeCell ref="AK153:BG154"/>
    <mergeCell ref="H150:Q152"/>
    <mergeCell ref="R150:AA152"/>
    <mergeCell ref="AB150:AC151"/>
    <mergeCell ref="AD150:AH151"/>
    <mergeCell ref="AI150:AJ151"/>
    <mergeCell ref="AK150:BG151"/>
    <mergeCell ref="AB152:AC152"/>
    <mergeCell ref="AD152:AH152"/>
    <mergeCell ref="AI152:AJ152"/>
    <mergeCell ref="AK152:BG152"/>
    <mergeCell ref="H155:Q157"/>
    <mergeCell ref="R155:AA157"/>
    <mergeCell ref="AB155:AC156"/>
    <mergeCell ref="AD155:AH156"/>
    <mergeCell ref="AI155:AJ156"/>
    <mergeCell ref="AK155:BG156"/>
    <mergeCell ref="AB157:AC157"/>
    <mergeCell ref="AD157:AH157"/>
    <mergeCell ref="AI157:AJ157"/>
    <mergeCell ref="AK157:BG157"/>
    <mergeCell ref="H160:Q160"/>
    <mergeCell ref="R160:AA160"/>
    <mergeCell ref="AB160:AC160"/>
    <mergeCell ref="AD160:AH160"/>
    <mergeCell ref="AI160:AJ160"/>
    <mergeCell ref="AK160:BG160"/>
    <mergeCell ref="H158:Q159"/>
    <mergeCell ref="R158:AA159"/>
    <mergeCell ref="AB158:AC159"/>
    <mergeCell ref="AD158:AH159"/>
    <mergeCell ref="AI158:AJ159"/>
    <mergeCell ref="AK158:BG159"/>
    <mergeCell ref="H164:Q165"/>
    <mergeCell ref="R164:AA165"/>
    <mergeCell ref="AB164:AC165"/>
    <mergeCell ref="AD164:AH165"/>
    <mergeCell ref="AI164:AJ165"/>
    <mergeCell ref="AK164:BG165"/>
    <mergeCell ref="H161:Q163"/>
    <mergeCell ref="R161:AA163"/>
    <mergeCell ref="AB161:AC162"/>
    <mergeCell ref="AD161:AH162"/>
    <mergeCell ref="AI161:AJ162"/>
    <mergeCell ref="AK161:BG162"/>
    <mergeCell ref="AB163:AC163"/>
    <mergeCell ref="AD163:AH163"/>
    <mergeCell ref="AI163:AJ163"/>
    <mergeCell ref="AK163:BG163"/>
    <mergeCell ref="H169:BG169"/>
    <mergeCell ref="H166:Q168"/>
    <mergeCell ref="R166:AA168"/>
    <mergeCell ref="AB166:AC167"/>
    <mergeCell ref="AD166:AH167"/>
    <mergeCell ref="AI166:AJ167"/>
    <mergeCell ref="AK166:BG167"/>
    <mergeCell ref="AB168:AC168"/>
    <mergeCell ref="AD168:AH168"/>
    <mergeCell ref="AI168:AJ168"/>
    <mergeCell ref="AK168:BG168"/>
  </mergeCells>
  <phoneticPr fontId="1"/>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FCEED-83AB-4979-B6E5-2B69989972E7}">
  <sheetPr codeName="Sheet9"/>
  <dimension ref="H2:BI158"/>
  <sheetViews>
    <sheetView showGridLines="0" topLeftCell="A19" zoomScale="55" zoomScaleNormal="55" workbookViewId="0">
      <selection activeCell="BP5" sqref="BP5"/>
    </sheetView>
  </sheetViews>
  <sheetFormatPr defaultRowHeight="18.75" x14ac:dyDescent="0.4"/>
  <cols>
    <col min="1" max="283" width="3.625" customWidth="1"/>
  </cols>
  <sheetData>
    <row r="2" spans="8:26" x14ac:dyDescent="0.4">
      <c r="H2" s="380" t="s">
        <v>584</v>
      </c>
      <c r="I2" s="380"/>
      <c r="J2" s="380"/>
      <c r="K2" s="380"/>
      <c r="L2" s="380"/>
      <c r="M2" s="380"/>
      <c r="N2" s="380"/>
      <c r="O2" s="380" t="s">
        <v>585</v>
      </c>
      <c r="P2" s="380"/>
      <c r="Q2" s="380"/>
      <c r="R2" s="380"/>
      <c r="S2" s="380"/>
      <c r="T2" s="380"/>
      <c r="U2" s="380"/>
      <c r="V2" s="380"/>
      <c r="W2" s="380"/>
      <c r="X2" s="380"/>
      <c r="Y2" s="380"/>
    </row>
    <row r="3" spans="8:26" x14ac:dyDescent="0.4">
      <c r="H3" s="332" t="s">
        <v>586</v>
      </c>
      <c r="I3" s="333"/>
      <c r="J3" s="333"/>
      <c r="K3" s="333"/>
      <c r="L3" s="333"/>
      <c r="M3" s="333"/>
      <c r="N3" s="333"/>
      <c r="O3" s="334" t="s">
        <v>587</v>
      </c>
      <c r="P3" s="334"/>
      <c r="Q3" s="334"/>
      <c r="R3" s="334"/>
      <c r="S3" s="334"/>
      <c r="T3" s="334"/>
      <c r="U3" s="334"/>
      <c r="V3" s="334"/>
      <c r="W3" s="334" t="s">
        <v>235</v>
      </c>
      <c r="X3" s="334"/>
      <c r="Y3" s="335"/>
    </row>
    <row r="4" spans="8:26" x14ac:dyDescent="0.4">
      <c r="H4" s="332" t="s">
        <v>588</v>
      </c>
      <c r="I4" s="333"/>
      <c r="J4" s="333"/>
      <c r="K4" s="333"/>
      <c r="L4" s="333"/>
      <c r="M4" s="333"/>
      <c r="N4" s="333"/>
      <c r="O4" s="334" t="s">
        <v>589</v>
      </c>
      <c r="P4" s="334"/>
      <c r="Q4" s="334"/>
      <c r="R4" s="334"/>
      <c r="S4" s="334"/>
      <c r="T4" s="334"/>
      <c r="U4" s="334"/>
      <c r="V4" s="334"/>
      <c r="W4" s="334" t="s">
        <v>236</v>
      </c>
      <c r="X4" s="334"/>
      <c r="Y4" s="335"/>
    </row>
    <row r="5" spans="8:26" x14ac:dyDescent="0.4">
      <c r="H5" s="323" t="s">
        <v>590</v>
      </c>
      <c r="I5" s="323"/>
      <c r="J5" s="323"/>
      <c r="K5" s="323"/>
      <c r="L5" s="323"/>
      <c r="M5" s="323"/>
      <c r="N5" s="323"/>
      <c r="O5" s="324" t="s">
        <v>591</v>
      </c>
      <c r="P5" s="324"/>
      <c r="Q5" s="324"/>
      <c r="R5" s="324"/>
      <c r="S5" s="324"/>
      <c r="T5" s="324"/>
      <c r="U5" s="324"/>
      <c r="V5" s="324"/>
      <c r="W5" s="324" t="s">
        <v>237</v>
      </c>
      <c r="X5" s="324"/>
      <c r="Y5" s="324"/>
    </row>
    <row r="6" spans="8:26" x14ac:dyDescent="0.4">
      <c r="H6" s="125" t="s">
        <v>592</v>
      </c>
      <c r="I6" s="125"/>
      <c r="J6" s="125"/>
      <c r="K6" s="125"/>
      <c r="L6" s="125"/>
      <c r="M6" s="125"/>
      <c r="N6" s="125"/>
      <c r="O6" s="322" t="s">
        <v>593</v>
      </c>
      <c r="P6" s="322"/>
      <c r="Q6" s="322"/>
      <c r="R6" s="322"/>
      <c r="S6" s="322"/>
      <c r="T6" s="322"/>
      <c r="U6" s="322"/>
      <c r="V6" s="322"/>
      <c r="W6" s="322" t="s">
        <v>238</v>
      </c>
      <c r="X6" s="322"/>
      <c r="Y6" s="322"/>
    </row>
    <row r="7" spans="8:26" x14ac:dyDescent="0.4">
      <c r="H7" s="125" t="s">
        <v>594</v>
      </c>
      <c r="I7" s="125"/>
      <c r="J7" s="125"/>
      <c r="K7" s="125"/>
      <c r="L7" s="125"/>
      <c r="M7" s="125"/>
      <c r="N7" s="125"/>
      <c r="O7" s="322" t="s">
        <v>595</v>
      </c>
      <c r="P7" s="322"/>
      <c r="Q7" s="322"/>
      <c r="R7" s="322"/>
      <c r="S7" s="322"/>
      <c r="T7" s="322"/>
      <c r="U7" s="322"/>
      <c r="V7" s="322"/>
      <c r="W7" s="322" t="s">
        <v>239</v>
      </c>
      <c r="X7" s="322"/>
      <c r="Y7" s="322"/>
    </row>
    <row r="8" spans="8:26" x14ac:dyDescent="0.4">
      <c r="H8" s="125" t="s">
        <v>596</v>
      </c>
      <c r="I8" s="125"/>
      <c r="J8" s="125"/>
      <c r="K8" s="125"/>
      <c r="L8" s="125"/>
      <c r="M8" s="125"/>
      <c r="N8" s="125"/>
      <c r="O8" s="322" t="s">
        <v>597</v>
      </c>
      <c r="P8" s="322"/>
      <c r="Q8" s="322"/>
      <c r="R8" s="322"/>
      <c r="S8" s="322"/>
      <c r="T8" s="322"/>
      <c r="U8" s="322"/>
      <c r="V8" s="322"/>
      <c r="W8" s="322" t="s">
        <v>240</v>
      </c>
      <c r="X8" s="322"/>
      <c r="Y8" s="322"/>
    </row>
    <row r="9" spans="8:26" x14ac:dyDescent="0.4">
      <c r="H9" s="125" t="s">
        <v>598</v>
      </c>
      <c r="I9" s="125"/>
      <c r="J9" s="125"/>
      <c r="K9" s="125"/>
      <c r="L9" s="125"/>
      <c r="M9" s="125"/>
      <c r="N9" s="125"/>
      <c r="O9" s="322" t="s">
        <v>599</v>
      </c>
      <c r="P9" s="322"/>
      <c r="Q9" s="322"/>
      <c r="R9" s="322"/>
      <c r="S9" s="322"/>
      <c r="T9" s="322"/>
      <c r="U9" s="322"/>
      <c r="V9" s="322"/>
      <c r="W9" s="322" t="s">
        <v>241</v>
      </c>
      <c r="X9" s="322"/>
      <c r="Y9" s="322"/>
    </row>
    <row r="10" spans="8:26" x14ac:dyDescent="0.4">
      <c r="H10" s="125" t="s">
        <v>600</v>
      </c>
      <c r="I10" s="125"/>
      <c r="J10" s="125"/>
      <c r="K10" s="125"/>
      <c r="L10" s="125"/>
      <c r="M10" s="125"/>
      <c r="N10" s="125"/>
      <c r="O10" s="322" t="s">
        <v>601</v>
      </c>
      <c r="P10" s="322"/>
      <c r="Q10" s="322"/>
      <c r="R10" s="322"/>
      <c r="S10" s="322"/>
      <c r="T10" s="322"/>
      <c r="U10" s="322"/>
      <c r="V10" s="322"/>
      <c r="W10" s="322" t="s">
        <v>242</v>
      </c>
      <c r="X10" s="322"/>
      <c r="Y10" s="322"/>
    </row>
    <row r="11" spans="8:26" x14ac:dyDescent="0.4">
      <c r="H11" s="125" t="s">
        <v>602</v>
      </c>
      <c r="I11" s="125"/>
      <c r="J11" s="125"/>
      <c r="K11" s="125"/>
      <c r="L11" s="125"/>
      <c r="M11" s="125"/>
      <c r="N11" s="125"/>
      <c r="O11" s="322" t="s">
        <v>603</v>
      </c>
      <c r="P11" s="322"/>
      <c r="Q11" s="322"/>
      <c r="R11" s="322"/>
      <c r="S11" s="322"/>
      <c r="T11" s="322"/>
      <c r="U11" s="322"/>
      <c r="V11" s="322"/>
      <c r="W11" s="322" t="s">
        <v>243</v>
      </c>
      <c r="X11" s="322"/>
      <c r="Y11" s="322"/>
    </row>
    <row r="12" spans="8:26" ht="18.75" customHeight="1" x14ac:dyDescent="0.4">
      <c r="H12" s="125" t="s">
        <v>879</v>
      </c>
      <c r="I12" s="125"/>
      <c r="J12" s="125"/>
      <c r="K12" s="125"/>
      <c r="L12" s="125"/>
      <c r="M12" s="125"/>
      <c r="N12" s="125"/>
      <c r="O12" s="322" t="s">
        <v>880</v>
      </c>
      <c r="P12" s="322"/>
      <c r="Q12" s="322"/>
      <c r="R12" s="322"/>
      <c r="S12" s="322"/>
      <c r="T12" s="322"/>
      <c r="U12" s="322"/>
      <c r="V12" s="322"/>
      <c r="W12" s="322" t="s">
        <v>547</v>
      </c>
      <c r="X12" s="322"/>
      <c r="Y12" s="322"/>
    </row>
    <row r="13" spans="8:26" x14ac:dyDescent="0.4">
      <c r="H13" s="125" t="s">
        <v>881</v>
      </c>
      <c r="I13" s="125"/>
      <c r="J13" s="125"/>
      <c r="K13" s="125"/>
      <c r="L13" s="125"/>
      <c r="M13" s="125"/>
      <c r="N13" s="125"/>
      <c r="O13" s="322" t="s">
        <v>882</v>
      </c>
      <c r="P13" s="322"/>
      <c r="Q13" s="322"/>
      <c r="R13" s="322"/>
      <c r="S13" s="322"/>
      <c r="T13" s="322"/>
      <c r="U13" s="322"/>
      <c r="V13" s="322"/>
      <c r="W13" s="322" t="s">
        <v>548</v>
      </c>
      <c r="X13" s="322"/>
      <c r="Y13" s="322"/>
    </row>
    <row r="14" spans="8:26" x14ac:dyDescent="0.4">
      <c r="H14" s="125" t="s">
        <v>883</v>
      </c>
      <c r="I14" s="125"/>
      <c r="J14" s="125"/>
      <c r="K14" s="125"/>
      <c r="L14" s="125"/>
      <c r="M14" s="125"/>
      <c r="N14" s="125"/>
      <c r="O14" s="322" t="s">
        <v>884</v>
      </c>
      <c r="P14" s="322"/>
      <c r="Q14" s="322"/>
      <c r="R14" s="322"/>
      <c r="S14" s="322"/>
      <c r="T14" s="322"/>
      <c r="U14" s="322"/>
      <c r="V14" s="322"/>
      <c r="W14" s="322" t="s">
        <v>549</v>
      </c>
      <c r="X14" s="322"/>
      <c r="Y14" s="322"/>
    </row>
    <row r="15" spans="8:26" x14ac:dyDescent="0.4">
      <c r="H15" s="125" t="s">
        <v>885</v>
      </c>
      <c r="I15" s="125"/>
      <c r="J15" s="125"/>
      <c r="K15" s="125"/>
      <c r="L15" s="125"/>
      <c r="M15" s="125"/>
      <c r="N15" s="125"/>
      <c r="O15" s="322" t="s">
        <v>886</v>
      </c>
      <c r="P15" s="322"/>
      <c r="Q15" s="322"/>
      <c r="R15" s="322"/>
      <c r="S15" s="322"/>
      <c r="T15" s="322"/>
      <c r="U15" s="322"/>
      <c r="V15" s="322"/>
      <c r="W15" s="322" t="s">
        <v>550</v>
      </c>
      <c r="X15" s="322"/>
      <c r="Y15" s="322"/>
    </row>
    <row r="16" spans="8:26" x14ac:dyDescent="0.4">
      <c r="H16" s="125" t="s">
        <v>887</v>
      </c>
      <c r="I16" s="125"/>
      <c r="J16" s="125"/>
      <c r="K16" s="125"/>
      <c r="L16" s="125"/>
      <c r="M16" s="125"/>
      <c r="N16" s="125"/>
      <c r="O16" s="322" t="s">
        <v>888</v>
      </c>
      <c r="P16" s="322"/>
      <c r="Q16" s="322"/>
      <c r="R16" s="322"/>
      <c r="S16" s="322"/>
      <c r="T16" s="322"/>
      <c r="U16" s="322"/>
      <c r="V16" s="322"/>
      <c r="W16" s="322" t="s">
        <v>551</v>
      </c>
      <c r="X16" s="322"/>
      <c r="Y16" s="322"/>
      <c r="Z16" s="36"/>
    </row>
    <row r="17" spans="8:58" x14ac:dyDescent="0.4">
      <c r="H17" s="125" t="s">
        <v>889</v>
      </c>
      <c r="I17" s="125"/>
      <c r="J17" s="125"/>
      <c r="K17" s="125"/>
      <c r="L17" s="125"/>
      <c r="M17" s="125"/>
      <c r="N17" s="125"/>
      <c r="O17" s="322" t="s">
        <v>890</v>
      </c>
      <c r="P17" s="322"/>
      <c r="Q17" s="322"/>
      <c r="R17" s="322"/>
      <c r="S17" s="322"/>
      <c r="T17" s="322"/>
      <c r="U17" s="322"/>
      <c r="V17" s="322"/>
      <c r="W17" s="322" t="s">
        <v>552</v>
      </c>
      <c r="X17" s="322"/>
      <c r="Y17" s="322"/>
    </row>
    <row r="18" spans="8:58" x14ac:dyDescent="0.4">
      <c r="H18" s="125" t="s">
        <v>891</v>
      </c>
      <c r="I18" s="125"/>
      <c r="J18" s="125"/>
      <c r="K18" s="125"/>
      <c r="L18" s="125"/>
      <c r="M18" s="125"/>
      <c r="N18" s="125"/>
      <c r="O18" s="322" t="s">
        <v>892</v>
      </c>
      <c r="P18" s="322"/>
      <c r="Q18" s="322"/>
      <c r="R18" s="322"/>
      <c r="S18" s="322"/>
      <c r="T18" s="322"/>
      <c r="U18" s="322"/>
      <c r="V18" s="322"/>
      <c r="W18" s="322" t="s">
        <v>553</v>
      </c>
      <c r="X18" s="322"/>
      <c r="Y18" s="322"/>
    </row>
    <row r="19" spans="8:58" x14ac:dyDescent="0.4">
      <c r="H19" s="386" t="s">
        <v>893</v>
      </c>
      <c r="I19" s="386"/>
      <c r="J19" s="386"/>
      <c r="K19" s="386"/>
      <c r="L19" s="386"/>
      <c r="M19" s="386"/>
      <c r="N19" s="386"/>
      <c r="O19" s="387" t="s">
        <v>894</v>
      </c>
      <c r="P19" s="387"/>
      <c r="Q19" s="387"/>
      <c r="R19" s="387"/>
      <c r="S19" s="387"/>
      <c r="T19" s="387"/>
      <c r="U19" s="387"/>
      <c r="V19" s="387"/>
      <c r="W19" s="388" t="s">
        <v>554</v>
      </c>
      <c r="X19" s="389"/>
      <c r="Y19" s="389"/>
      <c r="Z19" s="36"/>
    </row>
    <row r="20" spans="8:58" x14ac:dyDescent="0.4">
      <c r="H20" s="159" t="s">
        <v>244</v>
      </c>
      <c r="I20" s="356"/>
      <c r="J20" s="356"/>
      <c r="K20" s="356"/>
      <c r="L20" s="356"/>
      <c r="M20" s="356"/>
      <c r="N20" s="160"/>
      <c r="O20" s="159" t="s">
        <v>245</v>
      </c>
      <c r="P20" s="356"/>
      <c r="Q20" s="356"/>
      <c r="R20" s="356"/>
      <c r="S20" s="356"/>
      <c r="T20" s="356"/>
      <c r="U20" s="356"/>
      <c r="V20" s="356"/>
      <c r="W20" s="357" t="s">
        <v>920</v>
      </c>
      <c r="X20" s="358"/>
      <c r="Y20" s="359"/>
    </row>
    <row r="21" spans="8:58" x14ac:dyDescent="0.4">
      <c r="H21" s="325"/>
      <c r="I21" s="326"/>
      <c r="J21" s="326"/>
      <c r="K21" s="326"/>
      <c r="L21" s="326"/>
      <c r="M21" s="326"/>
      <c r="N21" s="327"/>
      <c r="O21" s="325"/>
      <c r="P21" s="326"/>
      <c r="Q21" s="326"/>
      <c r="R21" s="326"/>
      <c r="S21" s="326"/>
      <c r="T21" s="326"/>
      <c r="U21" s="326"/>
      <c r="V21" s="326"/>
      <c r="W21" s="360"/>
      <c r="X21" s="361"/>
      <c r="Y21" s="362"/>
    </row>
    <row r="22" spans="8:58" x14ac:dyDescent="0.4">
      <c r="H22" s="325"/>
      <c r="I22" s="326"/>
      <c r="J22" s="326"/>
      <c r="K22" s="326"/>
      <c r="L22" s="326"/>
      <c r="M22" s="326"/>
      <c r="N22" s="327"/>
      <c r="O22" s="325"/>
      <c r="P22" s="326"/>
      <c r="Q22" s="326"/>
      <c r="R22" s="326"/>
      <c r="S22" s="326"/>
      <c r="T22" s="326"/>
      <c r="U22" s="326"/>
      <c r="V22" s="326"/>
      <c r="W22" s="360"/>
      <c r="X22" s="361"/>
      <c r="Y22" s="362"/>
      <c r="AF22" s="41"/>
      <c r="AG22" s="41"/>
      <c r="AH22" s="41"/>
      <c r="AI22" s="41"/>
      <c r="AJ22" s="41"/>
      <c r="AK22" s="41"/>
      <c r="AL22" s="41"/>
      <c r="AM22" s="41"/>
      <c r="AN22" s="41"/>
      <c r="AO22" s="41"/>
      <c r="AP22" s="41"/>
      <c r="AQ22" s="41"/>
      <c r="AR22" s="41"/>
      <c r="AS22" s="41"/>
      <c r="AT22" s="41"/>
      <c r="AU22" s="41"/>
      <c r="AV22" s="41"/>
      <c r="AW22" s="41"/>
      <c r="AX22" s="41"/>
      <c r="AY22" s="41"/>
      <c r="AZ22" s="41"/>
      <c r="BA22" s="41"/>
      <c r="BB22" s="41"/>
      <c r="BC22" s="41"/>
      <c r="BD22" s="41"/>
      <c r="BE22" s="41"/>
      <c r="BF22" s="41"/>
    </row>
    <row r="23" spans="8:58" x14ac:dyDescent="0.4">
      <c r="H23" s="381" t="s">
        <v>608</v>
      </c>
      <c r="I23" s="381"/>
      <c r="J23" s="381"/>
      <c r="K23" s="381"/>
      <c r="L23" s="381"/>
      <c r="M23" s="381"/>
      <c r="N23" s="382"/>
      <c r="O23" s="343" t="s">
        <v>609</v>
      </c>
      <c r="P23" s="383"/>
      <c r="Q23" s="383"/>
      <c r="R23" s="383"/>
      <c r="S23" s="383"/>
      <c r="T23" s="383"/>
      <c r="U23" s="383"/>
      <c r="V23" s="384"/>
      <c r="W23" s="385" t="s">
        <v>246</v>
      </c>
      <c r="X23" s="383"/>
      <c r="Y23" s="383"/>
      <c r="AF23" s="350" t="s">
        <v>604</v>
      </c>
      <c r="AG23" s="351"/>
      <c r="AH23" s="351"/>
      <c r="AI23" s="351"/>
      <c r="AJ23" s="351"/>
      <c r="AK23" s="351"/>
      <c r="AL23" s="351"/>
      <c r="AM23" s="351"/>
      <c r="AN23" s="352"/>
      <c r="AO23" s="350" t="s">
        <v>585</v>
      </c>
      <c r="AP23" s="351"/>
      <c r="AQ23" s="351"/>
      <c r="AR23" s="351"/>
      <c r="AS23" s="351"/>
      <c r="AT23" s="351"/>
      <c r="AU23" s="351"/>
      <c r="AV23" s="351"/>
      <c r="AW23" s="351"/>
      <c r="AX23" s="351"/>
      <c r="AY23" s="351"/>
      <c r="AZ23" s="351"/>
      <c r="BA23" s="351"/>
      <c r="BB23" s="351"/>
      <c r="BC23" s="351"/>
      <c r="BD23" s="351"/>
      <c r="BE23" s="351"/>
      <c r="BF23" s="352"/>
    </row>
    <row r="24" spans="8:58" x14ac:dyDescent="0.4">
      <c r="H24" s="394" t="s">
        <v>895</v>
      </c>
      <c r="I24" s="395"/>
      <c r="J24" s="395"/>
      <c r="K24" s="395"/>
      <c r="L24" s="395"/>
      <c r="M24" s="395"/>
      <c r="N24" s="396"/>
      <c r="O24" s="397" t="s">
        <v>613</v>
      </c>
      <c r="P24" s="398"/>
      <c r="Q24" s="398"/>
      <c r="R24" s="398"/>
      <c r="S24" s="398"/>
      <c r="T24" s="398"/>
      <c r="U24" s="398"/>
      <c r="V24" s="399"/>
      <c r="W24" s="397" t="s">
        <v>614</v>
      </c>
      <c r="X24" s="398"/>
      <c r="Y24" s="400"/>
      <c r="AF24" s="338" t="s">
        <v>605</v>
      </c>
      <c r="AG24" s="339"/>
      <c r="AH24" s="339"/>
      <c r="AI24" s="339"/>
      <c r="AJ24" s="339"/>
      <c r="AK24" s="339"/>
      <c r="AL24" s="339"/>
      <c r="AM24" s="339"/>
      <c r="AN24" s="390"/>
      <c r="AO24" s="391" t="s">
        <v>606</v>
      </c>
      <c r="AP24" s="392"/>
      <c r="AQ24" s="392"/>
      <c r="AR24" s="392"/>
      <c r="AS24" s="392"/>
      <c r="AT24" s="392"/>
      <c r="AU24" s="392"/>
      <c r="AV24" s="392"/>
      <c r="AW24" s="393"/>
      <c r="AX24" s="391" t="s">
        <v>607</v>
      </c>
      <c r="AY24" s="392"/>
      <c r="AZ24" s="392"/>
      <c r="BA24" s="392"/>
      <c r="BB24" s="392"/>
      <c r="BC24" s="392"/>
      <c r="BD24" s="392"/>
      <c r="BE24" s="392"/>
      <c r="BF24" s="393"/>
    </row>
    <row r="25" spans="8:58" x14ac:dyDescent="0.4">
      <c r="H25" s="126" t="s">
        <v>618</v>
      </c>
      <c r="I25" s="42"/>
      <c r="J25" s="42"/>
      <c r="K25" s="42"/>
      <c r="L25" s="42"/>
      <c r="M25" s="42"/>
      <c r="N25" s="127"/>
      <c r="O25" s="369" t="s">
        <v>619</v>
      </c>
      <c r="P25" s="370"/>
      <c r="Q25" s="370"/>
      <c r="R25" s="370"/>
      <c r="S25" s="370"/>
      <c r="T25" s="370"/>
      <c r="U25" s="370"/>
      <c r="V25" s="371"/>
      <c r="W25" s="369" t="s">
        <v>620</v>
      </c>
      <c r="X25" s="370"/>
      <c r="Y25" s="371"/>
      <c r="AF25" s="338" t="s">
        <v>610</v>
      </c>
      <c r="AG25" s="339"/>
      <c r="AH25" s="339"/>
      <c r="AI25" s="339"/>
      <c r="AJ25" s="339"/>
      <c r="AK25" s="339"/>
      <c r="AL25" s="339"/>
      <c r="AM25" s="339"/>
      <c r="AN25" s="390"/>
      <c r="AO25" s="391" t="s">
        <v>611</v>
      </c>
      <c r="AP25" s="392"/>
      <c r="AQ25" s="392"/>
      <c r="AR25" s="392"/>
      <c r="AS25" s="392"/>
      <c r="AT25" s="392"/>
      <c r="AU25" s="392"/>
      <c r="AV25" s="392"/>
      <c r="AW25" s="393"/>
      <c r="AX25" s="391" t="s">
        <v>612</v>
      </c>
      <c r="AY25" s="392"/>
      <c r="AZ25" s="392"/>
      <c r="BA25" s="392"/>
      <c r="BB25" s="392"/>
      <c r="BC25" s="392"/>
      <c r="BD25" s="392"/>
      <c r="BE25" s="392"/>
      <c r="BF25" s="393"/>
    </row>
    <row r="26" spans="8:58" x14ac:dyDescent="0.4">
      <c r="H26" s="126" t="s">
        <v>624</v>
      </c>
      <c r="I26" s="42"/>
      <c r="J26" s="42"/>
      <c r="K26" s="42"/>
      <c r="L26" s="42"/>
      <c r="M26" s="42"/>
      <c r="N26" s="127"/>
      <c r="O26" s="369" t="s">
        <v>625</v>
      </c>
      <c r="P26" s="370"/>
      <c r="Q26" s="370"/>
      <c r="R26" s="370"/>
      <c r="S26" s="370"/>
      <c r="T26" s="370"/>
      <c r="U26" s="370"/>
      <c r="V26" s="371"/>
      <c r="W26" s="369" t="s">
        <v>626</v>
      </c>
      <c r="X26" s="370"/>
      <c r="Y26" s="371"/>
      <c r="AF26" s="347" t="s">
        <v>615</v>
      </c>
      <c r="AG26" s="348"/>
      <c r="AH26" s="348"/>
      <c r="AI26" s="348"/>
      <c r="AJ26" s="348"/>
      <c r="AK26" s="348"/>
      <c r="AL26" s="348"/>
      <c r="AM26" s="348"/>
      <c r="AN26" s="349"/>
      <c r="AO26" s="344" t="s">
        <v>616</v>
      </c>
      <c r="AP26" s="345"/>
      <c r="AQ26" s="345"/>
      <c r="AR26" s="345"/>
      <c r="AS26" s="345"/>
      <c r="AT26" s="345"/>
      <c r="AU26" s="345"/>
      <c r="AV26" s="345"/>
      <c r="AW26" s="346"/>
      <c r="AX26" s="344" t="s">
        <v>617</v>
      </c>
      <c r="AY26" s="345"/>
      <c r="AZ26" s="345"/>
      <c r="BA26" s="345"/>
      <c r="BB26" s="345"/>
      <c r="BC26" s="345"/>
      <c r="BD26" s="345"/>
      <c r="BE26" s="345"/>
      <c r="BF26" s="346"/>
    </row>
    <row r="27" spans="8:58" x14ac:dyDescent="0.4">
      <c r="H27" s="126" t="s">
        <v>630</v>
      </c>
      <c r="I27" s="42"/>
      <c r="J27" s="42"/>
      <c r="K27" s="42"/>
      <c r="L27" s="42"/>
      <c r="M27" s="42"/>
      <c r="N27" s="127"/>
      <c r="O27" s="369" t="s">
        <v>631</v>
      </c>
      <c r="P27" s="370"/>
      <c r="Q27" s="370"/>
      <c r="R27" s="370"/>
      <c r="S27" s="370"/>
      <c r="T27" s="370"/>
      <c r="U27" s="370"/>
      <c r="V27" s="371"/>
      <c r="W27" s="376" t="s">
        <v>632</v>
      </c>
      <c r="X27" s="377"/>
      <c r="Y27" s="378"/>
      <c r="AF27" s="353" t="s">
        <v>621</v>
      </c>
      <c r="AG27" s="354"/>
      <c r="AH27" s="354"/>
      <c r="AI27" s="354"/>
      <c r="AJ27" s="354"/>
      <c r="AK27" s="354"/>
      <c r="AL27" s="354"/>
      <c r="AM27" s="354"/>
      <c r="AN27" s="355"/>
      <c r="AO27" s="366" t="s">
        <v>622</v>
      </c>
      <c r="AP27" s="367"/>
      <c r="AQ27" s="367"/>
      <c r="AR27" s="367"/>
      <c r="AS27" s="367"/>
      <c r="AT27" s="367"/>
      <c r="AU27" s="367"/>
      <c r="AV27" s="367"/>
      <c r="AW27" s="368"/>
      <c r="AX27" s="366" t="s">
        <v>623</v>
      </c>
      <c r="AY27" s="367"/>
      <c r="AZ27" s="367"/>
      <c r="BA27" s="367"/>
      <c r="BB27" s="367"/>
      <c r="BC27" s="367"/>
      <c r="BD27" s="367"/>
      <c r="BE27" s="367"/>
      <c r="BF27" s="368"/>
    </row>
    <row r="28" spans="8:58" x14ac:dyDescent="0.4">
      <c r="H28" s="126" t="s">
        <v>636</v>
      </c>
      <c r="I28" s="42"/>
      <c r="J28" s="42"/>
      <c r="K28" s="42"/>
      <c r="L28" s="42"/>
      <c r="M28" s="42"/>
      <c r="N28" s="127"/>
      <c r="O28" s="369" t="s">
        <v>637</v>
      </c>
      <c r="P28" s="370"/>
      <c r="Q28" s="370"/>
      <c r="R28" s="370"/>
      <c r="S28" s="370"/>
      <c r="T28" s="370"/>
      <c r="U28" s="370"/>
      <c r="V28" s="371"/>
      <c r="W28" s="379" t="s">
        <v>638</v>
      </c>
      <c r="X28" s="374"/>
      <c r="Y28" s="375"/>
      <c r="AF28" s="353" t="s">
        <v>627</v>
      </c>
      <c r="AG28" s="354"/>
      <c r="AH28" s="354"/>
      <c r="AI28" s="354"/>
      <c r="AJ28" s="354"/>
      <c r="AK28" s="354"/>
      <c r="AL28" s="354"/>
      <c r="AM28" s="354"/>
      <c r="AN28" s="355"/>
      <c r="AO28" s="366" t="s">
        <v>628</v>
      </c>
      <c r="AP28" s="367"/>
      <c r="AQ28" s="367"/>
      <c r="AR28" s="367"/>
      <c r="AS28" s="367"/>
      <c r="AT28" s="367"/>
      <c r="AU28" s="367"/>
      <c r="AV28" s="367"/>
      <c r="AW28" s="368"/>
      <c r="AX28" s="366" t="s">
        <v>629</v>
      </c>
      <c r="AY28" s="367"/>
      <c r="AZ28" s="367"/>
      <c r="BA28" s="367"/>
      <c r="BB28" s="367"/>
      <c r="BC28" s="367"/>
      <c r="BD28" s="367"/>
      <c r="BE28" s="367"/>
      <c r="BF28" s="368"/>
    </row>
    <row r="29" spans="8:58" x14ac:dyDescent="0.4">
      <c r="H29" s="126" t="s">
        <v>642</v>
      </c>
      <c r="I29" s="42"/>
      <c r="J29" s="42"/>
      <c r="K29" s="42"/>
      <c r="L29" s="42"/>
      <c r="M29" s="42"/>
      <c r="N29" s="127"/>
      <c r="O29" s="369" t="s">
        <v>643</v>
      </c>
      <c r="P29" s="370"/>
      <c r="Q29" s="370"/>
      <c r="R29" s="370"/>
      <c r="S29" s="370"/>
      <c r="T29" s="370"/>
      <c r="U29" s="370"/>
      <c r="V29" s="371"/>
      <c r="W29" s="369" t="s">
        <v>644</v>
      </c>
      <c r="X29" s="370"/>
      <c r="Y29" s="371"/>
      <c r="AF29" s="353" t="s">
        <v>633</v>
      </c>
      <c r="AG29" s="354"/>
      <c r="AH29" s="354"/>
      <c r="AI29" s="354"/>
      <c r="AJ29" s="354"/>
      <c r="AK29" s="354"/>
      <c r="AL29" s="354"/>
      <c r="AM29" s="354"/>
      <c r="AN29" s="355"/>
      <c r="AO29" s="366" t="s">
        <v>634</v>
      </c>
      <c r="AP29" s="367"/>
      <c r="AQ29" s="367"/>
      <c r="AR29" s="367"/>
      <c r="AS29" s="367"/>
      <c r="AT29" s="367"/>
      <c r="AU29" s="367"/>
      <c r="AV29" s="367"/>
      <c r="AW29" s="368"/>
      <c r="AX29" s="366" t="s">
        <v>635</v>
      </c>
      <c r="AY29" s="367"/>
      <c r="AZ29" s="367"/>
      <c r="BA29" s="367"/>
      <c r="BB29" s="367"/>
      <c r="BC29" s="367"/>
      <c r="BD29" s="367"/>
      <c r="BE29" s="367"/>
      <c r="BF29" s="368"/>
    </row>
    <row r="30" spans="8:58" x14ac:dyDescent="0.4">
      <c r="H30" s="126" t="s">
        <v>648</v>
      </c>
      <c r="I30" s="42"/>
      <c r="J30" s="42"/>
      <c r="K30" s="42"/>
      <c r="L30" s="42"/>
      <c r="M30" s="42"/>
      <c r="N30" s="127"/>
      <c r="O30" s="369" t="s">
        <v>649</v>
      </c>
      <c r="P30" s="370"/>
      <c r="Q30" s="370"/>
      <c r="R30" s="370"/>
      <c r="S30" s="370"/>
      <c r="T30" s="370"/>
      <c r="U30" s="370"/>
      <c r="V30" s="371"/>
      <c r="W30" s="376" t="s">
        <v>650</v>
      </c>
      <c r="X30" s="377"/>
      <c r="Y30" s="401"/>
      <c r="AF30" s="353" t="s">
        <v>639</v>
      </c>
      <c r="AG30" s="354"/>
      <c r="AH30" s="354"/>
      <c r="AI30" s="354"/>
      <c r="AJ30" s="354"/>
      <c r="AK30" s="354"/>
      <c r="AL30" s="354"/>
      <c r="AM30" s="354"/>
      <c r="AN30" s="355"/>
      <c r="AO30" s="366" t="s">
        <v>640</v>
      </c>
      <c r="AP30" s="367"/>
      <c r="AQ30" s="367"/>
      <c r="AR30" s="367"/>
      <c r="AS30" s="367"/>
      <c r="AT30" s="367"/>
      <c r="AU30" s="367"/>
      <c r="AV30" s="367"/>
      <c r="AW30" s="368"/>
      <c r="AX30" s="366" t="s">
        <v>641</v>
      </c>
      <c r="AY30" s="367"/>
      <c r="AZ30" s="367"/>
      <c r="BA30" s="367"/>
      <c r="BB30" s="367"/>
      <c r="BC30" s="367"/>
      <c r="BD30" s="367"/>
      <c r="BE30" s="367"/>
      <c r="BF30" s="368"/>
    </row>
    <row r="31" spans="8:58" x14ac:dyDescent="0.4">
      <c r="H31" s="126" t="s">
        <v>896</v>
      </c>
      <c r="I31" s="42"/>
      <c r="J31" s="42"/>
      <c r="K31" s="42"/>
      <c r="L31" s="42"/>
      <c r="M31" s="42"/>
      <c r="N31" s="127"/>
      <c r="O31" s="369" t="s">
        <v>897</v>
      </c>
      <c r="P31" s="370"/>
      <c r="Q31" s="370"/>
      <c r="R31" s="370"/>
      <c r="S31" s="370"/>
      <c r="T31" s="370"/>
      <c r="U31" s="370"/>
      <c r="V31" s="372"/>
      <c r="W31" s="363" t="s">
        <v>898</v>
      </c>
      <c r="X31" s="364"/>
      <c r="Y31" s="365"/>
      <c r="AF31" s="353" t="s">
        <v>645</v>
      </c>
      <c r="AG31" s="354"/>
      <c r="AH31" s="354"/>
      <c r="AI31" s="354"/>
      <c r="AJ31" s="354"/>
      <c r="AK31" s="354"/>
      <c r="AL31" s="354"/>
      <c r="AM31" s="354"/>
      <c r="AN31" s="355"/>
      <c r="AO31" s="366" t="s">
        <v>646</v>
      </c>
      <c r="AP31" s="367"/>
      <c r="AQ31" s="367"/>
      <c r="AR31" s="367"/>
      <c r="AS31" s="367"/>
      <c r="AT31" s="367"/>
      <c r="AU31" s="367"/>
      <c r="AV31" s="367"/>
      <c r="AW31" s="368"/>
      <c r="AX31" s="366" t="s">
        <v>647</v>
      </c>
      <c r="AY31" s="367"/>
      <c r="AZ31" s="367"/>
      <c r="BA31" s="367"/>
      <c r="BB31" s="367"/>
      <c r="BC31" s="367"/>
      <c r="BD31" s="367"/>
      <c r="BE31" s="367"/>
      <c r="BF31" s="368"/>
    </row>
    <row r="32" spans="8:58" x14ac:dyDescent="0.4">
      <c r="H32" s="126" t="s">
        <v>899</v>
      </c>
      <c r="I32" s="42"/>
      <c r="J32" s="42"/>
      <c r="K32" s="42"/>
      <c r="L32" s="42"/>
      <c r="M32" s="42"/>
      <c r="N32" s="127"/>
      <c r="O32" s="369" t="s">
        <v>900</v>
      </c>
      <c r="P32" s="370"/>
      <c r="Q32" s="370"/>
      <c r="R32" s="370"/>
      <c r="S32" s="370"/>
      <c r="T32" s="370"/>
      <c r="U32" s="370"/>
      <c r="V32" s="372"/>
      <c r="W32" s="363" t="s">
        <v>901</v>
      </c>
      <c r="X32" s="364"/>
      <c r="Y32" s="365"/>
      <c r="AF32" s="353" t="s">
        <v>651</v>
      </c>
      <c r="AG32" s="354"/>
      <c r="AH32" s="354"/>
      <c r="AI32" s="354"/>
      <c r="AJ32" s="354"/>
      <c r="AK32" s="354"/>
      <c r="AL32" s="354"/>
      <c r="AM32" s="354"/>
      <c r="AN32" s="355"/>
      <c r="AO32" s="366" t="s">
        <v>652</v>
      </c>
      <c r="AP32" s="367"/>
      <c r="AQ32" s="367"/>
      <c r="AR32" s="367"/>
      <c r="AS32" s="367"/>
      <c r="AT32" s="367"/>
      <c r="AU32" s="367"/>
      <c r="AV32" s="367"/>
      <c r="AW32" s="368"/>
      <c r="AX32" s="366" t="s">
        <v>653</v>
      </c>
      <c r="AY32" s="367"/>
      <c r="AZ32" s="367"/>
      <c r="BA32" s="367"/>
      <c r="BB32" s="367"/>
      <c r="BC32" s="367"/>
      <c r="BD32" s="367"/>
      <c r="BE32" s="367"/>
      <c r="BF32" s="368"/>
    </row>
    <row r="33" spans="8:58" x14ac:dyDescent="0.4">
      <c r="H33" s="126" t="s">
        <v>902</v>
      </c>
      <c r="I33" s="42"/>
      <c r="J33" s="42"/>
      <c r="K33" s="42"/>
      <c r="L33" s="42"/>
      <c r="M33" s="42"/>
      <c r="N33" s="127"/>
      <c r="O33" s="369" t="s">
        <v>903</v>
      </c>
      <c r="P33" s="370"/>
      <c r="Q33" s="370"/>
      <c r="R33" s="370"/>
      <c r="S33" s="370"/>
      <c r="T33" s="370"/>
      <c r="U33" s="370"/>
      <c r="V33" s="372"/>
      <c r="W33" s="363" t="s">
        <v>904</v>
      </c>
      <c r="X33" s="364"/>
      <c r="Y33" s="365"/>
      <c r="AF33" s="353" t="s">
        <v>654</v>
      </c>
      <c r="AG33" s="354"/>
      <c r="AH33" s="354"/>
      <c r="AI33" s="354"/>
      <c r="AJ33" s="354"/>
      <c r="AK33" s="354"/>
      <c r="AL33" s="354"/>
      <c r="AM33" s="354"/>
      <c r="AN33" s="355"/>
      <c r="AO33" s="366" t="s">
        <v>655</v>
      </c>
      <c r="AP33" s="367"/>
      <c r="AQ33" s="367"/>
      <c r="AR33" s="367"/>
      <c r="AS33" s="367"/>
      <c r="AT33" s="367"/>
      <c r="AU33" s="367"/>
      <c r="AV33" s="367"/>
      <c r="AW33" s="368"/>
      <c r="AX33" s="366" t="s">
        <v>656</v>
      </c>
      <c r="AY33" s="367"/>
      <c r="AZ33" s="367"/>
      <c r="BA33" s="367"/>
      <c r="BB33" s="367"/>
      <c r="BC33" s="367"/>
      <c r="BD33" s="367"/>
      <c r="BE33" s="367"/>
      <c r="BF33" s="368"/>
    </row>
    <row r="34" spans="8:58" x14ac:dyDescent="0.4">
      <c r="H34" s="126" t="s">
        <v>905</v>
      </c>
      <c r="I34" s="42"/>
      <c r="J34" s="42"/>
      <c r="K34" s="42"/>
      <c r="L34" s="42"/>
      <c r="M34" s="42"/>
      <c r="N34" s="127"/>
      <c r="O34" s="369" t="s">
        <v>906</v>
      </c>
      <c r="P34" s="370"/>
      <c r="Q34" s="370"/>
      <c r="R34" s="370"/>
      <c r="S34" s="370"/>
      <c r="T34" s="370"/>
      <c r="U34" s="370"/>
      <c r="V34" s="372"/>
      <c r="W34" s="363" t="s">
        <v>907</v>
      </c>
      <c r="X34" s="364"/>
      <c r="Y34" s="365"/>
      <c r="AF34" s="353" t="s">
        <v>657</v>
      </c>
      <c r="AG34" s="354"/>
      <c r="AH34" s="354"/>
      <c r="AI34" s="354"/>
      <c r="AJ34" s="354"/>
      <c r="AK34" s="354"/>
      <c r="AL34" s="354"/>
      <c r="AM34" s="354"/>
      <c r="AN34" s="355"/>
      <c r="AO34" s="366" t="s">
        <v>658</v>
      </c>
      <c r="AP34" s="367"/>
      <c r="AQ34" s="367"/>
      <c r="AR34" s="367"/>
      <c r="AS34" s="367"/>
      <c r="AT34" s="367"/>
      <c r="AU34" s="367"/>
      <c r="AV34" s="367"/>
      <c r="AW34" s="368"/>
      <c r="AX34" s="366" t="s">
        <v>659</v>
      </c>
      <c r="AY34" s="367"/>
      <c r="AZ34" s="367"/>
      <c r="BA34" s="367"/>
      <c r="BB34" s="367"/>
      <c r="BC34" s="367"/>
      <c r="BD34" s="367"/>
      <c r="BE34" s="367"/>
      <c r="BF34" s="368"/>
    </row>
    <row r="35" spans="8:58" x14ac:dyDescent="0.4">
      <c r="H35" s="126" t="s">
        <v>908</v>
      </c>
      <c r="I35" s="42"/>
      <c r="J35" s="42"/>
      <c r="K35" s="42"/>
      <c r="L35" s="42"/>
      <c r="M35" s="42"/>
      <c r="N35" s="127"/>
      <c r="O35" s="369" t="s">
        <v>909</v>
      </c>
      <c r="P35" s="370"/>
      <c r="Q35" s="370"/>
      <c r="R35" s="370"/>
      <c r="S35" s="370"/>
      <c r="T35" s="370"/>
      <c r="U35" s="370"/>
      <c r="V35" s="372"/>
      <c r="W35" s="363" t="s">
        <v>910</v>
      </c>
      <c r="X35" s="364"/>
      <c r="Y35" s="365"/>
      <c r="AF35" s="353" t="s">
        <v>660</v>
      </c>
      <c r="AG35" s="354"/>
      <c r="AH35" s="354"/>
      <c r="AI35" s="354"/>
      <c r="AJ35" s="354"/>
      <c r="AK35" s="354"/>
      <c r="AL35" s="354"/>
      <c r="AM35" s="354"/>
      <c r="AN35" s="355"/>
      <c r="AO35" s="366" t="s">
        <v>661</v>
      </c>
      <c r="AP35" s="367"/>
      <c r="AQ35" s="367"/>
      <c r="AR35" s="367"/>
      <c r="AS35" s="367"/>
      <c r="AT35" s="367"/>
      <c r="AU35" s="367"/>
      <c r="AV35" s="367"/>
      <c r="AW35" s="368"/>
      <c r="AX35" s="366" t="s">
        <v>662</v>
      </c>
      <c r="AY35" s="367"/>
      <c r="AZ35" s="367"/>
      <c r="BA35" s="367"/>
      <c r="BB35" s="367"/>
      <c r="BC35" s="367"/>
      <c r="BD35" s="367"/>
      <c r="BE35" s="367"/>
      <c r="BF35" s="368"/>
    </row>
    <row r="36" spans="8:58" x14ac:dyDescent="0.4">
      <c r="H36" s="126" t="s">
        <v>911</v>
      </c>
      <c r="I36" s="42"/>
      <c r="J36" s="42"/>
      <c r="K36" s="42"/>
      <c r="L36" s="42"/>
      <c r="M36" s="42"/>
      <c r="N36" s="127"/>
      <c r="O36" s="369" t="s">
        <v>912</v>
      </c>
      <c r="P36" s="370"/>
      <c r="Q36" s="370"/>
      <c r="R36" s="370"/>
      <c r="S36" s="370"/>
      <c r="T36" s="370"/>
      <c r="U36" s="370"/>
      <c r="V36" s="372"/>
      <c r="W36" s="363" t="s">
        <v>913</v>
      </c>
      <c r="X36" s="364"/>
      <c r="Y36" s="365"/>
      <c r="AF36" s="353" t="s">
        <v>663</v>
      </c>
      <c r="AG36" s="354"/>
      <c r="AH36" s="354"/>
      <c r="AI36" s="354"/>
      <c r="AJ36" s="354"/>
      <c r="AK36" s="354"/>
      <c r="AL36" s="354"/>
      <c r="AM36" s="354"/>
      <c r="AN36" s="355"/>
      <c r="AO36" s="366" t="s">
        <v>664</v>
      </c>
      <c r="AP36" s="367"/>
      <c r="AQ36" s="367"/>
      <c r="AR36" s="367"/>
      <c r="AS36" s="367"/>
      <c r="AT36" s="367"/>
      <c r="AU36" s="367"/>
      <c r="AV36" s="367"/>
      <c r="AW36" s="368"/>
      <c r="AX36" s="366" t="s">
        <v>665</v>
      </c>
      <c r="AY36" s="367"/>
      <c r="AZ36" s="367"/>
      <c r="BA36" s="367"/>
      <c r="BB36" s="367"/>
      <c r="BC36" s="367"/>
      <c r="BD36" s="367"/>
      <c r="BE36" s="367"/>
      <c r="BF36" s="368"/>
    </row>
    <row r="37" spans="8:58" x14ac:dyDescent="0.4">
      <c r="H37" s="126" t="s">
        <v>914</v>
      </c>
      <c r="I37" s="42"/>
      <c r="J37" s="42"/>
      <c r="K37" s="42"/>
      <c r="L37" s="42"/>
      <c r="M37" s="42"/>
      <c r="N37" s="127"/>
      <c r="O37" s="369" t="s">
        <v>915</v>
      </c>
      <c r="P37" s="370"/>
      <c r="Q37" s="370"/>
      <c r="R37" s="370"/>
      <c r="S37" s="370"/>
      <c r="T37" s="370"/>
      <c r="U37" s="370"/>
      <c r="V37" s="372"/>
      <c r="W37" s="373" t="s">
        <v>916</v>
      </c>
      <c r="X37" s="374"/>
      <c r="Y37" s="375"/>
      <c r="AF37" s="353" t="s">
        <v>666</v>
      </c>
      <c r="AG37" s="354"/>
      <c r="AH37" s="354"/>
      <c r="AI37" s="354"/>
      <c r="AJ37" s="354"/>
      <c r="AK37" s="354"/>
      <c r="AL37" s="354"/>
      <c r="AM37" s="354"/>
      <c r="AN37" s="355"/>
      <c r="AO37" s="366" t="s">
        <v>667</v>
      </c>
      <c r="AP37" s="367"/>
      <c r="AQ37" s="367"/>
      <c r="AR37" s="367"/>
      <c r="AS37" s="367"/>
      <c r="AT37" s="367"/>
      <c r="AU37" s="367"/>
      <c r="AV37" s="367"/>
      <c r="AW37" s="368"/>
      <c r="AX37" s="366" t="s">
        <v>668</v>
      </c>
      <c r="AY37" s="367"/>
      <c r="AZ37" s="367"/>
      <c r="BA37" s="367"/>
      <c r="BB37" s="367"/>
      <c r="BC37" s="367"/>
      <c r="BD37" s="367"/>
      <c r="BE37" s="367"/>
      <c r="BF37" s="368"/>
    </row>
    <row r="38" spans="8:58" x14ac:dyDescent="0.4">
      <c r="H38" s="126" t="s">
        <v>917</v>
      </c>
      <c r="I38" s="42"/>
      <c r="J38" s="42"/>
      <c r="K38" s="42"/>
      <c r="L38" s="42"/>
      <c r="M38" s="42"/>
      <c r="N38" s="127"/>
      <c r="O38" s="369" t="s">
        <v>918</v>
      </c>
      <c r="P38" s="370"/>
      <c r="Q38" s="370"/>
      <c r="R38" s="370"/>
      <c r="S38" s="370"/>
      <c r="T38" s="370"/>
      <c r="U38" s="370"/>
      <c r="V38" s="371"/>
      <c r="W38" s="369" t="s">
        <v>919</v>
      </c>
      <c r="X38" s="370"/>
      <c r="Y38" s="371"/>
      <c r="AF38" s="353" t="s">
        <v>669</v>
      </c>
      <c r="AG38" s="354"/>
      <c r="AH38" s="354"/>
      <c r="AI38" s="354"/>
      <c r="AJ38" s="354"/>
      <c r="AK38" s="354"/>
      <c r="AL38" s="354"/>
      <c r="AM38" s="354"/>
      <c r="AN38" s="355"/>
      <c r="AO38" s="363" t="s">
        <v>670</v>
      </c>
      <c r="AP38" s="364"/>
      <c r="AQ38" s="364"/>
      <c r="AR38" s="364"/>
      <c r="AS38" s="364"/>
      <c r="AT38" s="364"/>
      <c r="AU38" s="364"/>
      <c r="AV38" s="364"/>
      <c r="AW38" s="365"/>
      <c r="AX38" s="39" t="s">
        <v>671</v>
      </c>
      <c r="AY38" s="39"/>
      <c r="AZ38" s="39"/>
      <c r="BA38" s="39"/>
      <c r="BB38" s="39"/>
      <c r="BC38" s="39"/>
      <c r="BD38" s="39"/>
      <c r="BE38" s="39"/>
      <c r="BF38" s="39"/>
    </row>
    <row r="39" spans="8:58" x14ac:dyDescent="0.4">
      <c r="Q39" s="1"/>
      <c r="R39" s="1"/>
      <c r="AF39" s="353" t="s">
        <v>672</v>
      </c>
      <c r="AG39" s="354"/>
      <c r="AH39" s="354"/>
      <c r="AI39" s="354"/>
      <c r="AJ39" s="354"/>
      <c r="AK39" s="354"/>
      <c r="AL39" s="354"/>
      <c r="AM39" s="354"/>
      <c r="AN39" s="355"/>
      <c r="AO39" s="363" t="s">
        <v>673</v>
      </c>
      <c r="AP39" s="364"/>
      <c r="AQ39" s="364"/>
      <c r="AR39" s="364"/>
      <c r="AS39" s="364"/>
      <c r="AT39" s="364"/>
      <c r="AU39" s="364"/>
      <c r="AV39" s="364"/>
      <c r="AW39" s="365"/>
      <c r="AX39" s="39" t="s">
        <v>674</v>
      </c>
      <c r="AY39" s="39"/>
      <c r="AZ39" s="39"/>
      <c r="BA39" s="39"/>
      <c r="BB39" s="39"/>
      <c r="BC39" s="39"/>
      <c r="BD39" s="39"/>
      <c r="BE39" s="39"/>
      <c r="BF39" s="39"/>
    </row>
    <row r="40" spans="8:58" x14ac:dyDescent="0.4">
      <c r="AF40" s="353" t="s">
        <v>675</v>
      </c>
      <c r="AG40" s="354"/>
      <c r="AH40" s="354"/>
      <c r="AI40" s="354"/>
      <c r="AJ40" s="354"/>
      <c r="AK40" s="354"/>
      <c r="AL40" s="354"/>
      <c r="AM40" s="354"/>
      <c r="AN40" s="355"/>
      <c r="AO40" s="363" t="s">
        <v>676</v>
      </c>
      <c r="AP40" s="364"/>
      <c r="AQ40" s="364"/>
      <c r="AR40" s="364"/>
      <c r="AS40" s="364"/>
      <c r="AT40" s="364"/>
      <c r="AU40" s="364"/>
      <c r="AV40" s="364"/>
      <c r="AW40" s="365"/>
      <c r="AX40" s="39" t="s">
        <v>677</v>
      </c>
      <c r="AY40" s="39"/>
      <c r="AZ40" s="39"/>
      <c r="BA40" s="39"/>
      <c r="BB40" s="39"/>
      <c r="BC40" s="39"/>
      <c r="BD40" s="39"/>
      <c r="BE40" s="39"/>
      <c r="BF40" s="39"/>
    </row>
    <row r="41" spans="8:58" x14ac:dyDescent="0.4">
      <c r="Q41" s="1"/>
      <c r="R41" s="1"/>
    </row>
    <row r="43" spans="8:58" x14ac:dyDescent="0.4">
      <c r="H43" s="311" t="s">
        <v>678</v>
      </c>
      <c r="I43" s="312"/>
      <c r="J43" s="312"/>
      <c r="K43" s="312"/>
      <c r="L43" s="312"/>
      <c r="M43" s="312"/>
      <c r="N43" s="312"/>
      <c r="O43" s="312"/>
      <c r="P43" s="312"/>
      <c r="Q43" s="312"/>
      <c r="R43" s="312"/>
      <c r="S43" s="312"/>
      <c r="T43" s="312"/>
      <c r="U43" s="312"/>
      <c r="V43" s="312"/>
      <c r="W43" s="312"/>
      <c r="X43" s="312"/>
      <c r="Y43" s="312"/>
      <c r="Z43" s="312"/>
      <c r="AA43" s="312"/>
      <c r="AB43" s="312"/>
      <c r="AC43" s="312"/>
      <c r="AD43" s="312"/>
      <c r="AE43" s="312"/>
      <c r="AF43" s="312"/>
      <c r="AG43" s="312"/>
      <c r="AH43" s="312"/>
      <c r="AI43" s="312"/>
      <c r="AJ43" s="312"/>
      <c r="AK43" s="312"/>
      <c r="AL43" s="312"/>
      <c r="AM43" s="312"/>
      <c r="AN43" s="312"/>
      <c r="AO43" s="312"/>
      <c r="AP43" s="312"/>
      <c r="AQ43" s="312"/>
      <c r="AR43" s="312"/>
      <c r="AS43" s="312"/>
      <c r="AT43" s="312"/>
      <c r="AU43" s="312"/>
      <c r="AV43" s="312"/>
      <c r="AW43" s="312"/>
      <c r="AX43" s="312"/>
      <c r="AY43" s="312"/>
      <c r="AZ43" s="312"/>
      <c r="BA43" s="312"/>
      <c r="BB43" s="312"/>
      <c r="BC43" s="312"/>
      <c r="BD43" s="312"/>
      <c r="BE43" s="312"/>
      <c r="BF43" s="313"/>
    </row>
    <row r="44" spans="8:58" x14ac:dyDescent="0.4">
      <c r="H44" s="314" t="s">
        <v>419</v>
      </c>
      <c r="I44" s="314"/>
      <c r="J44" s="314"/>
      <c r="K44" s="314"/>
      <c r="L44" s="314"/>
      <c r="M44" s="314"/>
      <c r="N44" s="314"/>
      <c r="O44" s="314"/>
      <c r="P44" s="314"/>
      <c r="Q44" s="314"/>
      <c r="R44" s="314" t="s">
        <v>1</v>
      </c>
      <c r="S44" s="314"/>
      <c r="T44" s="314"/>
      <c r="U44" s="314"/>
      <c r="V44" s="314"/>
      <c r="W44" s="314"/>
      <c r="X44" s="314"/>
      <c r="Y44" s="314"/>
      <c r="Z44" s="314"/>
      <c r="AA44" s="314"/>
      <c r="AB44" s="315" t="s">
        <v>420</v>
      </c>
      <c r="AC44" s="316"/>
      <c r="AD44" s="317" t="s">
        <v>421</v>
      </c>
      <c r="AE44" s="318"/>
      <c r="AF44" s="318"/>
      <c r="AG44" s="319"/>
      <c r="AH44" s="320" t="s">
        <v>422</v>
      </c>
      <c r="AI44" s="320"/>
      <c r="AJ44" s="321" t="s">
        <v>423</v>
      </c>
      <c r="AK44" s="321"/>
      <c r="AL44" s="321"/>
      <c r="AM44" s="321"/>
      <c r="AN44" s="321"/>
      <c r="AO44" s="321"/>
      <c r="AP44" s="321"/>
      <c r="AQ44" s="321"/>
      <c r="AR44" s="321"/>
      <c r="AS44" s="321"/>
      <c r="AT44" s="321"/>
      <c r="AU44" s="321"/>
      <c r="AV44" s="321"/>
      <c r="AW44" s="321"/>
      <c r="AX44" s="321"/>
      <c r="AY44" s="321"/>
      <c r="AZ44" s="321"/>
      <c r="BA44" s="321"/>
      <c r="BB44" s="321"/>
      <c r="BC44" s="321"/>
      <c r="BD44" s="321"/>
      <c r="BE44" s="321"/>
      <c r="BF44" s="321"/>
    </row>
    <row r="45" spans="8:58" x14ac:dyDescent="0.4">
      <c r="H45" s="134" t="s">
        <v>424</v>
      </c>
      <c r="I45" s="135"/>
      <c r="J45" s="135"/>
      <c r="K45" s="135"/>
      <c r="L45" s="135"/>
      <c r="M45" s="135"/>
      <c r="N45" s="135"/>
      <c r="O45" s="135"/>
      <c r="P45" s="135"/>
      <c r="Q45" s="136"/>
      <c r="R45" s="134" t="s">
        <v>679</v>
      </c>
      <c r="S45" s="135"/>
      <c r="T45" s="135"/>
      <c r="U45" s="135"/>
      <c r="V45" s="135"/>
      <c r="W45" s="135"/>
      <c r="X45" s="135"/>
      <c r="Y45" s="135"/>
      <c r="Z45" s="135"/>
      <c r="AA45" s="136"/>
      <c r="AB45" s="248" t="s">
        <v>425</v>
      </c>
      <c r="AC45" s="244"/>
      <c r="AD45" s="248" t="s">
        <v>426</v>
      </c>
      <c r="AE45" s="243"/>
      <c r="AF45" s="243"/>
      <c r="AG45" s="244"/>
      <c r="AH45" s="134" t="s">
        <v>427</v>
      </c>
      <c r="AI45" s="136"/>
      <c r="AJ45" s="308" t="s">
        <v>680</v>
      </c>
      <c r="AK45" s="309"/>
      <c r="AL45" s="309"/>
      <c r="AM45" s="309"/>
      <c r="AN45" s="309"/>
      <c r="AO45" s="309"/>
      <c r="AP45" s="309"/>
      <c r="AQ45" s="309"/>
      <c r="AR45" s="309"/>
      <c r="AS45" s="309"/>
      <c r="AT45" s="309"/>
      <c r="AU45" s="309"/>
      <c r="AV45" s="309"/>
      <c r="AW45" s="309"/>
      <c r="AX45" s="309"/>
      <c r="AY45" s="309"/>
      <c r="AZ45" s="309"/>
      <c r="BA45" s="309"/>
      <c r="BB45" s="309"/>
      <c r="BC45" s="309"/>
      <c r="BD45" s="309"/>
      <c r="BE45" s="309"/>
      <c r="BF45" s="310"/>
    </row>
    <row r="46" spans="8:58" ht="18.75" customHeight="1" x14ac:dyDescent="0.4">
      <c r="H46" s="189" t="s">
        <v>681</v>
      </c>
      <c r="I46" s="305"/>
      <c r="J46" s="305"/>
      <c r="K46" s="305"/>
      <c r="L46" s="305"/>
      <c r="M46" s="305"/>
      <c r="N46" s="305"/>
      <c r="O46" s="305"/>
      <c r="P46" s="305"/>
      <c r="Q46" s="190"/>
      <c r="R46" s="189" t="s">
        <v>682</v>
      </c>
      <c r="S46" s="305"/>
      <c r="T46" s="305"/>
      <c r="U46" s="305"/>
      <c r="V46" s="305"/>
      <c r="W46" s="305"/>
      <c r="X46" s="305"/>
      <c r="Y46" s="305"/>
      <c r="Z46" s="305"/>
      <c r="AA46" s="190"/>
      <c r="AB46" s="226" t="s">
        <v>921</v>
      </c>
      <c r="AC46" s="227"/>
      <c r="AD46" s="226" t="s">
        <v>683</v>
      </c>
      <c r="AE46" s="307"/>
      <c r="AF46" s="307"/>
      <c r="AG46" s="227"/>
      <c r="AH46" s="189" t="s">
        <v>428</v>
      </c>
      <c r="AI46" s="190"/>
      <c r="AJ46" s="193" t="s">
        <v>684</v>
      </c>
      <c r="AK46" s="194"/>
      <c r="AL46" s="194"/>
      <c r="AM46" s="194"/>
      <c r="AN46" s="194"/>
      <c r="AO46" s="194"/>
      <c r="AP46" s="194"/>
      <c r="AQ46" s="194"/>
      <c r="AR46" s="194"/>
      <c r="AS46" s="194"/>
      <c r="AT46" s="194"/>
      <c r="AU46" s="194"/>
      <c r="AV46" s="194"/>
      <c r="AW46" s="194"/>
      <c r="AX46" s="194"/>
      <c r="AY46" s="194"/>
      <c r="AZ46" s="194"/>
      <c r="BA46" s="194"/>
      <c r="BB46" s="194"/>
      <c r="BC46" s="194"/>
      <c r="BD46" s="194"/>
      <c r="BE46" s="194"/>
      <c r="BF46" s="195"/>
    </row>
    <row r="47" spans="8:58" x14ac:dyDescent="0.4">
      <c r="H47" s="191"/>
      <c r="I47" s="306"/>
      <c r="J47" s="306"/>
      <c r="K47" s="306"/>
      <c r="L47" s="306"/>
      <c r="M47" s="306"/>
      <c r="N47" s="306"/>
      <c r="O47" s="306"/>
      <c r="P47" s="306"/>
      <c r="Q47" s="192"/>
      <c r="R47" s="191"/>
      <c r="S47" s="306"/>
      <c r="T47" s="306"/>
      <c r="U47" s="306"/>
      <c r="V47" s="306"/>
      <c r="W47" s="306"/>
      <c r="X47" s="306"/>
      <c r="Y47" s="306"/>
      <c r="Z47" s="306"/>
      <c r="AA47" s="192"/>
      <c r="AB47" s="228"/>
      <c r="AC47" s="229"/>
      <c r="AD47" s="228"/>
      <c r="AE47" s="182"/>
      <c r="AF47" s="182"/>
      <c r="AG47" s="229"/>
      <c r="AH47" s="191"/>
      <c r="AI47" s="192"/>
      <c r="AJ47" s="196"/>
      <c r="AK47" s="197"/>
      <c r="AL47" s="197"/>
      <c r="AM47" s="197"/>
      <c r="AN47" s="197"/>
      <c r="AO47" s="197"/>
      <c r="AP47" s="197"/>
      <c r="AQ47" s="197"/>
      <c r="AR47" s="197"/>
      <c r="AS47" s="197"/>
      <c r="AT47" s="197"/>
      <c r="AU47" s="197"/>
      <c r="AV47" s="197"/>
      <c r="AW47" s="197"/>
      <c r="AX47" s="197"/>
      <c r="AY47" s="197"/>
      <c r="AZ47" s="197"/>
      <c r="BA47" s="197"/>
      <c r="BB47" s="197"/>
      <c r="BC47" s="197"/>
      <c r="BD47" s="197"/>
      <c r="BE47" s="197"/>
      <c r="BF47" s="198"/>
    </row>
    <row r="48" spans="8:58" x14ac:dyDescent="0.4">
      <c r="H48" s="191"/>
      <c r="I48" s="306"/>
      <c r="J48" s="306"/>
      <c r="K48" s="306"/>
      <c r="L48" s="306"/>
      <c r="M48" s="306"/>
      <c r="N48" s="306"/>
      <c r="O48" s="306"/>
      <c r="P48" s="306"/>
      <c r="Q48" s="192"/>
      <c r="R48" s="191"/>
      <c r="S48" s="306"/>
      <c r="T48" s="306"/>
      <c r="U48" s="306"/>
      <c r="V48" s="306"/>
      <c r="W48" s="306"/>
      <c r="X48" s="306"/>
      <c r="Y48" s="306"/>
      <c r="Z48" s="306"/>
      <c r="AA48" s="192"/>
      <c r="AB48" s="228"/>
      <c r="AC48" s="229"/>
      <c r="AD48" s="228"/>
      <c r="AE48" s="182"/>
      <c r="AF48" s="182"/>
      <c r="AG48" s="229"/>
      <c r="AH48" s="191"/>
      <c r="AI48" s="192"/>
      <c r="AJ48" s="196"/>
      <c r="AK48" s="197"/>
      <c r="AL48" s="197"/>
      <c r="AM48" s="197"/>
      <c r="AN48" s="197"/>
      <c r="AO48" s="197"/>
      <c r="AP48" s="197"/>
      <c r="AQ48" s="197"/>
      <c r="AR48" s="197"/>
      <c r="AS48" s="197"/>
      <c r="AT48" s="197"/>
      <c r="AU48" s="197"/>
      <c r="AV48" s="197"/>
      <c r="AW48" s="197"/>
      <c r="AX48" s="197"/>
      <c r="AY48" s="197"/>
      <c r="AZ48" s="197"/>
      <c r="BA48" s="197"/>
      <c r="BB48" s="197"/>
      <c r="BC48" s="197"/>
      <c r="BD48" s="197"/>
      <c r="BE48" s="197"/>
      <c r="BF48" s="198"/>
    </row>
    <row r="49" spans="8:58" ht="18.75" customHeight="1" x14ac:dyDescent="0.4">
      <c r="H49" s="402"/>
      <c r="I49" s="403"/>
      <c r="J49" s="403"/>
      <c r="K49" s="403"/>
      <c r="L49" s="403"/>
      <c r="M49" s="403"/>
      <c r="N49" s="403"/>
      <c r="O49" s="403"/>
      <c r="P49" s="403"/>
      <c r="Q49" s="404"/>
      <c r="R49" s="402"/>
      <c r="S49" s="403"/>
      <c r="T49" s="403"/>
      <c r="U49" s="403"/>
      <c r="V49" s="403"/>
      <c r="W49" s="403"/>
      <c r="X49" s="403"/>
      <c r="Y49" s="403"/>
      <c r="Z49" s="403"/>
      <c r="AA49" s="404"/>
      <c r="AB49" s="405" t="s">
        <v>526</v>
      </c>
      <c r="AC49" s="406"/>
      <c r="AD49" s="405" t="s">
        <v>245</v>
      </c>
      <c r="AE49" s="407"/>
      <c r="AF49" s="407"/>
      <c r="AG49" s="406"/>
      <c r="AH49" s="408" t="s">
        <v>245</v>
      </c>
      <c r="AI49" s="409"/>
      <c r="AJ49" s="410" t="s">
        <v>244</v>
      </c>
      <c r="AK49" s="411"/>
      <c r="AL49" s="411"/>
      <c r="AM49" s="411"/>
      <c r="AN49" s="411"/>
      <c r="AO49" s="411"/>
      <c r="AP49" s="411"/>
      <c r="AQ49" s="411"/>
      <c r="AR49" s="411"/>
      <c r="AS49" s="411"/>
      <c r="AT49" s="411"/>
      <c r="AU49" s="411"/>
      <c r="AV49" s="411"/>
      <c r="AW49" s="411"/>
      <c r="AX49" s="411"/>
      <c r="AY49" s="411"/>
      <c r="AZ49" s="411"/>
      <c r="BA49" s="411"/>
      <c r="BB49" s="411"/>
      <c r="BC49" s="411"/>
      <c r="BD49" s="411"/>
      <c r="BE49" s="411"/>
      <c r="BF49" s="412"/>
    </row>
    <row r="50" spans="8:58" ht="18.75" customHeight="1" x14ac:dyDescent="0.4">
      <c r="H50" s="416" t="s">
        <v>685</v>
      </c>
      <c r="I50" s="417"/>
      <c r="J50" s="417"/>
      <c r="K50" s="417"/>
      <c r="L50" s="417"/>
      <c r="M50" s="417"/>
      <c r="N50" s="417"/>
      <c r="O50" s="417"/>
      <c r="P50" s="417"/>
      <c r="Q50" s="418"/>
      <c r="R50" s="416" t="s">
        <v>686</v>
      </c>
      <c r="S50" s="417"/>
      <c r="T50" s="417"/>
      <c r="U50" s="417"/>
      <c r="V50" s="417"/>
      <c r="W50" s="417"/>
      <c r="X50" s="417"/>
      <c r="Y50" s="417"/>
      <c r="Z50" s="417"/>
      <c r="AA50" s="418"/>
      <c r="AB50" s="226" t="s">
        <v>429</v>
      </c>
      <c r="AC50" s="227"/>
      <c r="AD50" s="226" t="s">
        <v>430</v>
      </c>
      <c r="AE50" s="307"/>
      <c r="AF50" s="307"/>
      <c r="AG50" s="227"/>
      <c r="AH50" s="189" t="s">
        <v>428</v>
      </c>
      <c r="AI50" s="190"/>
      <c r="AJ50" s="193" t="s">
        <v>687</v>
      </c>
      <c r="AK50" s="194"/>
      <c r="AL50" s="194"/>
      <c r="AM50" s="194"/>
      <c r="AN50" s="194"/>
      <c r="AO50" s="194"/>
      <c r="AP50" s="194"/>
      <c r="AQ50" s="194"/>
      <c r="AR50" s="194"/>
      <c r="AS50" s="194"/>
      <c r="AT50" s="194"/>
      <c r="AU50" s="194"/>
      <c r="AV50" s="194"/>
      <c r="AW50" s="194"/>
      <c r="AX50" s="194"/>
      <c r="AY50" s="194"/>
      <c r="AZ50" s="194"/>
      <c r="BA50" s="194"/>
      <c r="BB50" s="194"/>
      <c r="BC50" s="194"/>
      <c r="BD50" s="194"/>
      <c r="BE50" s="194"/>
      <c r="BF50" s="195"/>
    </row>
    <row r="51" spans="8:58" ht="18.75" customHeight="1" x14ac:dyDescent="0.4">
      <c r="H51" s="419"/>
      <c r="I51" s="420"/>
      <c r="J51" s="420"/>
      <c r="K51" s="420"/>
      <c r="L51" s="420"/>
      <c r="M51" s="420"/>
      <c r="N51" s="420"/>
      <c r="O51" s="420"/>
      <c r="P51" s="420"/>
      <c r="Q51" s="421"/>
      <c r="R51" s="419"/>
      <c r="S51" s="420"/>
      <c r="T51" s="420"/>
      <c r="U51" s="420"/>
      <c r="V51" s="420"/>
      <c r="W51" s="420"/>
      <c r="X51" s="420"/>
      <c r="Y51" s="420"/>
      <c r="Z51" s="420"/>
      <c r="AA51" s="421"/>
      <c r="AB51" s="230"/>
      <c r="AC51" s="231"/>
      <c r="AD51" s="230"/>
      <c r="AE51" s="425"/>
      <c r="AF51" s="425"/>
      <c r="AG51" s="231"/>
      <c r="AH51" s="402"/>
      <c r="AI51" s="404"/>
      <c r="AJ51" s="413"/>
      <c r="AK51" s="414"/>
      <c r="AL51" s="414"/>
      <c r="AM51" s="414"/>
      <c r="AN51" s="414"/>
      <c r="AO51" s="414"/>
      <c r="AP51" s="414"/>
      <c r="AQ51" s="414"/>
      <c r="AR51" s="414"/>
      <c r="AS51" s="414"/>
      <c r="AT51" s="414"/>
      <c r="AU51" s="414"/>
      <c r="AV51" s="414"/>
      <c r="AW51" s="414"/>
      <c r="AX51" s="414"/>
      <c r="AY51" s="414"/>
      <c r="AZ51" s="414"/>
      <c r="BA51" s="414"/>
      <c r="BB51" s="414"/>
      <c r="BC51" s="414"/>
      <c r="BD51" s="414"/>
      <c r="BE51" s="414"/>
      <c r="BF51" s="415"/>
    </row>
    <row r="52" spans="8:58" x14ac:dyDescent="0.4">
      <c r="H52" s="419"/>
      <c r="I52" s="420"/>
      <c r="J52" s="420"/>
      <c r="K52" s="420"/>
      <c r="L52" s="420"/>
      <c r="M52" s="420"/>
      <c r="N52" s="420"/>
      <c r="O52" s="420"/>
      <c r="P52" s="420"/>
      <c r="Q52" s="421"/>
      <c r="R52" s="419"/>
      <c r="S52" s="420"/>
      <c r="T52" s="420"/>
      <c r="U52" s="420"/>
      <c r="V52" s="420"/>
      <c r="W52" s="420"/>
      <c r="X52" s="420"/>
      <c r="Y52" s="420"/>
      <c r="Z52" s="420"/>
      <c r="AA52" s="421"/>
      <c r="AB52" s="248" t="s">
        <v>431</v>
      </c>
      <c r="AC52" s="244"/>
      <c r="AD52" s="248" t="s">
        <v>688</v>
      </c>
      <c r="AE52" s="243"/>
      <c r="AF52" s="243"/>
      <c r="AG52" s="244"/>
      <c r="AH52" s="233" t="s">
        <v>428</v>
      </c>
      <c r="AI52" s="233"/>
      <c r="AJ52" s="242" t="s">
        <v>689</v>
      </c>
      <c r="AK52" s="242"/>
      <c r="AL52" s="242"/>
      <c r="AM52" s="242"/>
      <c r="AN52" s="242"/>
      <c r="AO52" s="242"/>
      <c r="AP52" s="242"/>
      <c r="AQ52" s="242"/>
      <c r="AR52" s="242"/>
      <c r="AS52" s="242"/>
      <c r="AT52" s="242"/>
      <c r="AU52" s="242"/>
      <c r="AV52" s="242"/>
      <c r="AW52" s="242"/>
      <c r="AX52" s="242"/>
      <c r="AY52" s="242"/>
      <c r="AZ52" s="242"/>
      <c r="BA52" s="242"/>
      <c r="BB52" s="242"/>
      <c r="BC52" s="242"/>
      <c r="BD52" s="242"/>
      <c r="BE52" s="242"/>
      <c r="BF52" s="242"/>
    </row>
    <row r="53" spans="8:58" ht="18.75" customHeight="1" x14ac:dyDescent="0.4">
      <c r="H53" s="419"/>
      <c r="I53" s="420"/>
      <c r="J53" s="420"/>
      <c r="K53" s="420"/>
      <c r="L53" s="420"/>
      <c r="M53" s="420"/>
      <c r="N53" s="420"/>
      <c r="O53" s="420"/>
      <c r="P53" s="420"/>
      <c r="Q53" s="421"/>
      <c r="R53" s="419"/>
      <c r="S53" s="420"/>
      <c r="T53" s="420"/>
      <c r="U53" s="420"/>
      <c r="V53" s="420"/>
      <c r="W53" s="420"/>
      <c r="X53" s="420"/>
      <c r="Y53" s="420"/>
      <c r="Z53" s="420"/>
      <c r="AA53" s="421"/>
      <c r="AB53" s="248" t="s">
        <v>432</v>
      </c>
      <c r="AC53" s="244"/>
      <c r="AD53" s="248" t="s">
        <v>433</v>
      </c>
      <c r="AE53" s="243"/>
      <c r="AF53" s="243"/>
      <c r="AG53" s="244"/>
      <c r="AH53" s="233" t="s">
        <v>428</v>
      </c>
      <c r="AI53" s="233"/>
      <c r="AJ53" s="242" t="s">
        <v>690</v>
      </c>
      <c r="AK53" s="242"/>
      <c r="AL53" s="242"/>
      <c r="AM53" s="242"/>
      <c r="AN53" s="242"/>
      <c r="AO53" s="242"/>
      <c r="AP53" s="242"/>
      <c r="AQ53" s="242"/>
      <c r="AR53" s="242"/>
      <c r="AS53" s="242"/>
      <c r="AT53" s="242"/>
      <c r="AU53" s="242"/>
      <c r="AV53" s="242"/>
      <c r="AW53" s="242"/>
      <c r="AX53" s="242"/>
      <c r="AY53" s="242"/>
      <c r="AZ53" s="242"/>
      <c r="BA53" s="242"/>
      <c r="BB53" s="242"/>
      <c r="BC53" s="242"/>
      <c r="BD53" s="242"/>
      <c r="BE53" s="242"/>
      <c r="BF53" s="242"/>
    </row>
    <row r="54" spans="8:58" ht="18.75" customHeight="1" x14ac:dyDescent="0.4">
      <c r="H54" s="419"/>
      <c r="I54" s="420"/>
      <c r="J54" s="420"/>
      <c r="K54" s="420"/>
      <c r="L54" s="420"/>
      <c r="M54" s="420"/>
      <c r="N54" s="420"/>
      <c r="O54" s="420"/>
      <c r="P54" s="420"/>
      <c r="Q54" s="421"/>
      <c r="R54" s="419"/>
      <c r="S54" s="420"/>
      <c r="T54" s="420"/>
      <c r="U54" s="420"/>
      <c r="V54" s="420"/>
      <c r="W54" s="420"/>
      <c r="X54" s="420"/>
      <c r="Y54" s="420"/>
      <c r="Z54" s="420"/>
      <c r="AA54" s="421"/>
      <c r="AB54" s="248" t="s">
        <v>434</v>
      </c>
      <c r="AC54" s="244"/>
      <c r="AD54" s="248" t="s">
        <v>435</v>
      </c>
      <c r="AE54" s="243"/>
      <c r="AF54" s="243"/>
      <c r="AG54" s="244"/>
      <c r="AH54" s="233" t="s">
        <v>428</v>
      </c>
      <c r="AI54" s="233"/>
      <c r="AJ54" s="242" t="s">
        <v>691</v>
      </c>
      <c r="AK54" s="242"/>
      <c r="AL54" s="242"/>
      <c r="AM54" s="242"/>
      <c r="AN54" s="242"/>
      <c r="AO54" s="242"/>
      <c r="AP54" s="242"/>
      <c r="AQ54" s="242"/>
      <c r="AR54" s="242"/>
      <c r="AS54" s="242"/>
      <c r="AT54" s="242"/>
      <c r="AU54" s="242"/>
      <c r="AV54" s="242"/>
      <c r="AW54" s="242"/>
      <c r="AX54" s="242"/>
      <c r="AY54" s="242"/>
      <c r="AZ54" s="242"/>
      <c r="BA54" s="242"/>
      <c r="BB54" s="242"/>
      <c r="BC54" s="242"/>
      <c r="BD54" s="242"/>
      <c r="BE54" s="242"/>
      <c r="BF54" s="242"/>
    </row>
    <row r="55" spans="8:58" ht="18.75" customHeight="1" x14ac:dyDescent="0.4">
      <c r="H55" s="419"/>
      <c r="I55" s="420"/>
      <c r="J55" s="420"/>
      <c r="K55" s="420"/>
      <c r="L55" s="420"/>
      <c r="M55" s="420"/>
      <c r="N55" s="420"/>
      <c r="O55" s="420"/>
      <c r="P55" s="420"/>
      <c r="Q55" s="421"/>
      <c r="R55" s="419"/>
      <c r="S55" s="420"/>
      <c r="T55" s="420"/>
      <c r="U55" s="420"/>
      <c r="V55" s="420"/>
      <c r="W55" s="420"/>
      <c r="X55" s="420"/>
      <c r="Y55" s="420"/>
      <c r="Z55" s="420"/>
      <c r="AA55" s="421"/>
      <c r="AB55" s="238" t="s">
        <v>436</v>
      </c>
      <c r="AC55" s="239"/>
      <c r="AD55" s="238" t="s">
        <v>437</v>
      </c>
      <c r="AE55" s="240"/>
      <c r="AF55" s="240"/>
      <c r="AG55" s="239"/>
      <c r="AH55" s="241" t="s">
        <v>428</v>
      </c>
      <c r="AI55" s="241"/>
      <c r="AJ55" s="245" t="s">
        <v>692</v>
      </c>
      <c r="AK55" s="246"/>
      <c r="AL55" s="246"/>
      <c r="AM55" s="246"/>
      <c r="AN55" s="246"/>
      <c r="AO55" s="246"/>
      <c r="AP55" s="246"/>
      <c r="AQ55" s="246"/>
      <c r="AR55" s="246"/>
      <c r="AS55" s="246"/>
      <c r="AT55" s="246"/>
      <c r="AU55" s="246"/>
      <c r="AV55" s="246"/>
      <c r="AW55" s="246"/>
      <c r="AX55" s="246"/>
      <c r="AY55" s="246"/>
      <c r="AZ55" s="246"/>
      <c r="BA55" s="246"/>
      <c r="BB55" s="246"/>
      <c r="BC55" s="246"/>
      <c r="BD55" s="246"/>
      <c r="BE55" s="246"/>
      <c r="BF55" s="247"/>
    </row>
    <row r="56" spans="8:58" ht="18.75" customHeight="1" x14ac:dyDescent="0.4">
      <c r="H56" s="419"/>
      <c r="I56" s="420"/>
      <c r="J56" s="420"/>
      <c r="K56" s="420"/>
      <c r="L56" s="420"/>
      <c r="M56" s="420"/>
      <c r="N56" s="420"/>
      <c r="O56" s="420"/>
      <c r="P56" s="420"/>
      <c r="Q56" s="421"/>
      <c r="R56" s="419"/>
      <c r="S56" s="420"/>
      <c r="T56" s="420"/>
      <c r="U56" s="420"/>
      <c r="V56" s="420"/>
      <c r="W56" s="420"/>
      <c r="X56" s="420"/>
      <c r="Y56" s="420"/>
      <c r="Z56" s="420"/>
      <c r="AA56" s="421"/>
      <c r="AB56" s="248" t="s">
        <v>438</v>
      </c>
      <c r="AC56" s="244"/>
      <c r="AD56" s="248" t="s">
        <v>439</v>
      </c>
      <c r="AE56" s="243"/>
      <c r="AF56" s="243"/>
      <c r="AG56" s="244"/>
      <c r="AH56" s="233" t="s">
        <v>428</v>
      </c>
      <c r="AI56" s="233"/>
      <c r="AJ56" s="242" t="s">
        <v>764</v>
      </c>
      <c r="AK56" s="242"/>
      <c r="AL56" s="242"/>
      <c r="AM56" s="242"/>
      <c r="AN56" s="242"/>
      <c r="AO56" s="242"/>
      <c r="AP56" s="242"/>
      <c r="AQ56" s="242"/>
      <c r="AR56" s="242"/>
      <c r="AS56" s="242"/>
      <c r="AT56" s="242"/>
      <c r="AU56" s="242"/>
      <c r="AV56" s="242"/>
      <c r="AW56" s="242"/>
      <c r="AX56" s="242"/>
      <c r="AY56" s="242"/>
      <c r="AZ56" s="242"/>
      <c r="BA56" s="242"/>
      <c r="BB56" s="242"/>
      <c r="BC56" s="242"/>
      <c r="BD56" s="242"/>
      <c r="BE56" s="242"/>
      <c r="BF56" s="242"/>
    </row>
    <row r="57" spans="8:58" ht="18.75" customHeight="1" x14ac:dyDescent="0.4">
      <c r="H57" s="419"/>
      <c r="I57" s="420"/>
      <c r="J57" s="420"/>
      <c r="K57" s="420"/>
      <c r="L57" s="420"/>
      <c r="M57" s="420"/>
      <c r="N57" s="420"/>
      <c r="O57" s="420"/>
      <c r="P57" s="420"/>
      <c r="Q57" s="421"/>
      <c r="R57" s="419"/>
      <c r="S57" s="420"/>
      <c r="T57" s="420"/>
      <c r="U57" s="420"/>
      <c r="V57" s="420"/>
      <c r="W57" s="420"/>
      <c r="X57" s="420"/>
      <c r="Y57" s="420"/>
      <c r="Z57" s="420"/>
      <c r="AA57" s="421"/>
      <c r="AB57" s="238" t="s">
        <v>440</v>
      </c>
      <c r="AC57" s="239"/>
      <c r="AD57" s="238" t="s">
        <v>441</v>
      </c>
      <c r="AE57" s="240"/>
      <c r="AF57" s="240"/>
      <c r="AG57" s="239"/>
      <c r="AH57" s="241" t="s">
        <v>428</v>
      </c>
      <c r="AI57" s="241"/>
      <c r="AJ57" s="245" t="s">
        <v>765</v>
      </c>
      <c r="AK57" s="246"/>
      <c r="AL57" s="246"/>
      <c r="AM57" s="246"/>
      <c r="AN57" s="246"/>
      <c r="AO57" s="246"/>
      <c r="AP57" s="246"/>
      <c r="AQ57" s="246"/>
      <c r="AR57" s="246"/>
      <c r="AS57" s="246"/>
      <c r="AT57" s="246"/>
      <c r="AU57" s="246"/>
      <c r="AV57" s="246"/>
      <c r="AW57" s="246"/>
      <c r="AX57" s="246"/>
      <c r="AY57" s="246"/>
      <c r="AZ57" s="246"/>
      <c r="BA57" s="246"/>
      <c r="BB57" s="246"/>
      <c r="BC57" s="246"/>
      <c r="BD57" s="246"/>
      <c r="BE57" s="246"/>
      <c r="BF57" s="247"/>
    </row>
    <row r="58" spans="8:58" x14ac:dyDescent="0.4">
      <c r="H58" s="422"/>
      <c r="I58" s="423"/>
      <c r="J58" s="423"/>
      <c r="K58" s="423"/>
      <c r="L58" s="423"/>
      <c r="M58" s="423"/>
      <c r="N58" s="423"/>
      <c r="O58" s="423"/>
      <c r="P58" s="423"/>
      <c r="Q58" s="424"/>
      <c r="R58" s="422"/>
      <c r="S58" s="423"/>
      <c r="T58" s="423"/>
      <c r="U58" s="423"/>
      <c r="V58" s="423"/>
      <c r="W58" s="423"/>
      <c r="X58" s="423"/>
      <c r="Y58" s="423"/>
      <c r="Z58" s="423"/>
      <c r="AA58" s="424"/>
      <c r="AB58" s="405" t="s">
        <v>447</v>
      </c>
      <c r="AC58" s="406"/>
      <c r="AD58" s="405" t="s">
        <v>245</v>
      </c>
      <c r="AE58" s="407"/>
      <c r="AF58" s="407"/>
      <c r="AG58" s="406"/>
      <c r="AH58" s="408" t="s">
        <v>245</v>
      </c>
      <c r="AI58" s="409"/>
      <c r="AJ58" s="410" t="s">
        <v>244</v>
      </c>
      <c r="AK58" s="411"/>
      <c r="AL58" s="411"/>
      <c r="AM58" s="411"/>
      <c r="AN58" s="411"/>
      <c r="AO58" s="411"/>
      <c r="AP58" s="411"/>
      <c r="AQ58" s="411"/>
      <c r="AR58" s="411"/>
      <c r="AS58" s="411"/>
      <c r="AT58" s="411"/>
      <c r="AU58" s="411"/>
      <c r="AV58" s="411"/>
      <c r="AW58" s="411"/>
      <c r="AX58" s="411"/>
      <c r="AY58" s="411"/>
      <c r="AZ58" s="411"/>
      <c r="BA58" s="411"/>
      <c r="BB58" s="411"/>
      <c r="BC58" s="411"/>
      <c r="BD58" s="411"/>
      <c r="BE58" s="411"/>
      <c r="BF58" s="412"/>
    </row>
    <row r="59" spans="8:58" ht="18.75" customHeight="1" x14ac:dyDescent="0.4">
      <c r="H59" s="427" t="s">
        <v>694</v>
      </c>
      <c r="I59" s="241"/>
      <c r="J59" s="241"/>
      <c r="K59" s="241"/>
      <c r="L59" s="241"/>
      <c r="M59" s="241"/>
      <c r="N59" s="241"/>
      <c r="O59" s="241"/>
      <c r="P59" s="241"/>
      <c r="Q59" s="241"/>
      <c r="R59" s="237" t="s">
        <v>695</v>
      </c>
      <c r="S59" s="237"/>
      <c r="T59" s="237"/>
      <c r="U59" s="237"/>
      <c r="V59" s="237"/>
      <c r="W59" s="237"/>
      <c r="X59" s="237"/>
      <c r="Y59" s="237"/>
      <c r="Z59" s="237"/>
      <c r="AA59" s="237"/>
      <c r="AB59" s="226" t="s">
        <v>921</v>
      </c>
      <c r="AC59" s="227"/>
      <c r="AD59" s="232" t="s">
        <v>442</v>
      </c>
      <c r="AE59" s="232"/>
      <c r="AF59" s="232"/>
      <c r="AG59" s="232"/>
      <c r="AH59" s="233" t="s">
        <v>427</v>
      </c>
      <c r="AI59" s="233"/>
      <c r="AJ59" s="253" t="s">
        <v>696</v>
      </c>
      <c r="AK59" s="253"/>
      <c r="AL59" s="253"/>
      <c r="AM59" s="253"/>
      <c r="AN59" s="253"/>
      <c r="AO59" s="253"/>
      <c r="AP59" s="253"/>
      <c r="AQ59" s="253"/>
      <c r="AR59" s="253"/>
      <c r="AS59" s="253"/>
      <c r="AT59" s="253"/>
      <c r="AU59" s="253"/>
      <c r="AV59" s="253"/>
      <c r="AW59" s="253"/>
      <c r="AX59" s="253"/>
      <c r="AY59" s="253"/>
      <c r="AZ59" s="253"/>
      <c r="BA59" s="253"/>
      <c r="BB59" s="253"/>
      <c r="BC59" s="253"/>
      <c r="BD59" s="253"/>
      <c r="BE59" s="253"/>
      <c r="BF59" s="253"/>
    </row>
    <row r="60" spans="8:58" ht="18.75" customHeight="1" x14ac:dyDescent="0.4">
      <c r="H60" s="427"/>
      <c r="I60" s="241"/>
      <c r="J60" s="241"/>
      <c r="K60" s="241"/>
      <c r="L60" s="241"/>
      <c r="M60" s="241"/>
      <c r="N60" s="241"/>
      <c r="O60" s="241"/>
      <c r="P60" s="241"/>
      <c r="Q60" s="241"/>
      <c r="R60" s="237"/>
      <c r="S60" s="237"/>
      <c r="T60" s="237"/>
      <c r="U60" s="237"/>
      <c r="V60" s="237"/>
      <c r="W60" s="237"/>
      <c r="X60" s="237"/>
      <c r="Y60" s="237"/>
      <c r="Z60" s="237"/>
      <c r="AA60" s="237"/>
      <c r="AB60" s="228"/>
      <c r="AC60" s="229"/>
      <c r="AD60" s="232"/>
      <c r="AE60" s="232"/>
      <c r="AF60" s="232"/>
      <c r="AG60" s="232"/>
      <c r="AH60" s="233"/>
      <c r="AI60" s="233"/>
      <c r="AJ60" s="253"/>
      <c r="AK60" s="253"/>
      <c r="AL60" s="253"/>
      <c r="AM60" s="253"/>
      <c r="AN60" s="253"/>
      <c r="AO60" s="253"/>
      <c r="AP60" s="253"/>
      <c r="AQ60" s="253"/>
      <c r="AR60" s="253"/>
      <c r="AS60" s="253"/>
      <c r="AT60" s="253"/>
      <c r="AU60" s="253"/>
      <c r="AV60" s="253"/>
      <c r="AW60" s="253"/>
      <c r="AX60" s="253"/>
      <c r="AY60" s="253"/>
      <c r="AZ60" s="253"/>
      <c r="BA60" s="253"/>
      <c r="BB60" s="253"/>
      <c r="BC60" s="253"/>
      <c r="BD60" s="253"/>
      <c r="BE60" s="253"/>
      <c r="BF60" s="253"/>
    </row>
    <row r="61" spans="8:58" x14ac:dyDescent="0.4">
      <c r="H61" s="241"/>
      <c r="I61" s="241"/>
      <c r="J61" s="241"/>
      <c r="K61" s="241"/>
      <c r="L61" s="241"/>
      <c r="M61" s="241"/>
      <c r="N61" s="241"/>
      <c r="O61" s="241"/>
      <c r="P61" s="241"/>
      <c r="Q61" s="241"/>
      <c r="R61" s="237"/>
      <c r="S61" s="237"/>
      <c r="T61" s="237"/>
      <c r="U61" s="237"/>
      <c r="V61" s="237"/>
      <c r="W61" s="237"/>
      <c r="X61" s="237"/>
      <c r="Y61" s="237"/>
      <c r="Z61" s="237"/>
      <c r="AA61" s="237"/>
      <c r="AB61" s="230"/>
      <c r="AC61" s="231"/>
      <c r="AD61" s="232"/>
      <c r="AE61" s="232"/>
      <c r="AF61" s="232"/>
      <c r="AG61" s="232"/>
      <c r="AH61" s="233"/>
      <c r="AI61" s="233"/>
      <c r="AJ61" s="253"/>
      <c r="AK61" s="253"/>
      <c r="AL61" s="253"/>
      <c r="AM61" s="253"/>
      <c r="AN61" s="253"/>
      <c r="AO61" s="253"/>
      <c r="AP61" s="253"/>
      <c r="AQ61" s="253"/>
      <c r="AR61" s="253"/>
      <c r="AS61" s="253"/>
      <c r="AT61" s="253"/>
      <c r="AU61" s="253"/>
      <c r="AV61" s="253"/>
      <c r="AW61" s="253"/>
      <c r="AX61" s="253"/>
      <c r="AY61" s="253"/>
      <c r="AZ61" s="253"/>
      <c r="BA61" s="253"/>
      <c r="BB61" s="253"/>
      <c r="BC61" s="253"/>
      <c r="BD61" s="253"/>
      <c r="BE61" s="253"/>
      <c r="BF61" s="253"/>
    </row>
    <row r="62" spans="8:58" x14ac:dyDescent="0.4">
      <c r="H62" s="241"/>
      <c r="I62" s="241"/>
      <c r="J62" s="241"/>
      <c r="K62" s="241"/>
      <c r="L62" s="241"/>
      <c r="M62" s="241"/>
      <c r="N62" s="241"/>
      <c r="O62" s="241"/>
      <c r="P62" s="241"/>
      <c r="Q62" s="241"/>
      <c r="R62" s="237"/>
      <c r="S62" s="237"/>
      <c r="T62" s="237"/>
      <c r="U62" s="237"/>
      <c r="V62" s="237"/>
      <c r="W62" s="237"/>
      <c r="X62" s="237"/>
      <c r="Y62" s="237"/>
      <c r="Z62" s="237"/>
      <c r="AA62" s="237"/>
      <c r="AB62" s="405" t="s">
        <v>526</v>
      </c>
      <c r="AC62" s="406"/>
      <c r="AD62" s="405" t="s">
        <v>245</v>
      </c>
      <c r="AE62" s="407"/>
      <c r="AF62" s="407"/>
      <c r="AG62" s="406"/>
      <c r="AH62" s="408" t="s">
        <v>245</v>
      </c>
      <c r="AI62" s="409"/>
      <c r="AJ62" s="410" t="s">
        <v>244</v>
      </c>
      <c r="AK62" s="411"/>
      <c r="AL62" s="411"/>
      <c r="AM62" s="411"/>
      <c r="AN62" s="411"/>
      <c r="AO62" s="411"/>
      <c r="AP62" s="411"/>
      <c r="AQ62" s="411"/>
      <c r="AR62" s="411"/>
      <c r="AS62" s="411"/>
      <c r="AT62" s="411"/>
      <c r="AU62" s="411"/>
      <c r="AV62" s="411"/>
      <c r="AW62" s="411"/>
      <c r="AX62" s="411"/>
      <c r="AY62" s="411"/>
      <c r="AZ62" s="411"/>
      <c r="BA62" s="411"/>
      <c r="BB62" s="411"/>
      <c r="BC62" s="411"/>
      <c r="BD62" s="411"/>
      <c r="BE62" s="411"/>
      <c r="BF62" s="412"/>
    </row>
    <row r="63" spans="8:58" ht="18.75" customHeight="1" x14ac:dyDescent="0.4">
      <c r="H63" s="233" t="s">
        <v>697</v>
      </c>
      <c r="I63" s="233"/>
      <c r="J63" s="233"/>
      <c r="K63" s="233"/>
      <c r="L63" s="233"/>
      <c r="M63" s="233"/>
      <c r="N63" s="233"/>
      <c r="O63" s="233"/>
      <c r="P63" s="233"/>
      <c r="Q63" s="233"/>
      <c r="R63" s="237" t="s">
        <v>698</v>
      </c>
      <c r="S63" s="237"/>
      <c r="T63" s="237"/>
      <c r="U63" s="237"/>
      <c r="V63" s="237"/>
      <c r="W63" s="237"/>
      <c r="X63" s="237"/>
      <c r="Y63" s="237"/>
      <c r="Z63" s="237"/>
      <c r="AA63" s="237"/>
      <c r="AB63" s="226" t="s">
        <v>921</v>
      </c>
      <c r="AC63" s="227"/>
      <c r="AD63" s="426" t="s">
        <v>443</v>
      </c>
      <c r="AE63" s="426"/>
      <c r="AF63" s="426"/>
      <c r="AG63" s="426"/>
      <c r="AH63" s="233" t="s">
        <v>444</v>
      </c>
      <c r="AI63" s="233"/>
      <c r="AJ63" s="253" t="s">
        <v>699</v>
      </c>
      <c r="AK63" s="253"/>
      <c r="AL63" s="253"/>
      <c r="AM63" s="253"/>
      <c r="AN63" s="253"/>
      <c r="AO63" s="253"/>
      <c r="AP63" s="253"/>
      <c r="AQ63" s="253"/>
      <c r="AR63" s="253"/>
      <c r="AS63" s="253"/>
      <c r="AT63" s="253"/>
      <c r="AU63" s="253"/>
      <c r="AV63" s="253"/>
      <c r="AW63" s="253"/>
      <c r="AX63" s="253"/>
      <c r="AY63" s="253"/>
      <c r="AZ63" s="253"/>
      <c r="BA63" s="253"/>
      <c r="BB63" s="253"/>
      <c r="BC63" s="253"/>
      <c r="BD63" s="253"/>
      <c r="BE63" s="253"/>
      <c r="BF63" s="253"/>
    </row>
    <row r="64" spans="8:58" ht="18.75" customHeight="1" x14ac:dyDescent="0.4">
      <c r="H64" s="233"/>
      <c r="I64" s="233"/>
      <c r="J64" s="233"/>
      <c r="K64" s="233"/>
      <c r="L64" s="233"/>
      <c r="M64" s="233"/>
      <c r="N64" s="233"/>
      <c r="O64" s="233"/>
      <c r="P64" s="233"/>
      <c r="Q64" s="233"/>
      <c r="R64" s="237"/>
      <c r="S64" s="237"/>
      <c r="T64" s="237"/>
      <c r="U64" s="237"/>
      <c r="V64" s="237"/>
      <c r="W64" s="237"/>
      <c r="X64" s="237"/>
      <c r="Y64" s="237"/>
      <c r="Z64" s="237"/>
      <c r="AA64" s="237"/>
      <c r="AB64" s="228"/>
      <c r="AC64" s="229"/>
      <c r="AD64" s="426"/>
      <c r="AE64" s="426"/>
      <c r="AF64" s="426"/>
      <c r="AG64" s="426"/>
      <c r="AH64" s="233"/>
      <c r="AI64" s="233"/>
      <c r="AJ64" s="253"/>
      <c r="AK64" s="253"/>
      <c r="AL64" s="253"/>
      <c r="AM64" s="253"/>
      <c r="AN64" s="253"/>
      <c r="AO64" s="253"/>
      <c r="AP64" s="253"/>
      <c r="AQ64" s="253"/>
      <c r="AR64" s="253"/>
      <c r="AS64" s="253"/>
      <c r="AT64" s="253"/>
      <c r="AU64" s="253"/>
      <c r="AV64" s="253"/>
      <c r="AW64" s="253"/>
      <c r="AX64" s="253"/>
      <c r="AY64" s="253"/>
      <c r="AZ64" s="253"/>
      <c r="BA64" s="253"/>
      <c r="BB64" s="253"/>
      <c r="BC64" s="253"/>
      <c r="BD64" s="253"/>
      <c r="BE64" s="253"/>
      <c r="BF64" s="253"/>
    </row>
    <row r="65" spans="8:58" x14ac:dyDescent="0.4">
      <c r="H65" s="233"/>
      <c r="I65" s="233"/>
      <c r="J65" s="233"/>
      <c r="K65" s="233"/>
      <c r="L65" s="233"/>
      <c r="M65" s="233"/>
      <c r="N65" s="233"/>
      <c r="O65" s="233"/>
      <c r="P65" s="233"/>
      <c r="Q65" s="233"/>
      <c r="R65" s="237"/>
      <c r="S65" s="237"/>
      <c r="T65" s="237"/>
      <c r="U65" s="237"/>
      <c r="V65" s="237"/>
      <c r="W65" s="237"/>
      <c r="X65" s="237"/>
      <c r="Y65" s="237"/>
      <c r="Z65" s="237"/>
      <c r="AA65" s="237"/>
      <c r="AB65" s="230"/>
      <c r="AC65" s="231"/>
      <c r="AD65" s="426"/>
      <c r="AE65" s="426"/>
      <c r="AF65" s="426"/>
      <c r="AG65" s="426"/>
      <c r="AH65" s="233"/>
      <c r="AI65" s="233"/>
      <c r="AJ65" s="253"/>
      <c r="AK65" s="253"/>
      <c r="AL65" s="253"/>
      <c r="AM65" s="253"/>
      <c r="AN65" s="253"/>
      <c r="AO65" s="253"/>
      <c r="AP65" s="253"/>
      <c r="AQ65" s="253"/>
      <c r="AR65" s="253"/>
      <c r="AS65" s="253"/>
      <c r="AT65" s="253"/>
      <c r="AU65" s="253"/>
      <c r="AV65" s="253"/>
      <c r="AW65" s="253"/>
      <c r="AX65" s="253"/>
      <c r="AY65" s="253"/>
      <c r="AZ65" s="253"/>
      <c r="BA65" s="253"/>
      <c r="BB65" s="253"/>
      <c r="BC65" s="253"/>
      <c r="BD65" s="253"/>
      <c r="BE65" s="253"/>
      <c r="BF65" s="253"/>
    </row>
    <row r="66" spans="8:58" x14ac:dyDescent="0.4">
      <c r="H66" s="233"/>
      <c r="I66" s="233"/>
      <c r="J66" s="233"/>
      <c r="K66" s="233"/>
      <c r="L66" s="233"/>
      <c r="M66" s="233"/>
      <c r="N66" s="233"/>
      <c r="O66" s="233"/>
      <c r="P66" s="233"/>
      <c r="Q66" s="233"/>
      <c r="R66" s="237"/>
      <c r="S66" s="237"/>
      <c r="T66" s="237"/>
      <c r="U66" s="237"/>
      <c r="V66" s="237"/>
      <c r="W66" s="237"/>
      <c r="X66" s="237"/>
      <c r="Y66" s="237"/>
      <c r="Z66" s="237"/>
      <c r="AA66" s="237"/>
      <c r="AB66" s="405" t="s">
        <v>526</v>
      </c>
      <c r="AC66" s="406"/>
      <c r="AD66" s="405" t="s">
        <v>245</v>
      </c>
      <c r="AE66" s="407"/>
      <c r="AF66" s="407"/>
      <c r="AG66" s="406"/>
      <c r="AH66" s="408" t="s">
        <v>245</v>
      </c>
      <c r="AI66" s="409"/>
      <c r="AJ66" s="410" t="s">
        <v>244</v>
      </c>
      <c r="AK66" s="411"/>
      <c r="AL66" s="411"/>
      <c r="AM66" s="411"/>
      <c r="AN66" s="411"/>
      <c r="AO66" s="411"/>
      <c r="AP66" s="411"/>
      <c r="AQ66" s="411"/>
      <c r="AR66" s="411"/>
      <c r="AS66" s="411"/>
      <c r="AT66" s="411"/>
      <c r="AU66" s="411"/>
      <c r="AV66" s="411"/>
      <c r="AW66" s="411"/>
      <c r="AX66" s="411"/>
      <c r="AY66" s="411"/>
      <c r="AZ66" s="411"/>
      <c r="BA66" s="411"/>
      <c r="BB66" s="411"/>
      <c r="BC66" s="411"/>
      <c r="BD66" s="411"/>
      <c r="BE66" s="411"/>
      <c r="BF66" s="412"/>
    </row>
    <row r="67" spans="8:58" x14ac:dyDescent="0.4">
      <c r="H67" s="189" t="s">
        <v>700</v>
      </c>
      <c r="I67" s="305"/>
      <c r="J67" s="305"/>
      <c r="K67" s="305"/>
      <c r="L67" s="305"/>
      <c r="M67" s="305"/>
      <c r="N67" s="305"/>
      <c r="O67" s="305"/>
      <c r="P67" s="305"/>
      <c r="Q67" s="190"/>
      <c r="R67" s="237" t="s">
        <v>701</v>
      </c>
      <c r="S67" s="237"/>
      <c r="T67" s="237"/>
      <c r="U67" s="237"/>
      <c r="V67" s="237"/>
      <c r="W67" s="237"/>
      <c r="X67" s="237"/>
      <c r="Y67" s="237"/>
      <c r="Z67" s="237"/>
      <c r="AA67" s="237"/>
      <c r="AB67" s="226" t="s">
        <v>921</v>
      </c>
      <c r="AC67" s="227"/>
      <c r="AD67" s="426" t="s">
        <v>702</v>
      </c>
      <c r="AE67" s="426"/>
      <c r="AF67" s="426"/>
      <c r="AG67" s="426"/>
      <c r="AH67" s="233" t="s">
        <v>427</v>
      </c>
      <c r="AI67" s="233"/>
      <c r="AJ67" s="234" t="s">
        <v>703</v>
      </c>
      <c r="AK67" s="234"/>
      <c r="AL67" s="234"/>
      <c r="AM67" s="234"/>
      <c r="AN67" s="234"/>
      <c r="AO67" s="234"/>
      <c r="AP67" s="234"/>
      <c r="AQ67" s="234"/>
      <c r="AR67" s="234"/>
      <c r="AS67" s="234"/>
      <c r="AT67" s="234"/>
      <c r="AU67" s="234"/>
      <c r="AV67" s="234"/>
      <c r="AW67" s="234"/>
      <c r="AX67" s="234"/>
      <c r="AY67" s="234"/>
      <c r="AZ67" s="234"/>
      <c r="BA67" s="234"/>
      <c r="BB67" s="234"/>
      <c r="BC67" s="234"/>
      <c r="BD67" s="234"/>
      <c r="BE67" s="234"/>
      <c r="BF67" s="234"/>
    </row>
    <row r="68" spans="8:58" x14ac:dyDescent="0.4">
      <c r="H68" s="191"/>
      <c r="I68" s="306"/>
      <c r="J68" s="306"/>
      <c r="K68" s="306"/>
      <c r="L68" s="306"/>
      <c r="M68" s="306"/>
      <c r="N68" s="306"/>
      <c r="O68" s="306"/>
      <c r="P68" s="306"/>
      <c r="Q68" s="192"/>
      <c r="R68" s="237"/>
      <c r="S68" s="237"/>
      <c r="T68" s="237"/>
      <c r="U68" s="237"/>
      <c r="V68" s="237"/>
      <c r="W68" s="237"/>
      <c r="X68" s="237"/>
      <c r="Y68" s="237"/>
      <c r="Z68" s="237"/>
      <c r="AA68" s="237"/>
      <c r="AB68" s="228"/>
      <c r="AC68" s="229"/>
      <c r="AD68" s="426"/>
      <c r="AE68" s="426"/>
      <c r="AF68" s="426"/>
      <c r="AG68" s="426"/>
      <c r="AH68" s="233"/>
      <c r="AI68" s="233"/>
      <c r="AJ68" s="234"/>
      <c r="AK68" s="234"/>
      <c r="AL68" s="234"/>
      <c r="AM68" s="234"/>
      <c r="AN68" s="234"/>
      <c r="AO68" s="234"/>
      <c r="AP68" s="234"/>
      <c r="AQ68" s="234"/>
      <c r="AR68" s="234"/>
      <c r="AS68" s="234"/>
      <c r="AT68" s="234"/>
      <c r="AU68" s="234"/>
      <c r="AV68" s="234"/>
      <c r="AW68" s="234"/>
      <c r="AX68" s="234"/>
      <c r="AY68" s="234"/>
      <c r="AZ68" s="234"/>
      <c r="BA68" s="234"/>
      <c r="BB68" s="234"/>
      <c r="BC68" s="234"/>
      <c r="BD68" s="234"/>
      <c r="BE68" s="234"/>
      <c r="BF68" s="234"/>
    </row>
    <row r="69" spans="8:58" x14ac:dyDescent="0.4">
      <c r="H69" s="191"/>
      <c r="I69" s="306"/>
      <c r="J69" s="306"/>
      <c r="K69" s="306"/>
      <c r="L69" s="306"/>
      <c r="M69" s="306"/>
      <c r="N69" s="306"/>
      <c r="O69" s="306"/>
      <c r="P69" s="306"/>
      <c r="Q69" s="192"/>
      <c r="R69" s="237"/>
      <c r="S69" s="237"/>
      <c r="T69" s="237"/>
      <c r="U69" s="237"/>
      <c r="V69" s="237"/>
      <c r="W69" s="237"/>
      <c r="X69" s="237"/>
      <c r="Y69" s="237"/>
      <c r="Z69" s="237"/>
      <c r="AA69" s="237"/>
      <c r="AB69" s="230"/>
      <c r="AC69" s="231"/>
      <c r="AD69" s="426"/>
      <c r="AE69" s="426"/>
      <c r="AF69" s="426"/>
      <c r="AG69" s="426"/>
      <c r="AH69" s="233"/>
      <c r="AI69" s="233"/>
      <c r="AJ69" s="234"/>
      <c r="AK69" s="234"/>
      <c r="AL69" s="234"/>
      <c r="AM69" s="234"/>
      <c r="AN69" s="234"/>
      <c r="AO69" s="234"/>
      <c r="AP69" s="234"/>
      <c r="AQ69" s="234"/>
      <c r="AR69" s="234"/>
      <c r="AS69" s="234"/>
      <c r="AT69" s="234"/>
      <c r="AU69" s="234"/>
      <c r="AV69" s="234"/>
      <c r="AW69" s="234"/>
      <c r="AX69" s="234"/>
      <c r="AY69" s="234"/>
      <c r="AZ69" s="234"/>
      <c r="BA69" s="234"/>
      <c r="BB69" s="234"/>
      <c r="BC69" s="234"/>
      <c r="BD69" s="234"/>
      <c r="BE69" s="234"/>
      <c r="BF69" s="234"/>
    </row>
    <row r="70" spans="8:58" x14ac:dyDescent="0.4">
      <c r="H70" s="402"/>
      <c r="I70" s="403"/>
      <c r="J70" s="403"/>
      <c r="K70" s="403"/>
      <c r="L70" s="403"/>
      <c r="M70" s="403"/>
      <c r="N70" s="403"/>
      <c r="O70" s="403"/>
      <c r="P70" s="403"/>
      <c r="Q70" s="404"/>
      <c r="R70" s="237"/>
      <c r="S70" s="237"/>
      <c r="T70" s="237"/>
      <c r="U70" s="237"/>
      <c r="V70" s="237"/>
      <c r="W70" s="237"/>
      <c r="X70" s="237"/>
      <c r="Y70" s="237"/>
      <c r="Z70" s="237"/>
      <c r="AA70" s="237"/>
      <c r="AB70" s="405" t="s">
        <v>526</v>
      </c>
      <c r="AC70" s="406"/>
      <c r="AD70" s="405" t="s">
        <v>245</v>
      </c>
      <c r="AE70" s="407"/>
      <c r="AF70" s="407"/>
      <c r="AG70" s="406"/>
      <c r="AH70" s="408" t="s">
        <v>245</v>
      </c>
      <c r="AI70" s="409"/>
      <c r="AJ70" s="410" t="s">
        <v>244</v>
      </c>
      <c r="AK70" s="411"/>
      <c r="AL70" s="411"/>
      <c r="AM70" s="411"/>
      <c r="AN70" s="411"/>
      <c r="AO70" s="411"/>
      <c r="AP70" s="411"/>
      <c r="AQ70" s="411"/>
      <c r="AR70" s="411"/>
      <c r="AS70" s="411"/>
      <c r="AT70" s="411"/>
      <c r="AU70" s="411"/>
      <c r="AV70" s="411"/>
      <c r="AW70" s="411"/>
      <c r="AX70" s="411"/>
      <c r="AY70" s="411"/>
      <c r="AZ70" s="411"/>
      <c r="BA70" s="411"/>
      <c r="BB70" s="411"/>
      <c r="BC70" s="411"/>
      <c r="BD70" s="411"/>
      <c r="BE70" s="411"/>
      <c r="BF70" s="412"/>
    </row>
    <row r="71" spans="8:58" ht="18.75" customHeight="1" x14ac:dyDescent="0.4">
      <c r="H71" s="189" t="s">
        <v>704</v>
      </c>
      <c r="I71" s="305"/>
      <c r="J71" s="305"/>
      <c r="K71" s="305"/>
      <c r="L71" s="305"/>
      <c r="M71" s="305"/>
      <c r="N71" s="305"/>
      <c r="O71" s="305"/>
      <c r="P71" s="305"/>
      <c r="Q71" s="190"/>
      <c r="R71" s="416" t="s">
        <v>705</v>
      </c>
      <c r="S71" s="417"/>
      <c r="T71" s="417"/>
      <c r="U71" s="417"/>
      <c r="V71" s="417"/>
      <c r="W71" s="417"/>
      <c r="X71" s="417"/>
      <c r="Y71" s="417"/>
      <c r="Z71" s="417"/>
      <c r="AA71" s="418"/>
      <c r="AB71" s="226" t="s">
        <v>921</v>
      </c>
      <c r="AC71" s="227"/>
      <c r="AD71" s="426" t="s">
        <v>445</v>
      </c>
      <c r="AE71" s="426"/>
      <c r="AF71" s="426"/>
      <c r="AG71" s="426"/>
      <c r="AH71" s="233" t="s">
        <v>444</v>
      </c>
      <c r="AI71" s="233"/>
      <c r="AJ71" s="234" t="s">
        <v>706</v>
      </c>
      <c r="AK71" s="234"/>
      <c r="AL71" s="234"/>
      <c r="AM71" s="234"/>
      <c r="AN71" s="234"/>
      <c r="AO71" s="234"/>
      <c r="AP71" s="234"/>
      <c r="AQ71" s="234"/>
      <c r="AR71" s="234"/>
      <c r="AS71" s="234"/>
      <c r="AT71" s="234"/>
      <c r="AU71" s="234"/>
      <c r="AV71" s="234"/>
      <c r="AW71" s="234"/>
      <c r="AX71" s="234"/>
      <c r="AY71" s="234"/>
      <c r="AZ71" s="234"/>
      <c r="BA71" s="234"/>
      <c r="BB71" s="234"/>
      <c r="BC71" s="234"/>
      <c r="BD71" s="234"/>
      <c r="BE71" s="234"/>
      <c r="BF71" s="234"/>
    </row>
    <row r="72" spans="8:58" x14ac:dyDescent="0.4">
      <c r="H72" s="191"/>
      <c r="I72" s="306"/>
      <c r="J72" s="306"/>
      <c r="K72" s="306"/>
      <c r="L72" s="306"/>
      <c r="M72" s="306"/>
      <c r="N72" s="306"/>
      <c r="O72" s="306"/>
      <c r="P72" s="306"/>
      <c r="Q72" s="192"/>
      <c r="R72" s="419"/>
      <c r="S72" s="420"/>
      <c r="T72" s="420"/>
      <c r="U72" s="420"/>
      <c r="V72" s="420"/>
      <c r="W72" s="420"/>
      <c r="X72" s="420"/>
      <c r="Y72" s="420"/>
      <c r="Z72" s="420"/>
      <c r="AA72" s="421"/>
      <c r="AB72" s="228"/>
      <c r="AC72" s="229"/>
      <c r="AD72" s="426"/>
      <c r="AE72" s="426"/>
      <c r="AF72" s="426"/>
      <c r="AG72" s="426"/>
      <c r="AH72" s="233"/>
      <c r="AI72" s="233"/>
      <c r="AJ72" s="234"/>
      <c r="AK72" s="234"/>
      <c r="AL72" s="234"/>
      <c r="AM72" s="234"/>
      <c r="AN72" s="234"/>
      <c r="AO72" s="234"/>
      <c r="AP72" s="234"/>
      <c r="AQ72" s="234"/>
      <c r="AR72" s="234"/>
      <c r="AS72" s="234"/>
      <c r="AT72" s="234"/>
      <c r="AU72" s="234"/>
      <c r="AV72" s="234"/>
      <c r="AW72" s="234"/>
      <c r="AX72" s="234"/>
      <c r="AY72" s="234"/>
      <c r="AZ72" s="234"/>
      <c r="BA72" s="234"/>
      <c r="BB72" s="234"/>
      <c r="BC72" s="234"/>
      <c r="BD72" s="234"/>
      <c r="BE72" s="234"/>
      <c r="BF72" s="234"/>
    </row>
    <row r="73" spans="8:58" x14ac:dyDescent="0.4">
      <c r="H73" s="191"/>
      <c r="I73" s="306"/>
      <c r="J73" s="306"/>
      <c r="K73" s="306"/>
      <c r="L73" s="306"/>
      <c r="M73" s="306"/>
      <c r="N73" s="306"/>
      <c r="O73" s="306"/>
      <c r="P73" s="306"/>
      <c r="Q73" s="192"/>
      <c r="R73" s="419"/>
      <c r="S73" s="420"/>
      <c r="T73" s="420"/>
      <c r="U73" s="420"/>
      <c r="V73" s="420"/>
      <c r="W73" s="420"/>
      <c r="X73" s="420"/>
      <c r="Y73" s="420"/>
      <c r="Z73" s="420"/>
      <c r="AA73" s="421"/>
      <c r="AB73" s="228"/>
      <c r="AC73" s="229"/>
      <c r="AD73" s="426"/>
      <c r="AE73" s="426"/>
      <c r="AF73" s="426"/>
      <c r="AG73" s="426"/>
      <c r="AH73" s="233"/>
      <c r="AI73" s="233"/>
      <c r="AJ73" s="234"/>
      <c r="AK73" s="234"/>
      <c r="AL73" s="234"/>
      <c r="AM73" s="234"/>
      <c r="AN73" s="234"/>
      <c r="AO73" s="234"/>
      <c r="AP73" s="234"/>
      <c r="AQ73" s="234"/>
      <c r="AR73" s="234"/>
      <c r="AS73" s="234"/>
      <c r="AT73" s="234"/>
      <c r="AU73" s="234"/>
      <c r="AV73" s="234"/>
      <c r="AW73" s="234"/>
      <c r="AX73" s="234"/>
      <c r="AY73" s="234"/>
      <c r="AZ73" s="234"/>
      <c r="BA73" s="234"/>
      <c r="BB73" s="234"/>
      <c r="BC73" s="234"/>
      <c r="BD73" s="234"/>
      <c r="BE73" s="234"/>
      <c r="BF73" s="234"/>
    </row>
    <row r="74" spans="8:58" x14ac:dyDescent="0.4">
      <c r="H74" s="191"/>
      <c r="I74" s="306"/>
      <c r="J74" s="306"/>
      <c r="K74" s="306"/>
      <c r="L74" s="306"/>
      <c r="M74" s="306"/>
      <c r="N74" s="306"/>
      <c r="O74" s="306"/>
      <c r="P74" s="306"/>
      <c r="Q74" s="192"/>
      <c r="R74" s="419"/>
      <c r="S74" s="420"/>
      <c r="T74" s="420"/>
      <c r="U74" s="420"/>
      <c r="V74" s="420"/>
      <c r="W74" s="420"/>
      <c r="X74" s="420"/>
      <c r="Y74" s="420"/>
      <c r="Z74" s="420"/>
      <c r="AA74" s="421"/>
      <c r="AB74" s="230"/>
      <c r="AC74" s="231"/>
      <c r="AD74" s="426"/>
      <c r="AE74" s="426"/>
      <c r="AF74" s="426"/>
      <c r="AG74" s="426"/>
      <c r="AH74" s="233"/>
      <c r="AI74" s="233"/>
      <c r="AJ74" s="234"/>
      <c r="AK74" s="234"/>
      <c r="AL74" s="234"/>
      <c r="AM74" s="234"/>
      <c r="AN74" s="234"/>
      <c r="AO74" s="234"/>
      <c r="AP74" s="234"/>
      <c r="AQ74" s="234"/>
      <c r="AR74" s="234"/>
      <c r="AS74" s="234"/>
      <c r="AT74" s="234"/>
      <c r="AU74" s="234"/>
      <c r="AV74" s="234"/>
      <c r="AW74" s="234"/>
      <c r="AX74" s="234"/>
      <c r="AY74" s="234"/>
      <c r="AZ74" s="234"/>
      <c r="BA74" s="234"/>
      <c r="BB74" s="234"/>
      <c r="BC74" s="234"/>
      <c r="BD74" s="234"/>
      <c r="BE74" s="234"/>
      <c r="BF74" s="234"/>
    </row>
    <row r="75" spans="8:58" ht="18.75" customHeight="1" x14ac:dyDescent="0.4">
      <c r="H75" s="402"/>
      <c r="I75" s="403"/>
      <c r="J75" s="403"/>
      <c r="K75" s="403"/>
      <c r="L75" s="403"/>
      <c r="M75" s="403"/>
      <c r="N75" s="403"/>
      <c r="O75" s="403"/>
      <c r="P75" s="403"/>
      <c r="Q75" s="404"/>
      <c r="R75" s="422"/>
      <c r="S75" s="423"/>
      <c r="T75" s="423"/>
      <c r="U75" s="423"/>
      <c r="V75" s="423"/>
      <c r="W75" s="423"/>
      <c r="X75" s="423"/>
      <c r="Y75" s="423"/>
      <c r="Z75" s="423"/>
      <c r="AA75" s="424"/>
      <c r="AB75" s="405" t="s">
        <v>526</v>
      </c>
      <c r="AC75" s="406"/>
      <c r="AD75" s="405" t="s">
        <v>245</v>
      </c>
      <c r="AE75" s="407"/>
      <c r="AF75" s="407"/>
      <c r="AG75" s="406"/>
      <c r="AH75" s="408" t="s">
        <v>245</v>
      </c>
      <c r="AI75" s="409"/>
      <c r="AJ75" s="410" t="s">
        <v>244</v>
      </c>
      <c r="AK75" s="411"/>
      <c r="AL75" s="411"/>
      <c r="AM75" s="411"/>
      <c r="AN75" s="411"/>
      <c r="AO75" s="411"/>
      <c r="AP75" s="411"/>
      <c r="AQ75" s="411"/>
      <c r="AR75" s="411"/>
      <c r="AS75" s="411"/>
      <c r="AT75" s="411"/>
      <c r="AU75" s="411"/>
      <c r="AV75" s="411"/>
      <c r="AW75" s="411"/>
      <c r="AX75" s="411"/>
      <c r="AY75" s="411"/>
      <c r="AZ75" s="411"/>
      <c r="BA75" s="411"/>
      <c r="BB75" s="411"/>
      <c r="BC75" s="411"/>
      <c r="BD75" s="411"/>
      <c r="BE75" s="411"/>
      <c r="BF75" s="412"/>
    </row>
    <row r="76" spans="8:58" x14ac:dyDescent="0.4">
      <c r="H76" s="189" t="s">
        <v>707</v>
      </c>
      <c r="I76" s="305"/>
      <c r="J76" s="305"/>
      <c r="K76" s="305"/>
      <c r="L76" s="305"/>
      <c r="M76" s="305"/>
      <c r="N76" s="305"/>
      <c r="O76" s="305"/>
      <c r="P76" s="305"/>
      <c r="Q76" s="190"/>
      <c r="R76" s="189" t="s">
        <v>708</v>
      </c>
      <c r="S76" s="305"/>
      <c r="T76" s="305"/>
      <c r="U76" s="305"/>
      <c r="V76" s="305"/>
      <c r="W76" s="305"/>
      <c r="X76" s="305"/>
      <c r="Y76" s="305"/>
      <c r="Z76" s="305"/>
      <c r="AA76" s="190"/>
      <c r="AB76" s="226" t="s">
        <v>921</v>
      </c>
      <c r="AC76" s="227"/>
      <c r="AD76" s="426" t="s">
        <v>709</v>
      </c>
      <c r="AE76" s="426"/>
      <c r="AF76" s="426"/>
      <c r="AG76" s="426"/>
      <c r="AH76" s="233" t="s">
        <v>427</v>
      </c>
      <c r="AI76" s="233"/>
      <c r="AJ76" s="234" t="s">
        <v>710</v>
      </c>
      <c r="AK76" s="234"/>
      <c r="AL76" s="234"/>
      <c r="AM76" s="234"/>
      <c r="AN76" s="234"/>
      <c r="AO76" s="234"/>
      <c r="AP76" s="234"/>
      <c r="AQ76" s="234"/>
      <c r="AR76" s="234"/>
      <c r="AS76" s="234"/>
      <c r="AT76" s="234"/>
      <c r="AU76" s="234"/>
      <c r="AV76" s="234"/>
      <c r="AW76" s="234"/>
      <c r="AX76" s="234"/>
      <c r="AY76" s="234"/>
      <c r="AZ76" s="234"/>
      <c r="BA76" s="234"/>
      <c r="BB76" s="234"/>
      <c r="BC76" s="234"/>
      <c r="BD76" s="234"/>
      <c r="BE76" s="234"/>
      <c r="BF76" s="234"/>
    </row>
    <row r="77" spans="8:58" x14ac:dyDescent="0.4">
      <c r="H77" s="191"/>
      <c r="I77" s="306"/>
      <c r="J77" s="306"/>
      <c r="K77" s="306"/>
      <c r="L77" s="306"/>
      <c r="M77" s="306"/>
      <c r="N77" s="306"/>
      <c r="O77" s="306"/>
      <c r="P77" s="306"/>
      <c r="Q77" s="192"/>
      <c r="R77" s="191"/>
      <c r="S77" s="306"/>
      <c r="T77" s="306"/>
      <c r="U77" s="306"/>
      <c r="V77" s="306"/>
      <c r="W77" s="306"/>
      <c r="X77" s="306"/>
      <c r="Y77" s="306"/>
      <c r="Z77" s="306"/>
      <c r="AA77" s="192"/>
      <c r="AB77" s="228"/>
      <c r="AC77" s="229"/>
      <c r="AD77" s="426"/>
      <c r="AE77" s="426"/>
      <c r="AF77" s="426"/>
      <c r="AG77" s="426"/>
      <c r="AH77" s="233"/>
      <c r="AI77" s="233"/>
      <c r="AJ77" s="234"/>
      <c r="AK77" s="234"/>
      <c r="AL77" s="234"/>
      <c r="AM77" s="234"/>
      <c r="AN77" s="234"/>
      <c r="AO77" s="234"/>
      <c r="AP77" s="234"/>
      <c r="AQ77" s="234"/>
      <c r="AR77" s="234"/>
      <c r="AS77" s="234"/>
      <c r="AT77" s="234"/>
      <c r="AU77" s="234"/>
      <c r="AV77" s="234"/>
      <c r="AW77" s="234"/>
      <c r="AX77" s="234"/>
      <c r="AY77" s="234"/>
      <c r="AZ77" s="234"/>
      <c r="BA77" s="234"/>
      <c r="BB77" s="234"/>
      <c r="BC77" s="234"/>
      <c r="BD77" s="234"/>
      <c r="BE77" s="234"/>
      <c r="BF77" s="234"/>
    </row>
    <row r="78" spans="8:58" x14ac:dyDescent="0.4">
      <c r="H78" s="191"/>
      <c r="I78" s="306"/>
      <c r="J78" s="306"/>
      <c r="K78" s="306"/>
      <c r="L78" s="306"/>
      <c r="M78" s="306"/>
      <c r="N78" s="306"/>
      <c r="O78" s="306"/>
      <c r="P78" s="306"/>
      <c r="Q78" s="192"/>
      <c r="R78" s="191"/>
      <c r="S78" s="306"/>
      <c r="T78" s="306"/>
      <c r="U78" s="306"/>
      <c r="V78" s="306"/>
      <c r="W78" s="306"/>
      <c r="X78" s="306"/>
      <c r="Y78" s="306"/>
      <c r="Z78" s="306"/>
      <c r="AA78" s="192"/>
      <c r="AB78" s="228"/>
      <c r="AC78" s="229"/>
      <c r="AD78" s="426"/>
      <c r="AE78" s="426"/>
      <c r="AF78" s="426"/>
      <c r="AG78" s="426"/>
      <c r="AH78" s="233"/>
      <c r="AI78" s="233"/>
      <c r="AJ78" s="234"/>
      <c r="AK78" s="234"/>
      <c r="AL78" s="234"/>
      <c r="AM78" s="234"/>
      <c r="AN78" s="234"/>
      <c r="AO78" s="234"/>
      <c r="AP78" s="234"/>
      <c r="AQ78" s="234"/>
      <c r="AR78" s="234"/>
      <c r="AS78" s="234"/>
      <c r="AT78" s="234"/>
      <c r="AU78" s="234"/>
      <c r="AV78" s="234"/>
      <c r="AW78" s="234"/>
      <c r="AX78" s="234"/>
      <c r="AY78" s="234"/>
      <c r="AZ78" s="234"/>
      <c r="BA78" s="234"/>
      <c r="BB78" s="234"/>
      <c r="BC78" s="234"/>
      <c r="BD78" s="234"/>
      <c r="BE78" s="234"/>
      <c r="BF78" s="234"/>
    </row>
    <row r="79" spans="8:58" x14ac:dyDescent="0.4">
      <c r="H79" s="191"/>
      <c r="I79" s="306"/>
      <c r="J79" s="306"/>
      <c r="K79" s="306"/>
      <c r="L79" s="306"/>
      <c r="M79" s="306"/>
      <c r="N79" s="306"/>
      <c r="O79" s="306"/>
      <c r="P79" s="306"/>
      <c r="Q79" s="192"/>
      <c r="R79" s="191"/>
      <c r="S79" s="306"/>
      <c r="T79" s="306"/>
      <c r="U79" s="306"/>
      <c r="V79" s="306"/>
      <c r="W79" s="306"/>
      <c r="X79" s="306"/>
      <c r="Y79" s="306"/>
      <c r="Z79" s="306"/>
      <c r="AA79" s="192"/>
      <c r="AB79" s="230"/>
      <c r="AC79" s="231"/>
      <c r="AD79" s="426"/>
      <c r="AE79" s="426"/>
      <c r="AF79" s="426"/>
      <c r="AG79" s="426"/>
      <c r="AH79" s="233"/>
      <c r="AI79" s="233"/>
      <c r="AJ79" s="234"/>
      <c r="AK79" s="234"/>
      <c r="AL79" s="234"/>
      <c r="AM79" s="234"/>
      <c r="AN79" s="234"/>
      <c r="AO79" s="234"/>
      <c r="AP79" s="234"/>
      <c r="AQ79" s="234"/>
      <c r="AR79" s="234"/>
      <c r="AS79" s="234"/>
      <c r="AT79" s="234"/>
      <c r="AU79" s="234"/>
      <c r="AV79" s="234"/>
      <c r="AW79" s="234"/>
      <c r="AX79" s="234"/>
      <c r="AY79" s="234"/>
      <c r="AZ79" s="234"/>
      <c r="BA79" s="234"/>
      <c r="BB79" s="234"/>
      <c r="BC79" s="234"/>
      <c r="BD79" s="234"/>
      <c r="BE79" s="234"/>
      <c r="BF79" s="234"/>
    </row>
    <row r="80" spans="8:58" x14ac:dyDescent="0.4">
      <c r="H80" s="402"/>
      <c r="I80" s="403"/>
      <c r="J80" s="403"/>
      <c r="K80" s="403"/>
      <c r="L80" s="403"/>
      <c r="M80" s="403"/>
      <c r="N80" s="403"/>
      <c r="O80" s="403"/>
      <c r="P80" s="403"/>
      <c r="Q80" s="404"/>
      <c r="R80" s="402"/>
      <c r="S80" s="403"/>
      <c r="T80" s="403"/>
      <c r="U80" s="403"/>
      <c r="V80" s="403"/>
      <c r="W80" s="403"/>
      <c r="X80" s="403"/>
      <c r="Y80" s="403"/>
      <c r="Z80" s="403"/>
      <c r="AA80" s="404"/>
      <c r="AB80" s="405" t="s">
        <v>526</v>
      </c>
      <c r="AC80" s="406"/>
      <c r="AD80" s="405" t="s">
        <v>245</v>
      </c>
      <c r="AE80" s="407"/>
      <c r="AF80" s="407"/>
      <c r="AG80" s="406"/>
      <c r="AH80" s="408" t="s">
        <v>245</v>
      </c>
      <c r="AI80" s="409"/>
      <c r="AJ80" s="410" t="s">
        <v>244</v>
      </c>
      <c r="AK80" s="411"/>
      <c r="AL80" s="411"/>
      <c r="AM80" s="411"/>
      <c r="AN80" s="411"/>
      <c r="AO80" s="411"/>
      <c r="AP80" s="411"/>
      <c r="AQ80" s="411"/>
      <c r="AR80" s="411"/>
      <c r="AS80" s="411"/>
      <c r="AT80" s="411"/>
      <c r="AU80" s="411"/>
      <c r="AV80" s="411"/>
      <c r="AW80" s="411"/>
      <c r="AX80" s="411"/>
      <c r="AY80" s="411"/>
      <c r="AZ80" s="411"/>
      <c r="BA80" s="411"/>
      <c r="BB80" s="411"/>
      <c r="BC80" s="411"/>
      <c r="BD80" s="411"/>
      <c r="BE80" s="411"/>
      <c r="BF80" s="412"/>
    </row>
    <row r="81" spans="8:58" x14ac:dyDescent="0.4">
      <c r="H81" s="189" t="s">
        <v>711</v>
      </c>
      <c r="I81" s="305"/>
      <c r="J81" s="305"/>
      <c r="K81" s="305"/>
      <c r="L81" s="305"/>
      <c r="M81" s="305"/>
      <c r="N81" s="305"/>
      <c r="O81" s="305"/>
      <c r="P81" s="305"/>
      <c r="Q81" s="190"/>
      <c r="R81" s="189" t="s">
        <v>712</v>
      </c>
      <c r="S81" s="305"/>
      <c r="T81" s="305"/>
      <c r="U81" s="305"/>
      <c r="V81" s="305"/>
      <c r="W81" s="305"/>
      <c r="X81" s="305"/>
      <c r="Y81" s="305"/>
      <c r="Z81" s="305"/>
      <c r="AA81" s="190"/>
      <c r="AB81" s="226" t="s">
        <v>921</v>
      </c>
      <c r="AC81" s="227"/>
      <c r="AD81" s="432" t="s">
        <v>713</v>
      </c>
      <c r="AE81" s="252"/>
      <c r="AF81" s="252"/>
      <c r="AG81" s="252"/>
      <c r="AH81" s="233" t="s">
        <v>444</v>
      </c>
      <c r="AI81" s="233"/>
      <c r="AJ81" s="234" t="s">
        <v>714</v>
      </c>
      <c r="AK81" s="234"/>
      <c r="AL81" s="234"/>
      <c r="AM81" s="234"/>
      <c r="AN81" s="234"/>
      <c r="AO81" s="234"/>
      <c r="AP81" s="234"/>
      <c r="AQ81" s="234"/>
      <c r="AR81" s="234"/>
      <c r="AS81" s="234"/>
      <c r="AT81" s="234"/>
      <c r="AU81" s="234"/>
      <c r="AV81" s="234"/>
      <c r="AW81" s="234"/>
      <c r="AX81" s="234"/>
      <c r="AY81" s="234"/>
      <c r="AZ81" s="234"/>
      <c r="BA81" s="234"/>
      <c r="BB81" s="234"/>
      <c r="BC81" s="234"/>
      <c r="BD81" s="234"/>
      <c r="BE81" s="234"/>
      <c r="BF81" s="234"/>
    </row>
    <row r="82" spans="8:58" x14ac:dyDescent="0.4">
      <c r="H82" s="191"/>
      <c r="I82" s="306"/>
      <c r="J82" s="306"/>
      <c r="K82" s="306"/>
      <c r="L82" s="306"/>
      <c r="M82" s="306"/>
      <c r="N82" s="306"/>
      <c r="O82" s="306"/>
      <c r="P82" s="306"/>
      <c r="Q82" s="192"/>
      <c r="R82" s="191"/>
      <c r="S82" s="306"/>
      <c r="T82" s="306"/>
      <c r="U82" s="306"/>
      <c r="V82" s="306"/>
      <c r="W82" s="306"/>
      <c r="X82" s="306"/>
      <c r="Y82" s="306"/>
      <c r="Z82" s="306"/>
      <c r="AA82" s="192"/>
      <c r="AB82" s="228"/>
      <c r="AC82" s="229"/>
      <c r="AD82" s="432"/>
      <c r="AE82" s="252"/>
      <c r="AF82" s="252"/>
      <c r="AG82" s="252"/>
      <c r="AH82" s="233"/>
      <c r="AI82" s="233"/>
      <c r="AJ82" s="234"/>
      <c r="AK82" s="234"/>
      <c r="AL82" s="234"/>
      <c r="AM82" s="234"/>
      <c r="AN82" s="234"/>
      <c r="AO82" s="234"/>
      <c r="AP82" s="234"/>
      <c r="AQ82" s="234"/>
      <c r="AR82" s="234"/>
      <c r="AS82" s="234"/>
      <c r="AT82" s="234"/>
      <c r="AU82" s="234"/>
      <c r="AV82" s="234"/>
      <c r="AW82" s="234"/>
      <c r="AX82" s="234"/>
      <c r="AY82" s="234"/>
      <c r="AZ82" s="234"/>
      <c r="BA82" s="234"/>
      <c r="BB82" s="234"/>
      <c r="BC82" s="234"/>
      <c r="BD82" s="234"/>
      <c r="BE82" s="234"/>
      <c r="BF82" s="234"/>
    </row>
    <row r="83" spans="8:58" x14ac:dyDescent="0.4">
      <c r="H83" s="191"/>
      <c r="I83" s="306"/>
      <c r="J83" s="306"/>
      <c r="K83" s="306"/>
      <c r="L83" s="306"/>
      <c r="M83" s="306"/>
      <c r="N83" s="306"/>
      <c r="O83" s="306"/>
      <c r="P83" s="306"/>
      <c r="Q83" s="192"/>
      <c r="R83" s="191"/>
      <c r="S83" s="306"/>
      <c r="T83" s="306"/>
      <c r="U83" s="306"/>
      <c r="V83" s="306"/>
      <c r="W83" s="306"/>
      <c r="X83" s="306"/>
      <c r="Y83" s="306"/>
      <c r="Z83" s="306"/>
      <c r="AA83" s="192"/>
      <c r="AB83" s="228"/>
      <c r="AC83" s="229"/>
      <c r="AD83" s="432"/>
      <c r="AE83" s="252"/>
      <c r="AF83" s="252"/>
      <c r="AG83" s="252"/>
      <c r="AH83" s="233"/>
      <c r="AI83" s="233"/>
      <c r="AJ83" s="234"/>
      <c r="AK83" s="234"/>
      <c r="AL83" s="234"/>
      <c r="AM83" s="234"/>
      <c r="AN83" s="234"/>
      <c r="AO83" s="234"/>
      <c r="AP83" s="234"/>
      <c r="AQ83" s="234"/>
      <c r="AR83" s="234"/>
      <c r="AS83" s="234"/>
      <c r="AT83" s="234"/>
      <c r="AU83" s="234"/>
      <c r="AV83" s="234"/>
      <c r="AW83" s="234"/>
      <c r="AX83" s="234"/>
      <c r="AY83" s="234"/>
      <c r="AZ83" s="234"/>
      <c r="BA83" s="234"/>
      <c r="BB83" s="234"/>
      <c r="BC83" s="234"/>
      <c r="BD83" s="234"/>
      <c r="BE83" s="234"/>
      <c r="BF83" s="234"/>
    </row>
    <row r="84" spans="8:58" x14ac:dyDescent="0.4">
      <c r="H84" s="191"/>
      <c r="I84" s="306"/>
      <c r="J84" s="306"/>
      <c r="K84" s="306"/>
      <c r="L84" s="306"/>
      <c r="M84" s="306"/>
      <c r="N84" s="306"/>
      <c r="O84" s="306"/>
      <c r="P84" s="306"/>
      <c r="Q84" s="192"/>
      <c r="R84" s="191"/>
      <c r="S84" s="306"/>
      <c r="T84" s="306"/>
      <c r="U84" s="306"/>
      <c r="V84" s="306"/>
      <c r="W84" s="306"/>
      <c r="X84" s="306"/>
      <c r="Y84" s="306"/>
      <c r="Z84" s="306"/>
      <c r="AA84" s="192"/>
      <c r="AB84" s="230"/>
      <c r="AC84" s="231"/>
      <c r="AD84" s="252"/>
      <c r="AE84" s="252"/>
      <c r="AF84" s="252"/>
      <c r="AG84" s="252"/>
      <c r="AH84" s="233"/>
      <c r="AI84" s="233"/>
      <c r="AJ84" s="234"/>
      <c r="AK84" s="234"/>
      <c r="AL84" s="234"/>
      <c r="AM84" s="234"/>
      <c r="AN84" s="234"/>
      <c r="AO84" s="234"/>
      <c r="AP84" s="234"/>
      <c r="AQ84" s="234"/>
      <c r="AR84" s="234"/>
      <c r="AS84" s="234"/>
      <c r="AT84" s="234"/>
      <c r="AU84" s="234"/>
      <c r="AV84" s="234"/>
      <c r="AW84" s="234"/>
      <c r="AX84" s="234"/>
      <c r="AY84" s="234"/>
      <c r="AZ84" s="234"/>
      <c r="BA84" s="234"/>
      <c r="BB84" s="234"/>
      <c r="BC84" s="234"/>
      <c r="BD84" s="234"/>
      <c r="BE84" s="234"/>
      <c r="BF84" s="234"/>
    </row>
    <row r="85" spans="8:58" x14ac:dyDescent="0.4">
      <c r="H85" s="402"/>
      <c r="I85" s="403"/>
      <c r="J85" s="403"/>
      <c r="K85" s="403"/>
      <c r="L85" s="403"/>
      <c r="M85" s="403"/>
      <c r="N85" s="403"/>
      <c r="O85" s="403"/>
      <c r="P85" s="403"/>
      <c r="Q85" s="404"/>
      <c r="R85" s="402"/>
      <c r="S85" s="403"/>
      <c r="T85" s="403"/>
      <c r="U85" s="403"/>
      <c r="V85" s="403"/>
      <c r="W85" s="403"/>
      <c r="X85" s="403"/>
      <c r="Y85" s="403"/>
      <c r="Z85" s="403"/>
      <c r="AA85" s="404"/>
      <c r="AB85" s="405" t="s">
        <v>526</v>
      </c>
      <c r="AC85" s="406"/>
      <c r="AD85" s="405" t="s">
        <v>245</v>
      </c>
      <c r="AE85" s="407"/>
      <c r="AF85" s="407"/>
      <c r="AG85" s="406"/>
      <c r="AH85" s="408" t="s">
        <v>245</v>
      </c>
      <c r="AI85" s="409"/>
      <c r="AJ85" s="410" t="s">
        <v>244</v>
      </c>
      <c r="AK85" s="411"/>
      <c r="AL85" s="411"/>
      <c r="AM85" s="411"/>
      <c r="AN85" s="411"/>
      <c r="AO85" s="411"/>
      <c r="AP85" s="411"/>
      <c r="AQ85" s="411"/>
      <c r="AR85" s="411"/>
      <c r="AS85" s="411"/>
      <c r="AT85" s="411"/>
      <c r="AU85" s="411"/>
      <c r="AV85" s="411"/>
      <c r="AW85" s="411"/>
      <c r="AX85" s="411"/>
      <c r="AY85" s="411"/>
      <c r="AZ85" s="411"/>
      <c r="BA85" s="411"/>
      <c r="BB85" s="411"/>
      <c r="BC85" s="411"/>
      <c r="BD85" s="411"/>
      <c r="BE85" s="411"/>
      <c r="BF85" s="412"/>
    </row>
    <row r="86" spans="8:58" x14ac:dyDescent="0.4">
      <c r="H86" s="189" t="s">
        <v>768</v>
      </c>
      <c r="I86" s="305"/>
      <c r="J86" s="305"/>
      <c r="K86" s="305"/>
      <c r="L86" s="305"/>
      <c r="M86" s="305"/>
      <c r="N86" s="305"/>
      <c r="O86" s="305"/>
      <c r="P86" s="305"/>
      <c r="Q86" s="190"/>
      <c r="R86" s="189" t="s">
        <v>767</v>
      </c>
      <c r="S86" s="305"/>
      <c r="T86" s="305"/>
      <c r="U86" s="305"/>
      <c r="V86" s="305"/>
      <c r="W86" s="305"/>
      <c r="X86" s="305"/>
      <c r="Y86" s="305"/>
      <c r="Z86" s="305"/>
      <c r="AA86" s="190"/>
      <c r="AB86" s="226" t="s">
        <v>921</v>
      </c>
      <c r="AC86" s="227"/>
      <c r="AD86" s="432" t="s">
        <v>446</v>
      </c>
      <c r="AE86" s="252"/>
      <c r="AF86" s="252"/>
      <c r="AG86" s="252"/>
      <c r="AH86" s="233" t="s">
        <v>444</v>
      </c>
      <c r="AI86" s="233"/>
      <c r="AJ86" s="234" t="s">
        <v>769</v>
      </c>
      <c r="AK86" s="234"/>
      <c r="AL86" s="234"/>
      <c r="AM86" s="234"/>
      <c r="AN86" s="234"/>
      <c r="AO86" s="234"/>
      <c r="AP86" s="234"/>
      <c r="AQ86" s="234"/>
      <c r="AR86" s="234"/>
      <c r="AS86" s="234"/>
      <c r="AT86" s="234"/>
      <c r="AU86" s="234"/>
      <c r="AV86" s="234"/>
      <c r="AW86" s="234"/>
      <c r="AX86" s="234"/>
      <c r="AY86" s="234"/>
      <c r="AZ86" s="234"/>
      <c r="BA86" s="234"/>
      <c r="BB86" s="234"/>
      <c r="BC86" s="234"/>
      <c r="BD86" s="234"/>
      <c r="BE86" s="234"/>
      <c r="BF86" s="234"/>
    </row>
    <row r="87" spans="8:58" x14ac:dyDescent="0.4">
      <c r="H87" s="191"/>
      <c r="I87" s="306"/>
      <c r="J87" s="306"/>
      <c r="K87" s="306"/>
      <c r="L87" s="306"/>
      <c r="M87" s="306"/>
      <c r="N87" s="306"/>
      <c r="O87" s="306"/>
      <c r="P87" s="306"/>
      <c r="Q87" s="192"/>
      <c r="R87" s="191"/>
      <c r="S87" s="306"/>
      <c r="T87" s="306"/>
      <c r="U87" s="306"/>
      <c r="V87" s="306"/>
      <c r="W87" s="306"/>
      <c r="X87" s="306"/>
      <c r="Y87" s="306"/>
      <c r="Z87" s="306"/>
      <c r="AA87" s="192"/>
      <c r="AB87" s="228"/>
      <c r="AC87" s="229"/>
      <c r="AD87" s="432"/>
      <c r="AE87" s="252"/>
      <c r="AF87" s="252"/>
      <c r="AG87" s="252"/>
      <c r="AH87" s="233"/>
      <c r="AI87" s="233"/>
      <c r="AJ87" s="234"/>
      <c r="AK87" s="234"/>
      <c r="AL87" s="234"/>
      <c r="AM87" s="234"/>
      <c r="AN87" s="234"/>
      <c r="AO87" s="234"/>
      <c r="AP87" s="234"/>
      <c r="AQ87" s="234"/>
      <c r="AR87" s="234"/>
      <c r="AS87" s="234"/>
      <c r="AT87" s="234"/>
      <c r="AU87" s="234"/>
      <c r="AV87" s="234"/>
      <c r="AW87" s="234"/>
      <c r="AX87" s="234"/>
      <c r="AY87" s="234"/>
      <c r="AZ87" s="234"/>
      <c r="BA87" s="234"/>
      <c r="BB87" s="234"/>
      <c r="BC87" s="234"/>
      <c r="BD87" s="234"/>
      <c r="BE87" s="234"/>
      <c r="BF87" s="234"/>
    </row>
    <row r="88" spans="8:58" x14ac:dyDescent="0.4">
      <c r="H88" s="191"/>
      <c r="I88" s="306"/>
      <c r="J88" s="306"/>
      <c r="K88" s="306"/>
      <c r="L88" s="306"/>
      <c r="M88" s="306"/>
      <c r="N88" s="306"/>
      <c r="O88" s="306"/>
      <c r="P88" s="306"/>
      <c r="Q88" s="192"/>
      <c r="R88" s="191"/>
      <c r="S88" s="306"/>
      <c r="T88" s="306"/>
      <c r="U88" s="306"/>
      <c r="V88" s="306"/>
      <c r="W88" s="306"/>
      <c r="X88" s="306"/>
      <c r="Y88" s="306"/>
      <c r="Z88" s="306"/>
      <c r="AA88" s="192"/>
      <c r="AB88" s="228"/>
      <c r="AC88" s="229"/>
      <c r="AD88" s="432"/>
      <c r="AE88" s="252"/>
      <c r="AF88" s="252"/>
      <c r="AG88" s="252"/>
      <c r="AH88" s="233"/>
      <c r="AI88" s="233"/>
      <c r="AJ88" s="234"/>
      <c r="AK88" s="234"/>
      <c r="AL88" s="234"/>
      <c r="AM88" s="234"/>
      <c r="AN88" s="234"/>
      <c r="AO88" s="234"/>
      <c r="AP88" s="234"/>
      <c r="AQ88" s="234"/>
      <c r="AR88" s="234"/>
      <c r="AS88" s="234"/>
      <c r="AT88" s="234"/>
      <c r="AU88" s="234"/>
      <c r="AV88" s="234"/>
      <c r="AW88" s="234"/>
      <c r="AX88" s="234"/>
      <c r="AY88" s="234"/>
      <c r="AZ88" s="234"/>
      <c r="BA88" s="234"/>
      <c r="BB88" s="234"/>
      <c r="BC88" s="234"/>
      <c r="BD88" s="234"/>
      <c r="BE88" s="234"/>
      <c r="BF88" s="234"/>
    </row>
    <row r="89" spans="8:58" x14ac:dyDescent="0.4">
      <c r="H89" s="402"/>
      <c r="I89" s="403"/>
      <c r="J89" s="403"/>
      <c r="K89" s="403"/>
      <c r="L89" s="403"/>
      <c r="M89" s="403"/>
      <c r="N89" s="403"/>
      <c r="O89" s="403"/>
      <c r="P89" s="403"/>
      <c r="Q89" s="404"/>
      <c r="R89" s="402"/>
      <c r="S89" s="403"/>
      <c r="T89" s="403"/>
      <c r="U89" s="403"/>
      <c r="V89" s="403"/>
      <c r="W89" s="403"/>
      <c r="X89" s="403"/>
      <c r="Y89" s="403"/>
      <c r="Z89" s="403"/>
      <c r="AA89" s="404"/>
      <c r="AB89" s="405" t="s">
        <v>526</v>
      </c>
      <c r="AC89" s="406"/>
      <c r="AD89" s="405" t="s">
        <v>245</v>
      </c>
      <c r="AE89" s="407"/>
      <c r="AF89" s="407"/>
      <c r="AG89" s="406"/>
      <c r="AH89" s="408" t="s">
        <v>245</v>
      </c>
      <c r="AI89" s="409"/>
      <c r="AJ89" s="410" t="s">
        <v>244</v>
      </c>
      <c r="AK89" s="411"/>
      <c r="AL89" s="411"/>
      <c r="AM89" s="411"/>
      <c r="AN89" s="411"/>
      <c r="AO89" s="411"/>
      <c r="AP89" s="411"/>
      <c r="AQ89" s="411"/>
      <c r="AR89" s="411"/>
      <c r="AS89" s="411"/>
      <c r="AT89" s="411"/>
      <c r="AU89" s="411"/>
      <c r="AV89" s="411"/>
      <c r="AW89" s="411"/>
      <c r="AX89" s="411"/>
      <c r="AY89" s="411"/>
      <c r="AZ89" s="411"/>
      <c r="BA89" s="411"/>
      <c r="BB89" s="411"/>
      <c r="BC89" s="411"/>
      <c r="BD89" s="411"/>
      <c r="BE89" s="411"/>
      <c r="BF89" s="412"/>
    </row>
    <row r="90" spans="8:58" x14ac:dyDescent="0.4">
      <c r="H90" s="408" t="s">
        <v>766</v>
      </c>
      <c r="I90" s="428"/>
      <c r="J90" s="428"/>
      <c r="K90" s="428"/>
      <c r="L90" s="428"/>
      <c r="M90" s="428"/>
      <c r="N90" s="428"/>
      <c r="O90" s="428"/>
      <c r="P90" s="428"/>
      <c r="Q90" s="428"/>
      <c r="R90" s="428"/>
      <c r="S90" s="428"/>
      <c r="T90" s="428"/>
      <c r="U90" s="428"/>
      <c r="V90" s="428"/>
      <c r="W90" s="428"/>
      <c r="X90" s="428"/>
      <c r="Y90" s="428"/>
      <c r="Z90" s="428"/>
      <c r="AA90" s="428"/>
      <c r="AB90" s="428"/>
      <c r="AC90" s="428"/>
      <c r="AD90" s="428"/>
      <c r="AE90" s="428"/>
      <c r="AF90" s="428"/>
      <c r="AG90" s="428"/>
      <c r="AH90" s="428"/>
      <c r="AI90" s="428"/>
      <c r="AJ90" s="428"/>
      <c r="AK90" s="428"/>
      <c r="AL90" s="428"/>
      <c r="AM90" s="428"/>
      <c r="AN90" s="428"/>
      <c r="AO90" s="428"/>
      <c r="AP90" s="428"/>
      <c r="AQ90" s="428"/>
      <c r="AR90" s="428"/>
      <c r="AS90" s="428"/>
      <c r="AT90" s="428"/>
      <c r="AU90" s="428"/>
      <c r="AV90" s="428"/>
      <c r="AW90" s="428"/>
      <c r="AX90" s="428"/>
      <c r="AY90" s="428"/>
      <c r="AZ90" s="428"/>
      <c r="BA90" s="428"/>
      <c r="BB90" s="428"/>
      <c r="BC90" s="428"/>
      <c r="BD90" s="428"/>
      <c r="BE90" s="428"/>
      <c r="BF90" s="409"/>
    </row>
    <row r="93" spans="8:58" x14ac:dyDescent="0.4">
      <c r="H93" s="429" t="s">
        <v>715</v>
      </c>
      <c r="I93" s="430"/>
      <c r="J93" s="430"/>
      <c r="K93" s="430"/>
      <c r="L93" s="430"/>
      <c r="M93" s="430"/>
      <c r="N93" s="430"/>
      <c r="O93" s="430"/>
      <c r="P93" s="430"/>
      <c r="Q93" s="430"/>
      <c r="R93" s="430"/>
      <c r="S93" s="430"/>
      <c r="T93" s="430"/>
      <c r="U93" s="430"/>
      <c r="V93" s="430"/>
      <c r="W93" s="430"/>
      <c r="X93" s="430"/>
      <c r="Y93" s="430"/>
      <c r="Z93" s="430"/>
      <c r="AA93" s="430"/>
      <c r="AB93" s="430"/>
      <c r="AC93" s="430"/>
      <c r="AD93" s="430"/>
      <c r="AE93" s="430"/>
      <c r="AF93" s="430"/>
      <c r="AG93" s="430"/>
      <c r="AH93" s="430"/>
      <c r="AI93" s="430"/>
      <c r="AJ93" s="430"/>
      <c r="AK93" s="430"/>
      <c r="AL93" s="430"/>
      <c r="AM93" s="430"/>
      <c r="AN93" s="430"/>
      <c r="AO93" s="430"/>
      <c r="AP93" s="430"/>
      <c r="AQ93" s="430"/>
      <c r="AR93" s="430"/>
      <c r="AS93" s="430"/>
      <c r="AT93" s="430"/>
      <c r="AU93" s="430"/>
      <c r="AV93" s="430"/>
      <c r="AW93" s="430"/>
      <c r="AX93" s="430"/>
      <c r="AY93" s="430"/>
      <c r="AZ93" s="430"/>
      <c r="BA93" s="430"/>
      <c r="BB93" s="430"/>
      <c r="BC93" s="430"/>
      <c r="BD93" s="430"/>
      <c r="BE93" s="430"/>
      <c r="BF93" s="431"/>
    </row>
    <row r="94" spans="8:58" x14ac:dyDescent="0.4">
      <c r="H94" s="220" t="s">
        <v>419</v>
      </c>
      <c r="I94" s="220"/>
      <c r="J94" s="220"/>
      <c r="K94" s="220"/>
      <c r="L94" s="220"/>
      <c r="M94" s="220"/>
      <c r="N94" s="220"/>
      <c r="O94" s="220"/>
      <c r="P94" s="220"/>
      <c r="Q94" s="220"/>
      <c r="R94" s="220" t="s">
        <v>1</v>
      </c>
      <c r="S94" s="220"/>
      <c r="T94" s="220"/>
      <c r="U94" s="220"/>
      <c r="V94" s="220"/>
      <c r="W94" s="220"/>
      <c r="X94" s="220"/>
      <c r="Y94" s="220"/>
      <c r="Z94" s="220"/>
      <c r="AA94" s="220"/>
      <c r="AB94" s="221" t="s">
        <v>420</v>
      </c>
      <c r="AC94" s="222"/>
      <c r="AD94" s="221" t="s">
        <v>421</v>
      </c>
      <c r="AE94" s="223"/>
      <c r="AF94" s="223"/>
      <c r="AG94" s="222"/>
      <c r="AH94" s="224" t="s">
        <v>422</v>
      </c>
      <c r="AI94" s="224"/>
      <c r="AJ94" s="220" t="s">
        <v>423</v>
      </c>
      <c r="AK94" s="220"/>
      <c r="AL94" s="220"/>
      <c r="AM94" s="220"/>
      <c r="AN94" s="220"/>
      <c r="AO94" s="220"/>
      <c r="AP94" s="220"/>
      <c r="AQ94" s="220"/>
      <c r="AR94" s="220"/>
      <c r="AS94" s="220"/>
      <c r="AT94" s="220"/>
      <c r="AU94" s="220"/>
      <c r="AV94" s="220"/>
      <c r="AW94" s="220"/>
      <c r="AX94" s="220"/>
      <c r="AY94" s="220"/>
      <c r="AZ94" s="220"/>
      <c r="BA94" s="220"/>
      <c r="BB94" s="220"/>
      <c r="BC94" s="220"/>
      <c r="BD94" s="220"/>
      <c r="BE94" s="220"/>
      <c r="BF94" s="220"/>
    </row>
    <row r="95" spans="8:58" x14ac:dyDescent="0.4">
      <c r="H95" s="177" t="s">
        <v>716</v>
      </c>
      <c r="I95" s="177"/>
      <c r="J95" s="177"/>
      <c r="K95" s="177"/>
      <c r="L95" s="177"/>
      <c r="M95" s="177"/>
      <c r="N95" s="177"/>
      <c r="O95" s="177"/>
      <c r="P95" s="177"/>
      <c r="Q95" s="177"/>
      <c r="R95" s="177" t="s">
        <v>717</v>
      </c>
      <c r="S95" s="177"/>
      <c r="T95" s="177"/>
      <c r="U95" s="177"/>
      <c r="V95" s="177"/>
      <c r="W95" s="177"/>
      <c r="X95" s="177"/>
      <c r="Y95" s="177"/>
      <c r="Z95" s="177"/>
      <c r="AA95" s="177"/>
      <c r="AB95" s="207" t="s">
        <v>429</v>
      </c>
      <c r="AC95" s="208"/>
      <c r="AD95" s="208" t="s">
        <v>430</v>
      </c>
      <c r="AE95" s="208"/>
      <c r="AF95" s="208"/>
      <c r="AG95" s="208"/>
      <c r="AH95" s="178" t="s">
        <v>428</v>
      </c>
      <c r="AI95" s="178"/>
      <c r="AJ95" s="212" t="s">
        <v>718</v>
      </c>
      <c r="AK95" s="212"/>
      <c r="AL95" s="212"/>
      <c r="AM95" s="212"/>
      <c r="AN95" s="212"/>
      <c r="AO95" s="212"/>
      <c r="AP95" s="212"/>
      <c r="AQ95" s="212"/>
      <c r="AR95" s="212"/>
      <c r="AS95" s="212"/>
      <c r="AT95" s="212"/>
      <c r="AU95" s="212"/>
      <c r="AV95" s="212"/>
      <c r="AW95" s="212"/>
      <c r="AX95" s="212"/>
      <c r="AY95" s="212"/>
      <c r="AZ95" s="212"/>
      <c r="BA95" s="212"/>
      <c r="BB95" s="212"/>
      <c r="BC95" s="212"/>
      <c r="BD95" s="212"/>
      <c r="BE95" s="212"/>
      <c r="BF95" s="212"/>
    </row>
    <row r="96" spans="8:58" ht="18.75" customHeight="1" x14ac:dyDescent="0.4">
      <c r="H96" s="177"/>
      <c r="I96" s="177"/>
      <c r="J96" s="177"/>
      <c r="K96" s="177"/>
      <c r="L96" s="177"/>
      <c r="M96" s="177"/>
      <c r="N96" s="177"/>
      <c r="O96" s="177"/>
      <c r="P96" s="177"/>
      <c r="Q96" s="177"/>
      <c r="R96" s="177"/>
      <c r="S96" s="177"/>
      <c r="T96" s="177"/>
      <c r="U96" s="177"/>
      <c r="V96" s="177"/>
      <c r="W96" s="177"/>
      <c r="X96" s="177"/>
      <c r="Y96" s="177"/>
      <c r="Z96" s="177"/>
      <c r="AA96" s="177"/>
      <c r="AB96" s="207"/>
      <c r="AC96" s="208"/>
      <c r="AD96" s="208"/>
      <c r="AE96" s="208"/>
      <c r="AF96" s="208"/>
      <c r="AG96" s="208"/>
      <c r="AH96" s="178"/>
      <c r="AI96" s="178"/>
      <c r="AJ96" s="212"/>
      <c r="AK96" s="212"/>
      <c r="AL96" s="212"/>
      <c r="AM96" s="212"/>
      <c r="AN96" s="212"/>
      <c r="AO96" s="212"/>
      <c r="AP96" s="212"/>
      <c r="AQ96" s="212"/>
      <c r="AR96" s="212"/>
      <c r="AS96" s="212"/>
      <c r="AT96" s="212"/>
      <c r="AU96" s="212"/>
      <c r="AV96" s="212"/>
      <c r="AW96" s="212"/>
      <c r="AX96" s="212"/>
      <c r="AY96" s="212"/>
      <c r="AZ96" s="212"/>
      <c r="BA96" s="212"/>
      <c r="BB96" s="212"/>
      <c r="BC96" s="212"/>
      <c r="BD96" s="212"/>
      <c r="BE96" s="212"/>
      <c r="BF96" s="212"/>
    </row>
    <row r="97" spans="8:58" x14ac:dyDescent="0.4">
      <c r="H97" s="177"/>
      <c r="I97" s="177"/>
      <c r="J97" s="177"/>
      <c r="K97" s="177"/>
      <c r="L97" s="177"/>
      <c r="M97" s="177"/>
      <c r="N97" s="177"/>
      <c r="O97" s="177"/>
      <c r="P97" s="177"/>
      <c r="Q97" s="177"/>
      <c r="R97" s="177"/>
      <c r="S97" s="177"/>
      <c r="T97" s="177"/>
      <c r="U97" s="177"/>
      <c r="V97" s="177"/>
      <c r="W97" s="177"/>
      <c r="X97" s="177"/>
      <c r="Y97" s="177"/>
      <c r="Z97" s="177"/>
      <c r="AA97" s="177"/>
      <c r="AB97" s="425" t="s">
        <v>431</v>
      </c>
      <c r="AC97" s="231"/>
      <c r="AD97" s="230" t="s">
        <v>688</v>
      </c>
      <c r="AE97" s="425"/>
      <c r="AF97" s="425"/>
      <c r="AG97" s="231"/>
      <c r="AH97" s="235" t="s">
        <v>428</v>
      </c>
      <c r="AI97" s="235"/>
      <c r="AJ97" s="433" t="s">
        <v>719</v>
      </c>
      <c r="AK97" s="433"/>
      <c r="AL97" s="433"/>
      <c r="AM97" s="433"/>
      <c r="AN97" s="433"/>
      <c r="AO97" s="433"/>
      <c r="AP97" s="433"/>
      <c r="AQ97" s="433"/>
      <c r="AR97" s="433"/>
      <c r="AS97" s="433"/>
      <c r="AT97" s="433"/>
      <c r="AU97" s="433"/>
      <c r="AV97" s="433"/>
      <c r="AW97" s="433"/>
      <c r="AX97" s="433"/>
      <c r="AY97" s="433"/>
      <c r="AZ97" s="433"/>
      <c r="BA97" s="433"/>
      <c r="BB97" s="433"/>
      <c r="BC97" s="433"/>
      <c r="BD97" s="433"/>
      <c r="BE97" s="433"/>
      <c r="BF97" s="433"/>
    </row>
    <row r="98" spans="8:58" ht="18.75" customHeight="1" x14ac:dyDescent="0.4">
      <c r="H98" s="177"/>
      <c r="I98" s="177"/>
      <c r="J98" s="177"/>
      <c r="K98" s="177"/>
      <c r="L98" s="177"/>
      <c r="M98" s="177"/>
      <c r="N98" s="177"/>
      <c r="O98" s="177"/>
      <c r="P98" s="177"/>
      <c r="Q98" s="177"/>
      <c r="R98" s="177"/>
      <c r="S98" s="177"/>
      <c r="T98" s="177"/>
      <c r="U98" s="177"/>
      <c r="V98" s="177"/>
      <c r="W98" s="177"/>
      <c r="X98" s="177"/>
      <c r="Y98" s="177"/>
      <c r="Z98" s="177"/>
      <c r="AA98" s="177"/>
      <c r="AB98" s="243" t="s">
        <v>432</v>
      </c>
      <c r="AC98" s="244"/>
      <c r="AD98" s="248" t="s">
        <v>433</v>
      </c>
      <c r="AE98" s="243"/>
      <c r="AF98" s="243"/>
      <c r="AG98" s="244"/>
      <c r="AH98" s="233" t="s">
        <v>428</v>
      </c>
      <c r="AI98" s="233"/>
      <c r="AJ98" s="242" t="s">
        <v>720</v>
      </c>
      <c r="AK98" s="242"/>
      <c r="AL98" s="242"/>
      <c r="AM98" s="242"/>
      <c r="AN98" s="242"/>
      <c r="AO98" s="242"/>
      <c r="AP98" s="242"/>
      <c r="AQ98" s="242"/>
      <c r="AR98" s="242"/>
      <c r="AS98" s="242"/>
      <c r="AT98" s="242"/>
      <c r="AU98" s="242"/>
      <c r="AV98" s="242"/>
      <c r="AW98" s="242"/>
      <c r="AX98" s="242"/>
      <c r="AY98" s="242"/>
      <c r="AZ98" s="242"/>
      <c r="BA98" s="242"/>
      <c r="BB98" s="242"/>
      <c r="BC98" s="242"/>
      <c r="BD98" s="242"/>
      <c r="BE98" s="242"/>
      <c r="BF98" s="242"/>
    </row>
    <row r="99" spans="8:58" x14ac:dyDescent="0.4">
      <c r="H99" s="177"/>
      <c r="I99" s="177"/>
      <c r="J99" s="177"/>
      <c r="K99" s="177"/>
      <c r="L99" s="177"/>
      <c r="M99" s="177"/>
      <c r="N99" s="177"/>
      <c r="O99" s="177"/>
      <c r="P99" s="177"/>
      <c r="Q99" s="177"/>
      <c r="R99" s="177"/>
      <c r="S99" s="177"/>
      <c r="T99" s="177"/>
      <c r="U99" s="177"/>
      <c r="V99" s="177"/>
      <c r="W99" s="177"/>
      <c r="X99" s="177"/>
      <c r="Y99" s="177"/>
      <c r="Z99" s="177"/>
      <c r="AA99" s="177"/>
      <c r="AB99" s="243" t="s">
        <v>434</v>
      </c>
      <c r="AC99" s="244"/>
      <c r="AD99" s="248" t="s">
        <v>435</v>
      </c>
      <c r="AE99" s="243"/>
      <c r="AF99" s="243"/>
      <c r="AG99" s="244"/>
      <c r="AH99" s="233" t="s">
        <v>428</v>
      </c>
      <c r="AI99" s="233"/>
      <c r="AJ99" s="242" t="s">
        <v>721</v>
      </c>
      <c r="AK99" s="242"/>
      <c r="AL99" s="242"/>
      <c r="AM99" s="242"/>
      <c r="AN99" s="242"/>
      <c r="AO99" s="242"/>
      <c r="AP99" s="242"/>
      <c r="AQ99" s="242"/>
      <c r="AR99" s="242"/>
      <c r="AS99" s="242"/>
      <c r="AT99" s="242"/>
      <c r="AU99" s="242"/>
      <c r="AV99" s="242"/>
      <c r="AW99" s="242"/>
      <c r="AX99" s="242"/>
      <c r="AY99" s="242"/>
      <c r="AZ99" s="242"/>
      <c r="BA99" s="242"/>
      <c r="BB99" s="242"/>
      <c r="BC99" s="242"/>
      <c r="BD99" s="242"/>
      <c r="BE99" s="242"/>
      <c r="BF99" s="242"/>
    </row>
    <row r="100" spans="8:58" x14ac:dyDescent="0.4">
      <c r="H100" s="177"/>
      <c r="I100" s="177"/>
      <c r="J100" s="177"/>
      <c r="K100" s="177"/>
      <c r="L100" s="177"/>
      <c r="M100" s="177"/>
      <c r="N100" s="177"/>
      <c r="O100" s="177"/>
      <c r="P100" s="177"/>
      <c r="Q100" s="177"/>
      <c r="R100" s="177"/>
      <c r="S100" s="177"/>
      <c r="T100" s="177"/>
      <c r="U100" s="177"/>
      <c r="V100" s="177"/>
      <c r="W100" s="177"/>
      <c r="X100" s="177"/>
      <c r="Y100" s="177"/>
      <c r="Z100" s="177"/>
      <c r="AA100" s="177"/>
      <c r="AB100" s="238" t="s">
        <v>436</v>
      </c>
      <c r="AC100" s="239"/>
      <c r="AD100" s="238" t="s">
        <v>437</v>
      </c>
      <c r="AE100" s="240"/>
      <c r="AF100" s="240"/>
      <c r="AG100" s="239"/>
      <c r="AH100" s="241" t="s">
        <v>428</v>
      </c>
      <c r="AI100" s="241"/>
      <c r="AJ100" s="245" t="s">
        <v>722</v>
      </c>
      <c r="AK100" s="246"/>
      <c r="AL100" s="246"/>
      <c r="AM100" s="246"/>
      <c r="AN100" s="246"/>
      <c r="AO100" s="246"/>
      <c r="AP100" s="246"/>
      <c r="AQ100" s="246"/>
      <c r="AR100" s="246"/>
      <c r="AS100" s="246"/>
      <c r="AT100" s="246"/>
      <c r="AU100" s="246"/>
      <c r="AV100" s="246"/>
      <c r="AW100" s="246"/>
      <c r="AX100" s="246"/>
      <c r="AY100" s="246"/>
      <c r="AZ100" s="246"/>
      <c r="BA100" s="246"/>
      <c r="BB100" s="246"/>
      <c r="BC100" s="246"/>
      <c r="BD100" s="246"/>
      <c r="BE100" s="246"/>
      <c r="BF100" s="247"/>
    </row>
    <row r="101" spans="8:58" ht="18.75" customHeight="1" x14ac:dyDescent="0.4">
      <c r="H101" s="177"/>
      <c r="I101" s="177"/>
      <c r="J101" s="177"/>
      <c r="K101" s="177"/>
      <c r="L101" s="177"/>
      <c r="M101" s="177"/>
      <c r="N101" s="177"/>
      <c r="O101" s="177"/>
      <c r="P101" s="177"/>
      <c r="Q101" s="177"/>
      <c r="R101" s="177"/>
      <c r="S101" s="177"/>
      <c r="T101" s="177"/>
      <c r="U101" s="177"/>
      <c r="V101" s="177"/>
      <c r="W101" s="177"/>
      <c r="X101" s="177"/>
      <c r="Y101" s="177"/>
      <c r="Z101" s="177"/>
      <c r="AA101" s="177"/>
      <c r="AB101" s="248" t="s">
        <v>438</v>
      </c>
      <c r="AC101" s="244"/>
      <c r="AD101" s="248" t="s">
        <v>439</v>
      </c>
      <c r="AE101" s="243"/>
      <c r="AF101" s="243"/>
      <c r="AG101" s="244"/>
      <c r="AH101" s="233" t="s">
        <v>428</v>
      </c>
      <c r="AI101" s="233"/>
      <c r="AJ101" s="242" t="s">
        <v>770</v>
      </c>
      <c r="AK101" s="242"/>
      <c r="AL101" s="242"/>
      <c r="AM101" s="242"/>
      <c r="AN101" s="242"/>
      <c r="AO101" s="242"/>
      <c r="AP101" s="242"/>
      <c r="AQ101" s="242"/>
      <c r="AR101" s="242"/>
      <c r="AS101" s="242"/>
      <c r="AT101" s="242"/>
      <c r="AU101" s="242"/>
      <c r="AV101" s="242"/>
      <c r="AW101" s="242"/>
      <c r="AX101" s="242"/>
      <c r="AY101" s="242"/>
      <c r="AZ101" s="242"/>
      <c r="BA101" s="242"/>
      <c r="BB101" s="242"/>
      <c r="BC101" s="242"/>
      <c r="BD101" s="242"/>
      <c r="BE101" s="242"/>
      <c r="BF101" s="242"/>
    </row>
    <row r="102" spans="8:58" ht="18.75" customHeight="1" x14ac:dyDescent="0.4">
      <c r="H102" s="177"/>
      <c r="I102" s="177"/>
      <c r="J102" s="177"/>
      <c r="K102" s="177"/>
      <c r="L102" s="177"/>
      <c r="M102" s="177"/>
      <c r="N102" s="177"/>
      <c r="O102" s="177"/>
      <c r="P102" s="177"/>
      <c r="Q102" s="177"/>
      <c r="R102" s="177"/>
      <c r="S102" s="177"/>
      <c r="T102" s="177"/>
      <c r="U102" s="177"/>
      <c r="V102" s="177"/>
      <c r="W102" s="177"/>
      <c r="X102" s="177"/>
      <c r="Y102" s="177"/>
      <c r="Z102" s="177"/>
      <c r="AA102" s="177"/>
      <c r="AB102" s="238" t="s">
        <v>440</v>
      </c>
      <c r="AC102" s="239"/>
      <c r="AD102" s="238" t="s">
        <v>441</v>
      </c>
      <c r="AE102" s="240"/>
      <c r="AF102" s="240"/>
      <c r="AG102" s="239"/>
      <c r="AH102" s="241" t="s">
        <v>428</v>
      </c>
      <c r="AI102" s="241"/>
      <c r="AJ102" s="245" t="s">
        <v>771</v>
      </c>
      <c r="AK102" s="246"/>
      <c r="AL102" s="246"/>
      <c r="AM102" s="246"/>
      <c r="AN102" s="246"/>
      <c r="AO102" s="246"/>
      <c r="AP102" s="246"/>
      <c r="AQ102" s="246"/>
      <c r="AR102" s="246"/>
      <c r="AS102" s="246"/>
      <c r="AT102" s="246"/>
      <c r="AU102" s="246"/>
      <c r="AV102" s="246"/>
      <c r="AW102" s="246"/>
      <c r="AX102" s="246"/>
      <c r="AY102" s="246"/>
      <c r="AZ102" s="246"/>
      <c r="BA102" s="246"/>
      <c r="BB102" s="246"/>
      <c r="BC102" s="246"/>
      <c r="BD102" s="246"/>
      <c r="BE102" s="246"/>
      <c r="BF102" s="247"/>
    </row>
    <row r="103" spans="8:58" x14ac:dyDescent="0.4">
      <c r="H103" s="177"/>
      <c r="I103" s="177"/>
      <c r="J103" s="177"/>
      <c r="K103" s="177"/>
      <c r="L103" s="177"/>
      <c r="M103" s="177"/>
      <c r="N103" s="177"/>
      <c r="O103" s="177"/>
      <c r="P103" s="177"/>
      <c r="Q103" s="177"/>
      <c r="R103" s="177"/>
      <c r="S103" s="177"/>
      <c r="T103" s="177"/>
      <c r="U103" s="177"/>
      <c r="V103" s="177"/>
      <c r="W103" s="177"/>
      <c r="X103" s="177"/>
      <c r="Y103" s="177"/>
      <c r="Z103" s="177"/>
      <c r="AA103" s="177"/>
      <c r="AB103" s="199" t="s">
        <v>447</v>
      </c>
      <c r="AC103" s="200"/>
      <c r="AD103" s="201" t="s">
        <v>245</v>
      </c>
      <c r="AE103" s="199"/>
      <c r="AF103" s="199"/>
      <c r="AG103" s="200"/>
      <c r="AH103" s="202" t="s">
        <v>245</v>
      </c>
      <c r="AI103" s="203"/>
      <c r="AJ103" s="204" t="s">
        <v>244</v>
      </c>
      <c r="AK103" s="205"/>
      <c r="AL103" s="205"/>
      <c r="AM103" s="205"/>
      <c r="AN103" s="205"/>
      <c r="AO103" s="205"/>
      <c r="AP103" s="205"/>
      <c r="AQ103" s="205"/>
      <c r="AR103" s="205"/>
      <c r="AS103" s="205"/>
      <c r="AT103" s="205"/>
      <c r="AU103" s="205"/>
      <c r="AV103" s="205"/>
      <c r="AW103" s="205"/>
      <c r="AX103" s="205"/>
      <c r="AY103" s="205"/>
      <c r="AZ103" s="205"/>
      <c r="BA103" s="205"/>
      <c r="BB103" s="205"/>
      <c r="BC103" s="205"/>
      <c r="BD103" s="205"/>
      <c r="BE103" s="205"/>
      <c r="BF103" s="206"/>
    </row>
    <row r="104" spans="8:58" x14ac:dyDescent="0.4">
      <c r="H104" s="235" t="s">
        <v>723</v>
      </c>
      <c r="I104" s="235"/>
      <c r="J104" s="235"/>
      <c r="K104" s="235"/>
      <c r="L104" s="235"/>
      <c r="M104" s="235"/>
      <c r="N104" s="235"/>
      <c r="O104" s="235"/>
      <c r="P104" s="235"/>
      <c r="Q104" s="235"/>
      <c r="R104" s="236" t="s">
        <v>724</v>
      </c>
      <c r="S104" s="236"/>
      <c r="T104" s="236"/>
      <c r="U104" s="236"/>
      <c r="V104" s="236"/>
      <c r="W104" s="236"/>
      <c r="X104" s="236"/>
      <c r="Y104" s="236"/>
      <c r="Z104" s="236"/>
      <c r="AA104" s="236"/>
      <c r="AB104" s="226" t="s">
        <v>429</v>
      </c>
      <c r="AC104" s="227"/>
      <c r="AD104" s="426" t="s">
        <v>442</v>
      </c>
      <c r="AE104" s="426"/>
      <c r="AF104" s="426"/>
      <c r="AG104" s="426"/>
      <c r="AH104" s="233" t="s">
        <v>427</v>
      </c>
      <c r="AI104" s="233"/>
      <c r="AJ104" s="234" t="s">
        <v>725</v>
      </c>
      <c r="AK104" s="234"/>
      <c r="AL104" s="234"/>
      <c r="AM104" s="234"/>
      <c r="AN104" s="234"/>
      <c r="AO104" s="234"/>
      <c r="AP104" s="234"/>
      <c r="AQ104" s="234"/>
      <c r="AR104" s="234"/>
      <c r="AS104" s="234"/>
      <c r="AT104" s="234"/>
      <c r="AU104" s="234"/>
      <c r="AV104" s="234"/>
      <c r="AW104" s="234"/>
      <c r="AX104" s="234"/>
      <c r="AY104" s="234"/>
      <c r="AZ104" s="234"/>
      <c r="BA104" s="234"/>
      <c r="BB104" s="234"/>
      <c r="BC104" s="234"/>
      <c r="BD104" s="234"/>
      <c r="BE104" s="234"/>
      <c r="BF104" s="234"/>
    </row>
    <row r="105" spans="8:58" x14ac:dyDescent="0.4">
      <c r="H105" s="233"/>
      <c r="I105" s="233"/>
      <c r="J105" s="233"/>
      <c r="K105" s="233"/>
      <c r="L105" s="233"/>
      <c r="M105" s="233"/>
      <c r="N105" s="233"/>
      <c r="O105" s="233"/>
      <c r="P105" s="233"/>
      <c r="Q105" s="233"/>
      <c r="R105" s="237"/>
      <c r="S105" s="237"/>
      <c r="T105" s="237"/>
      <c r="U105" s="237"/>
      <c r="V105" s="237"/>
      <c r="W105" s="237"/>
      <c r="X105" s="237"/>
      <c r="Y105" s="237"/>
      <c r="Z105" s="237"/>
      <c r="AA105" s="237"/>
      <c r="AB105" s="230"/>
      <c r="AC105" s="231"/>
      <c r="AD105" s="426"/>
      <c r="AE105" s="426"/>
      <c r="AF105" s="426"/>
      <c r="AG105" s="426"/>
      <c r="AH105" s="233"/>
      <c r="AI105" s="233"/>
      <c r="AJ105" s="234"/>
      <c r="AK105" s="234"/>
      <c r="AL105" s="234"/>
      <c r="AM105" s="234"/>
      <c r="AN105" s="234"/>
      <c r="AO105" s="234"/>
      <c r="AP105" s="234"/>
      <c r="AQ105" s="234"/>
      <c r="AR105" s="234"/>
      <c r="AS105" s="234"/>
      <c r="AT105" s="234"/>
      <c r="AU105" s="234"/>
      <c r="AV105" s="234"/>
      <c r="AW105" s="234"/>
      <c r="AX105" s="234"/>
      <c r="AY105" s="234"/>
      <c r="AZ105" s="234"/>
      <c r="BA105" s="234"/>
      <c r="BB105" s="234"/>
      <c r="BC105" s="234"/>
      <c r="BD105" s="234"/>
      <c r="BE105" s="234"/>
      <c r="BF105" s="234"/>
    </row>
    <row r="106" spans="8:58" x14ac:dyDescent="0.4">
      <c r="H106" s="233"/>
      <c r="I106" s="233"/>
      <c r="J106" s="233"/>
      <c r="K106" s="233"/>
      <c r="L106" s="233"/>
      <c r="M106" s="233"/>
      <c r="N106" s="233"/>
      <c r="O106" s="233"/>
      <c r="P106" s="233"/>
      <c r="Q106" s="233"/>
      <c r="R106" s="237"/>
      <c r="S106" s="237"/>
      <c r="T106" s="237"/>
      <c r="U106" s="237"/>
      <c r="V106" s="237"/>
      <c r="W106" s="237"/>
      <c r="X106" s="237"/>
      <c r="Y106" s="237"/>
      <c r="Z106" s="237"/>
      <c r="AA106" s="237"/>
      <c r="AB106" s="226" t="s">
        <v>431</v>
      </c>
      <c r="AC106" s="227"/>
      <c r="AD106" s="426" t="s">
        <v>443</v>
      </c>
      <c r="AE106" s="426"/>
      <c r="AF106" s="426"/>
      <c r="AG106" s="426"/>
      <c r="AH106" s="233" t="s">
        <v>444</v>
      </c>
      <c r="AI106" s="233"/>
      <c r="AJ106" s="234" t="s">
        <v>878</v>
      </c>
      <c r="AK106" s="234"/>
      <c r="AL106" s="234"/>
      <c r="AM106" s="234"/>
      <c r="AN106" s="234"/>
      <c r="AO106" s="234"/>
      <c r="AP106" s="234"/>
      <c r="AQ106" s="234"/>
      <c r="AR106" s="234"/>
      <c r="AS106" s="234"/>
      <c r="AT106" s="234"/>
      <c r="AU106" s="234"/>
      <c r="AV106" s="234"/>
      <c r="AW106" s="234"/>
      <c r="AX106" s="234"/>
      <c r="AY106" s="234"/>
      <c r="AZ106" s="234"/>
      <c r="BA106" s="234"/>
      <c r="BB106" s="234"/>
      <c r="BC106" s="234"/>
      <c r="BD106" s="234"/>
      <c r="BE106" s="234"/>
      <c r="BF106" s="234"/>
    </row>
    <row r="107" spans="8:58" x14ac:dyDescent="0.4">
      <c r="H107" s="233"/>
      <c r="I107" s="233"/>
      <c r="J107" s="233"/>
      <c r="K107" s="233"/>
      <c r="L107" s="233"/>
      <c r="M107" s="233"/>
      <c r="N107" s="233"/>
      <c r="O107" s="233"/>
      <c r="P107" s="233"/>
      <c r="Q107" s="233"/>
      <c r="R107" s="237"/>
      <c r="S107" s="237"/>
      <c r="T107" s="237"/>
      <c r="U107" s="237"/>
      <c r="V107" s="237"/>
      <c r="W107" s="237"/>
      <c r="X107" s="237"/>
      <c r="Y107" s="237"/>
      <c r="Z107" s="237"/>
      <c r="AA107" s="237"/>
      <c r="AB107" s="230"/>
      <c r="AC107" s="231"/>
      <c r="AD107" s="426"/>
      <c r="AE107" s="426"/>
      <c r="AF107" s="426"/>
      <c r="AG107" s="426"/>
      <c r="AH107" s="233"/>
      <c r="AI107" s="233"/>
      <c r="AJ107" s="234"/>
      <c r="AK107" s="234"/>
      <c r="AL107" s="234"/>
      <c r="AM107" s="234"/>
      <c r="AN107" s="234"/>
      <c r="AO107" s="234"/>
      <c r="AP107" s="234"/>
      <c r="AQ107" s="234"/>
      <c r="AR107" s="234"/>
      <c r="AS107" s="234"/>
      <c r="AT107" s="234"/>
      <c r="AU107" s="234"/>
      <c r="AV107" s="234"/>
      <c r="AW107" s="234"/>
      <c r="AX107" s="234"/>
      <c r="AY107" s="234"/>
      <c r="AZ107" s="234"/>
      <c r="BA107" s="234"/>
      <c r="BB107" s="234"/>
      <c r="BC107" s="234"/>
      <c r="BD107" s="234"/>
      <c r="BE107" s="234"/>
      <c r="BF107" s="234"/>
    </row>
    <row r="108" spans="8:58" x14ac:dyDescent="0.4">
      <c r="H108" s="233"/>
      <c r="I108" s="233"/>
      <c r="J108" s="233"/>
      <c r="K108" s="233"/>
      <c r="L108" s="233"/>
      <c r="M108" s="233"/>
      <c r="N108" s="233"/>
      <c r="O108" s="233"/>
      <c r="P108" s="233"/>
      <c r="Q108" s="233"/>
      <c r="R108" s="237"/>
      <c r="S108" s="237"/>
      <c r="T108" s="237"/>
      <c r="U108" s="237"/>
      <c r="V108" s="237"/>
      <c r="W108" s="237"/>
      <c r="X108" s="237"/>
      <c r="Y108" s="237"/>
      <c r="Z108" s="237"/>
      <c r="AA108" s="237"/>
      <c r="AB108" s="226" t="s">
        <v>432</v>
      </c>
      <c r="AC108" s="227"/>
      <c r="AD108" s="426" t="s">
        <v>702</v>
      </c>
      <c r="AE108" s="426"/>
      <c r="AF108" s="426"/>
      <c r="AG108" s="426"/>
      <c r="AH108" s="233" t="s">
        <v>427</v>
      </c>
      <c r="AI108" s="233"/>
      <c r="AJ108" s="234" t="s">
        <v>726</v>
      </c>
      <c r="AK108" s="234"/>
      <c r="AL108" s="234"/>
      <c r="AM108" s="234"/>
      <c r="AN108" s="234"/>
      <c r="AO108" s="234"/>
      <c r="AP108" s="234"/>
      <c r="AQ108" s="234"/>
      <c r="AR108" s="234"/>
      <c r="AS108" s="234"/>
      <c r="AT108" s="234"/>
      <c r="AU108" s="234"/>
      <c r="AV108" s="234"/>
      <c r="AW108" s="234"/>
      <c r="AX108" s="234"/>
      <c r="AY108" s="234"/>
      <c r="AZ108" s="234"/>
      <c r="BA108" s="234"/>
      <c r="BB108" s="234"/>
      <c r="BC108" s="234"/>
      <c r="BD108" s="234"/>
      <c r="BE108" s="234"/>
      <c r="BF108" s="234"/>
    </row>
    <row r="109" spans="8:58" x14ac:dyDescent="0.4">
      <c r="H109" s="233"/>
      <c r="I109" s="233"/>
      <c r="J109" s="233"/>
      <c r="K109" s="233"/>
      <c r="L109" s="233"/>
      <c r="M109" s="233"/>
      <c r="N109" s="233"/>
      <c r="O109" s="233"/>
      <c r="P109" s="233"/>
      <c r="Q109" s="233"/>
      <c r="R109" s="237"/>
      <c r="S109" s="237"/>
      <c r="T109" s="237"/>
      <c r="U109" s="237"/>
      <c r="V109" s="237"/>
      <c r="W109" s="237"/>
      <c r="X109" s="237"/>
      <c r="Y109" s="237"/>
      <c r="Z109" s="237"/>
      <c r="AA109" s="237"/>
      <c r="AB109" s="230"/>
      <c r="AC109" s="231"/>
      <c r="AD109" s="426"/>
      <c r="AE109" s="426"/>
      <c r="AF109" s="426"/>
      <c r="AG109" s="426"/>
      <c r="AH109" s="233"/>
      <c r="AI109" s="233"/>
      <c r="AJ109" s="234"/>
      <c r="AK109" s="234"/>
      <c r="AL109" s="234"/>
      <c r="AM109" s="234"/>
      <c r="AN109" s="234"/>
      <c r="AO109" s="234"/>
      <c r="AP109" s="234"/>
      <c r="AQ109" s="234"/>
      <c r="AR109" s="234"/>
      <c r="AS109" s="234"/>
      <c r="AT109" s="234"/>
      <c r="AU109" s="234"/>
      <c r="AV109" s="234"/>
      <c r="AW109" s="234"/>
      <c r="AX109" s="234"/>
      <c r="AY109" s="234"/>
      <c r="AZ109" s="234"/>
      <c r="BA109" s="234"/>
      <c r="BB109" s="234"/>
      <c r="BC109" s="234"/>
      <c r="BD109" s="234"/>
      <c r="BE109" s="234"/>
      <c r="BF109" s="234"/>
    </row>
    <row r="110" spans="8:58" x14ac:dyDescent="0.4">
      <c r="H110" s="233"/>
      <c r="I110" s="233"/>
      <c r="J110" s="233"/>
      <c r="K110" s="233"/>
      <c r="L110" s="233"/>
      <c r="M110" s="233"/>
      <c r="N110" s="233"/>
      <c r="O110" s="233"/>
      <c r="P110" s="233"/>
      <c r="Q110" s="233"/>
      <c r="R110" s="237"/>
      <c r="S110" s="237"/>
      <c r="T110" s="237"/>
      <c r="U110" s="237"/>
      <c r="V110" s="237"/>
      <c r="W110" s="237"/>
      <c r="X110" s="237"/>
      <c r="Y110" s="237"/>
      <c r="Z110" s="237"/>
      <c r="AA110" s="237"/>
      <c r="AB110" s="226" t="s">
        <v>434</v>
      </c>
      <c r="AC110" s="227"/>
      <c r="AD110" s="426" t="s">
        <v>445</v>
      </c>
      <c r="AE110" s="426"/>
      <c r="AF110" s="426"/>
      <c r="AG110" s="426"/>
      <c r="AH110" s="233" t="s">
        <v>444</v>
      </c>
      <c r="AI110" s="233"/>
      <c r="AJ110" s="234" t="s">
        <v>727</v>
      </c>
      <c r="AK110" s="234"/>
      <c r="AL110" s="234"/>
      <c r="AM110" s="234"/>
      <c r="AN110" s="234"/>
      <c r="AO110" s="234"/>
      <c r="AP110" s="234"/>
      <c r="AQ110" s="234"/>
      <c r="AR110" s="234"/>
      <c r="AS110" s="234"/>
      <c r="AT110" s="234"/>
      <c r="AU110" s="234"/>
      <c r="AV110" s="234"/>
      <c r="AW110" s="234"/>
      <c r="AX110" s="234"/>
      <c r="AY110" s="234"/>
      <c r="AZ110" s="234"/>
      <c r="BA110" s="234"/>
      <c r="BB110" s="234"/>
      <c r="BC110" s="234"/>
      <c r="BD110" s="234"/>
      <c r="BE110" s="234"/>
      <c r="BF110" s="234"/>
    </row>
    <row r="111" spans="8:58" x14ac:dyDescent="0.4">
      <c r="H111" s="233"/>
      <c r="I111" s="233"/>
      <c r="J111" s="233"/>
      <c r="K111" s="233"/>
      <c r="L111" s="233"/>
      <c r="M111" s="233"/>
      <c r="N111" s="233"/>
      <c r="O111" s="233"/>
      <c r="P111" s="233"/>
      <c r="Q111" s="233"/>
      <c r="R111" s="237"/>
      <c r="S111" s="237"/>
      <c r="T111" s="237"/>
      <c r="U111" s="237"/>
      <c r="V111" s="237"/>
      <c r="W111" s="237"/>
      <c r="X111" s="237"/>
      <c r="Y111" s="237"/>
      <c r="Z111" s="237"/>
      <c r="AA111" s="237"/>
      <c r="AB111" s="228"/>
      <c r="AC111" s="229"/>
      <c r="AD111" s="426"/>
      <c r="AE111" s="426"/>
      <c r="AF111" s="426"/>
      <c r="AG111" s="426"/>
      <c r="AH111" s="233"/>
      <c r="AI111" s="233"/>
      <c r="AJ111" s="234"/>
      <c r="AK111" s="234"/>
      <c r="AL111" s="234"/>
      <c r="AM111" s="234"/>
      <c r="AN111" s="234"/>
      <c r="AO111" s="234"/>
      <c r="AP111" s="234"/>
      <c r="AQ111" s="234"/>
      <c r="AR111" s="234"/>
      <c r="AS111" s="234"/>
      <c r="AT111" s="234"/>
      <c r="AU111" s="234"/>
      <c r="AV111" s="234"/>
      <c r="AW111" s="234"/>
      <c r="AX111" s="234"/>
      <c r="AY111" s="234"/>
      <c r="AZ111" s="234"/>
      <c r="BA111" s="234"/>
      <c r="BB111" s="234"/>
      <c r="BC111" s="234"/>
      <c r="BD111" s="234"/>
      <c r="BE111" s="234"/>
      <c r="BF111" s="234"/>
    </row>
    <row r="112" spans="8:58" x14ac:dyDescent="0.4">
      <c r="H112" s="233"/>
      <c r="I112" s="233"/>
      <c r="J112" s="233"/>
      <c r="K112" s="233"/>
      <c r="L112" s="233"/>
      <c r="M112" s="233"/>
      <c r="N112" s="233"/>
      <c r="O112" s="233"/>
      <c r="P112" s="233"/>
      <c r="Q112" s="233"/>
      <c r="R112" s="237"/>
      <c r="S112" s="237"/>
      <c r="T112" s="237"/>
      <c r="U112" s="237"/>
      <c r="V112" s="237"/>
      <c r="W112" s="237"/>
      <c r="X112" s="237"/>
      <c r="Y112" s="237"/>
      <c r="Z112" s="237"/>
      <c r="AA112" s="237"/>
      <c r="AB112" s="230"/>
      <c r="AC112" s="231"/>
      <c r="AD112" s="426"/>
      <c r="AE112" s="426"/>
      <c r="AF112" s="426"/>
      <c r="AG112" s="426"/>
      <c r="AH112" s="233"/>
      <c r="AI112" s="233"/>
      <c r="AJ112" s="234"/>
      <c r="AK112" s="234"/>
      <c r="AL112" s="234"/>
      <c r="AM112" s="234"/>
      <c r="AN112" s="234"/>
      <c r="AO112" s="234"/>
      <c r="AP112" s="234"/>
      <c r="AQ112" s="234"/>
      <c r="AR112" s="234"/>
      <c r="AS112" s="234"/>
      <c r="AT112" s="234"/>
      <c r="AU112" s="234"/>
      <c r="AV112" s="234"/>
      <c r="AW112" s="234"/>
      <c r="AX112" s="234"/>
      <c r="AY112" s="234"/>
      <c r="AZ112" s="234"/>
      <c r="BA112" s="234"/>
      <c r="BB112" s="234"/>
      <c r="BC112" s="234"/>
      <c r="BD112" s="234"/>
      <c r="BE112" s="234"/>
      <c r="BF112" s="234"/>
    </row>
    <row r="113" spans="8:58" x14ac:dyDescent="0.4">
      <c r="H113" s="233"/>
      <c r="I113" s="233"/>
      <c r="J113" s="233"/>
      <c r="K113" s="233"/>
      <c r="L113" s="233"/>
      <c r="M113" s="233"/>
      <c r="N113" s="233"/>
      <c r="O113" s="233"/>
      <c r="P113" s="233"/>
      <c r="Q113" s="233"/>
      <c r="R113" s="237"/>
      <c r="S113" s="237"/>
      <c r="T113" s="237"/>
      <c r="U113" s="237"/>
      <c r="V113" s="237"/>
      <c r="W113" s="237"/>
      <c r="X113" s="237"/>
      <c r="Y113" s="237"/>
      <c r="Z113" s="237"/>
      <c r="AA113" s="237"/>
      <c r="AB113" s="226" t="s">
        <v>436</v>
      </c>
      <c r="AC113" s="227"/>
      <c r="AD113" s="426" t="s">
        <v>446</v>
      </c>
      <c r="AE113" s="426"/>
      <c r="AF113" s="426"/>
      <c r="AG113" s="426"/>
      <c r="AH113" s="233" t="s">
        <v>427</v>
      </c>
      <c r="AI113" s="233"/>
      <c r="AJ113" s="234" t="s">
        <v>772</v>
      </c>
      <c r="AK113" s="234"/>
      <c r="AL113" s="234"/>
      <c r="AM113" s="234"/>
      <c r="AN113" s="234"/>
      <c r="AO113" s="234"/>
      <c r="AP113" s="234"/>
      <c r="AQ113" s="234"/>
      <c r="AR113" s="234"/>
      <c r="AS113" s="234"/>
      <c r="AT113" s="234"/>
      <c r="AU113" s="234"/>
      <c r="AV113" s="234"/>
      <c r="AW113" s="234"/>
      <c r="AX113" s="234"/>
      <c r="AY113" s="234"/>
      <c r="AZ113" s="234"/>
      <c r="BA113" s="234"/>
      <c r="BB113" s="234"/>
      <c r="BC113" s="234"/>
      <c r="BD113" s="234"/>
      <c r="BE113" s="234"/>
      <c r="BF113" s="234"/>
    </row>
    <row r="114" spans="8:58" x14ac:dyDescent="0.4">
      <c r="H114" s="233"/>
      <c r="I114" s="233"/>
      <c r="J114" s="233"/>
      <c r="K114" s="233"/>
      <c r="L114" s="233"/>
      <c r="M114" s="233"/>
      <c r="N114" s="233"/>
      <c r="O114" s="233"/>
      <c r="P114" s="233"/>
      <c r="Q114" s="233"/>
      <c r="R114" s="237"/>
      <c r="S114" s="237"/>
      <c r="T114" s="237"/>
      <c r="U114" s="237"/>
      <c r="V114" s="237"/>
      <c r="W114" s="237"/>
      <c r="X114" s="237"/>
      <c r="Y114" s="237"/>
      <c r="Z114" s="237"/>
      <c r="AA114" s="237"/>
      <c r="AB114" s="230"/>
      <c r="AC114" s="231"/>
      <c r="AD114" s="426"/>
      <c r="AE114" s="426"/>
      <c r="AF114" s="426"/>
      <c r="AG114" s="426"/>
      <c r="AH114" s="233"/>
      <c r="AI114" s="233"/>
      <c r="AJ114" s="234"/>
      <c r="AK114" s="234"/>
      <c r="AL114" s="234"/>
      <c r="AM114" s="234"/>
      <c r="AN114" s="234"/>
      <c r="AO114" s="234"/>
      <c r="AP114" s="234"/>
      <c r="AQ114" s="234"/>
      <c r="AR114" s="234"/>
      <c r="AS114" s="234"/>
      <c r="AT114" s="234"/>
      <c r="AU114" s="234"/>
      <c r="AV114" s="234"/>
      <c r="AW114" s="234"/>
      <c r="AX114" s="234"/>
      <c r="AY114" s="234"/>
      <c r="AZ114" s="234"/>
      <c r="BA114" s="234"/>
      <c r="BB114" s="234"/>
      <c r="BC114" s="234"/>
      <c r="BD114" s="234"/>
      <c r="BE114" s="234"/>
      <c r="BF114" s="234"/>
    </row>
    <row r="115" spans="8:58" x14ac:dyDescent="0.4">
      <c r="H115" s="233"/>
      <c r="I115" s="233"/>
      <c r="J115" s="233"/>
      <c r="K115" s="233"/>
      <c r="L115" s="233"/>
      <c r="M115" s="233"/>
      <c r="N115" s="233"/>
      <c r="O115" s="233"/>
      <c r="P115" s="233"/>
      <c r="Q115" s="233"/>
      <c r="R115" s="237"/>
      <c r="S115" s="237"/>
      <c r="T115" s="237"/>
      <c r="U115" s="237"/>
      <c r="V115" s="237"/>
      <c r="W115" s="237"/>
      <c r="X115" s="237"/>
      <c r="Y115" s="237"/>
      <c r="Z115" s="237"/>
      <c r="AA115" s="237"/>
      <c r="AB115" s="201" t="s">
        <v>693</v>
      </c>
      <c r="AC115" s="200"/>
      <c r="AD115" s="201" t="s">
        <v>245</v>
      </c>
      <c r="AE115" s="199"/>
      <c r="AF115" s="199"/>
      <c r="AG115" s="200"/>
      <c r="AH115" s="202" t="s">
        <v>245</v>
      </c>
      <c r="AI115" s="203"/>
      <c r="AJ115" s="204" t="s">
        <v>244</v>
      </c>
      <c r="AK115" s="205"/>
      <c r="AL115" s="205"/>
      <c r="AM115" s="205"/>
      <c r="AN115" s="205"/>
      <c r="AO115" s="205"/>
      <c r="AP115" s="205"/>
      <c r="AQ115" s="205"/>
      <c r="AR115" s="205"/>
      <c r="AS115" s="205"/>
      <c r="AT115" s="205"/>
      <c r="AU115" s="205"/>
      <c r="AV115" s="205"/>
      <c r="AW115" s="205"/>
      <c r="AX115" s="205"/>
      <c r="AY115" s="205"/>
      <c r="AZ115" s="205"/>
      <c r="BA115" s="205"/>
      <c r="BB115" s="205"/>
      <c r="BC115" s="205"/>
      <c r="BD115" s="205"/>
      <c r="BE115" s="205"/>
      <c r="BF115" s="206"/>
    </row>
    <row r="116" spans="8:58" x14ac:dyDescent="0.4">
      <c r="H116" s="233" t="s">
        <v>728</v>
      </c>
      <c r="I116" s="233"/>
      <c r="J116" s="233"/>
      <c r="K116" s="233"/>
      <c r="L116" s="233"/>
      <c r="M116" s="233"/>
      <c r="N116" s="233"/>
      <c r="O116" s="233"/>
      <c r="P116" s="233"/>
      <c r="Q116" s="233"/>
      <c r="R116" s="233" t="s">
        <v>729</v>
      </c>
      <c r="S116" s="233"/>
      <c r="T116" s="233"/>
      <c r="U116" s="233"/>
      <c r="V116" s="233"/>
      <c r="W116" s="233"/>
      <c r="X116" s="233"/>
      <c r="Y116" s="233"/>
      <c r="Z116" s="233"/>
      <c r="AA116" s="233"/>
      <c r="AB116" s="226" t="s">
        <v>429</v>
      </c>
      <c r="AC116" s="227"/>
      <c r="AD116" s="426" t="s">
        <v>709</v>
      </c>
      <c r="AE116" s="426"/>
      <c r="AF116" s="426"/>
      <c r="AG116" s="426"/>
      <c r="AH116" s="233" t="s">
        <v>427</v>
      </c>
      <c r="AI116" s="233"/>
      <c r="AJ116" s="234" t="s">
        <v>730</v>
      </c>
      <c r="AK116" s="234"/>
      <c r="AL116" s="234"/>
      <c r="AM116" s="234"/>
      <c r="AN116" s="234"/>
      <c r="AO116" s="234"/>
      <c r="AP116" s="234"/>
      <c r="AQ116" s="234"/>
      <c r="AR116" s="234"/>
      <c r="AS116" s="234"/>
      <c r="AT116" s="234"/>
      <c r="AU116" s="234"/>
      <c r="AV116" s="234"/>
      <c r="AW116" s="234"/>
      <c r="AX116" s="234"/>
      <c r="AY116" s="234"/>
      <c r="AZ116" s="234"/>
      <c r="BA116" s="234"/>
      <c r="BB116" s="234"/>
      <c r="BC116" s="234"/>
      <c r="BD116" s="234"/>
      <c r="BE116" s="234"/>
      <c r="BF116" s="234"/>
    </row>
    <row r="117" spans="8:58" x14ac:dyDescent="0.4">
      <c r="H117" s="233"/>
      <c r="I117" s="233"/>
      <c r="J117" s="233"/>
      <c r="K117" s="233"/>
      <c r="L117" s="233"/>
      <c r="M117" s="233"/>
      <c r="N117" s="233"/>
      <c r="O117" s="233"/>
      <c r="P117" s="233"/>
      <c r="Q117" s="233"/>
      <c r="R117" s="233"/>
      <c r="S117" s="233"/>
      <c r="T117" s="233"/>
      <c r="U117" s="233"/>
      <c r="V117" s="233"/>
      <c r="W117" s="233"/>
      <c r="X117" s="233"/>
      <c r="Y117" s="233"/>
      <c r="Z117" s="233"/>
      <c r="AA117" s="233"/>
      <c r="AB117" s="228"/>
      <c r="AC117" s="229"/>
      <c r="AD117" s="426"/>
      <c r="AE117" s="426"/>
      <c r="AF117" s="426"/>
      <c r="AG117" s="426"/>
      <c r="AH117" s="233"/>
      <c r="AI117" s="233"/>
      <c r="AJ117" s="234"/>
      <c r="AK117" s="234"/>
      <c r="AL117" s="234"/>
      <c r="AM117" s="234"/>
      <c r="AN117" s="234"/>
      <c r="AO117" s="234"/>
      <c r="AP117" s="234"/>
      <c r="AQ117" s="234"/>
      <c r="AR117" s="234"/>
      <c r="AS117" s="234"/>
      <c r="AT117" s="234"/>
      <c r="AU117" s="234"/>
      <c r="AV117" s="234"/>
      <c r="AW117" s="234"/>
      <c r="AX117" s="234"/>
      <c r="AY117" s="234"/>
      <c r="AZ117" s="234"/>
      <c r="BA117" s="234"/>
      <c r="BB117" s="234"/>
      <c r="BC117" s="234"/>
      <c r="BD117" s="234"/>
      <c r="BE117" s="234"/>
      <c r="BF117" s="234"/>
    </row>
    <row r="118" spans="8:58" x14ac:dyDescent="0.4">
      <c r="H118" s="233"/>
      <c r="I118" s="233"/>
      <c r="J118" s="233"/>
      <c r="K118" s="233"/>
      <c r="L118" s="233"/>
      <c r="M118" s="233"/>
      <c r="N118" s="233"/>
      <c r="O118" s="233"/>
      <c r="P118" s="233"/>
      <c r="Q118" s="233"/>
      <c r="R118" s="233"/>
      <c r="S118" s="233"/>
      <c r="T118" s="233"/>
      <c r="U118" s="233"/>
      <c r="V118" s="233"/>
      <c r="W118" s="233"/>
      <c r="X118" s="233"/>
      <c r="Y118" s="233"/>
      <c r="Z118" s="233"/>
      <c r="AA118" s="233"/>
      <c r="AB118" s="230"/>
      <c r="AC118" s="231"/>
      <c r="AD118" s="426"/>
      <c r="AE118" s="426"/>
      <c r="AF118" s="426"/>
      <c r="AG118" s="426"/>
      <c r="AH118" s="233"/>
      <c r="AI118" s="233"/>
      <c r="AJ118" s="234"/>
      <c r="AK118" s="234"/>
      <c r="AL118" s="234"/>
      <c r="AM118" s="234"/>
      <c r="AN118" s="234"/>
      <c r="AO118" s="234"/>
      <c r="AP118" s="234"/>
      <c r="AQ118" s="234"/>
      <c r="AR118" s="234"/>
      <c r="AS118" s="234"/>
      <c r="AT118" s="234"/>
      <c r="AU118" s="234"/>
      <c r="AV118" s="234"/>
      <c r="AW118" s="234"/>
      <c r="AX118" s="234"/>
      <c r="AY118" s="234"/>
      <c r="AZ118" s="234"/>
      <c r="BA118" s="234"/>
      <c r="BB118" s="234"/>
      <c r="BC118" s="234"/>
      <c r="BD118" s="234"/>
      <c r="BE118" s="234"/>
      <c r="BF118" s="234"/>
    </row>
    <row r="119" spans="8:58" x14ac:dyDescent="0.4">
      <c r="H119" s="233"/>
      <c r="I119" s="233"/>
      <c r="J119" s="233"/>
      <c r="K119" s="233"/>
      <c r="L119" s="233"/>
      <c r="M119" s="233"/>
      <c r="N119" s="233"/>
      <c r="O119" s="233"/>
      <c r="P119" s="233"/>
      <c r="Q119" s="233"/>
      <c r="R119" s="233"/>
      <c r="S119" s="233"/>
      <c r="T119" s="233"/>
      <c r="U119" s="233"/>
      <c r="V119" s="233"/>
      <c r="W119" s="233"/>
      <c r="X119" s="233"/>
      <c r="Y119" s="233"/>
      <c r="Z119" s="233"/>
      <c r="AA119" s="233"/>
      <c r="AB119" s="226" t="s">
        <v>431</v>
      </c>
      <c r="AC119" s="227"/>
      <c r="AD119" s="432" t="s">
        <v>713</v>
      </c>
      <c r="AE119" s="252"/>
      <c r="AF119" s="252"/>
      <c r="AG119" s="252"/>
      <c r="AH119" s="233" t="s">
        <v>444</v>
      </c>
      <c r="AI119" s="233"/>
      <c r="AJ119" s="234" t="s">
        <v>731</v>
      </c>
      <c r="AK119" s="234"/>
      <c r="AL119" s="234"/>
      <c r="AM119" s="234"/>
      <c r="AN119" s="234"/>
      <c r="AO119" s="234"/>
      <c r="AP119" s="234"/>
      <c r="AQ119" s="234"/>
      <c r="AR119" s="234"/>
      <c r="AS119" s="234"/>
      <c r="AT119" s="234"/>
      <c r="AU119" s="234"/>
      <c r="AV119" s="234"/>
      <c r="AW119" s="234"/>
      <c r="AX119" s="234"/>
      <c r="AY119" s="234"/>
      <c r="AZ119" s="234"/>
      <c r="BA119" s="234"/>
      <c r="BB119" s="234"/>
      <c r="BC119" s="234"/>
      <c r="BD119" s="234"/>
      <c r="BE119" s="234"/>
      <c r="BF119" s="234"/>
    </row>
    <row r="120" spans="8:58" x14ac:dyDescent="0.4">
      <c r="H120" s="233"/>
      <c r="I120" s="233"/>
      <c r="J120" s="233"/>
      <c r="K120" s="233"/>
      <c r="L120" s="233"/>
      <c r="M120" s="233"/>
      <c r="N120" s="233"/>
      <c r="O120" s="233"/>
      <c r="P120" s="233"/>
      <c r="Q120" s="233"/>
      <c r="R120" s="233"/>
      <c r="S120" s="233"/>
      <c r="T120" s="233"/>
      <c r="U120" s="233"/>
      <c r="V120" s="233"/>
      <c r="W120" s="233"/>
      <c r="X120" s="233"/>
      <c r="Y120" s="233"/>
      <c r="Z120" s="233"/>
      <c r="AA120" s="233"/>
      <c r="AB120" s="228"/>
      <c r="AC120" s="229"/>
      <c r="AD120" s="432"/>
      <c r="AE120" s="252"/>
      <c r="AF120" s="252"/>
      <c r="AG120" s="252"/>
      <c r="AH120" s="233"/>
      <c r="AI120" s="233"/>
      <c r="AJ120" s="234"/>
      <c r="AK120" s="234"/>
      <c r="AL120" s="234"/>
      <c r="AM120" s="234"/>
      <c r="AN120" s="234"/>
      <c r="AO120" s="234"/>
      <c r="AP120" s="234"/>
      <c r="AQ120" s="234"/>
      <c r="AR120" s="234"/>
      <c r="AS120" s="234"/>
      <c r="AT120" s="234"/>
      <c r="AU120" s="234"/>
      <c r="AV120" s="234"/>
      <c r="AW120" s="234"/>
      <c r="AX120" s="234"/>
      <c r="AY120" s="234"/>
      <c r="AZ120" s="234"/>
      <c r="BA120" s="234"/>
      <c r="BB120" s="234"/>
      <c r="BC120" s="234"/>
      <c r="BD120" s="234"/>
      <c r="BE120" s="234"/>
      <c r="BF120" s="234"/>
    </row>
    <row r="121" spans="8:58" x14ac:dyDescent="0.4">
      <c r="H121" s="233"/>
      <c r="I121" s="233"/>
      <c r="J121" s="233"/>
      <c r="K121" s="233"/>
      <c r="L121" s="233"/>
      <c r="M121" s="233"/>
      <c r="N121" s="233"/>
      <c r="O121" s="233"/>
      <c r="P121" s="233"/>
      <c r="Q121" s="233"/>
      <c r="R121" s="233"/>
      <c r="S121" s="233"/>
      <c r="T121" s="233"/>
      <c r="U121" s="233"/>
      <c r="V121" s="233"/>
      <c r="W121" s="233"/>
      <c r="X121" s="233"/>
      <c r="Y121" s="233"/>
      <c r="Z121" s="233"/>
      <c r="AA121" s="233"/>
      <c r="AB121" s="230"/>
      <c r="AC121" s="231"/>
      <c r="AD121" s="252"/>
      <c r="AE121" s="252"/>
      <c r="AF121" s="252"/>
      <c r="AG121" s="252"/>
      <c r="AH121" s="233"/>
      <c r="AI121" s="233"/>
      <c r="AJ121" s="234"/>
      <c r="AK121" s="234"/>
      <c r="AL121" s="234"/>
      <c r="AM121" s="234"/>
      <c r="AN121" s="234"/>
      <c r="AO121" s="234"/>
      <c r="AP121" s="234"/>
      <c r="AQ121" s="234"/>
      <c r="AR121" s="234"/>
      <c r="AS121" s="234"/>
      <c r="AT121" s="234"/>
      <c r="AU121" s="234"/>
      <c r="AV121" s="234"/>
      <c r="AW121" s="234"/>
      <c r="AX121" s="234"/>
      <c r="AY121" s="234"/>
      <c r="AZ121" s="234"/>
      <c r="BA121" s="234"/>
      <c r="BB121" s="234"/>
      <c r="BC121" s="234"/>
      <c r="BD121" s="234"/>
      <c r="BE121" s="234"/>
      <c r="BF121" s="234"/>
    </row>
    <row r="122" spans="8:58" x14ac:dyDescent="0.4">
      <c r="H122" s="233"/>
      <c r="I122" s="233"/>
      <c r="J122" s="233"/>
      <c r="K122" s="233"/>
      <c r="L122" s="233"/>
      <c r="M122" s="233"/>
      <c r="N122" s="233"/>
      <c r="O122" s="233"/>
      <c r="P122" s="233"/>
      <c r="Q122" s="233"/>
      <c r="R122" s="233"/>
      <c r="S122" s="233"/>
      <c r="T122" s="233"/>
      <c r="U122" s="233"/>
      <c r="V122" s="233"/>
      <c r="W122" s="233"/>
      <c r="X122" s="233"/>
      <c r="Y122" s="233"/>
      <c r="Z122" s="233"/>
      <c r="AA122" s="233"/>
      <c r="AB122" s="201" t="s">
        <v>448</v>
      </c>
      <c r="AC122" s="200"/>
      <c r="AD122" s="201" t="s">
        <v>245</v>
      </c>
      <c r="AE122" s="199"/>
      <c r="AF122" s="199"/>
      <c r="AG122" s="200"/>
      <c r="AH122" s="202" t="s">
        <v>245</v>
      </c>
      <c r="AI122" s="203"/>
      <c r="AJ122" s="204" t="s">
        <v>244</v>
      </c>
      <c r="AK122" s="205"/>
      <c r="AL122" s="205"/>
      <c r="AM122" s="205"/>
      <c r="AN122" s="205"/>
      <c r="AO122" s="205"/>
      <c r="AP122" s="205"/>
      <c r="AQ122" s="205"/>
      <c r="AR122" s="205"/>
      <c r="AS122" s="205"/>
      <c r="AT122" s="205"/>
      <c r="AU122" s="205"/>
      <c r="AV122" s="205"/>
      <c r="AW122" s="205"/>
      <c r="AX122" s="205"/>
      <c r="AY122" s="205"/>
      <c r="AZ122" s="205"/>
      <c r="BA122" s="205"/>
      <c r="BB122" s="205"/>
      <c r="BC122" s="205"/>
      <c r="BD122" s="205"/>
      <c r="BE122" s="205"/>
      <c r="BF122" s="206"/>
    </row>
    <row r="123" spans="8:58" x14ac:dyDescent="0.4">
      <c r="H123" s="408" t="s">
        <v>732</v>
      </c>
      <c r="I123" s="428"/>
      <c r="J123" s="428"/>
      <c r="K123" s="428"/>
      <c r="L123" s="428"/>
      <c r="M123" s="428"/>
      <c r="N123" s="428"/>
      <c r="O123" s="428"/>
      <c r="P123" s="428"/>
      <c r="Q123" s="428"/>
      <c r="R123" s="428"/>
      <c r="S123" s="428"/>
      <c r="T123" s="428"/>
      <c r="U123" s="428"/>
      <c r="V123" s="428"/>
      <c r="W123" s="428"/>
      <c r="X123" s="428"/>
      <c r="Y123" s="428"/>
      <c r="Z123" s="428"/>
      <c r="AA123" s="428"/>
      <c r="AB123" s="428"/>
      <c r="AC123" s="428"/>
      <c r="AD123" s="428"/>
      <c r="AE123" s="428"/>
      <c r="AF123" s="428"/>
      <c r="AG123" s="428"/>
      <c r="AH123" s="428"/>
      <c r="AI123" s="428"/>
      <c r="AJ123" s="428"/>
      <c r="AK123" s="428"/>
      <c r="AL123" s="428"/>
      <c r="AM123" s="428"/>
      <c r="AN123" s="428"/>
      <c r="AO123" s="428"/>
      <c r="AP123" s="428"/>
      <c r="AQ123" s="428"/>
      <c r="AR123" s="428"/>
      <c r="AS123" s="428"/>
      <c r="AT123" s="428"/>
      <c r="AU123" s="428"/>
      <c r="AV123" s="428"/>
      <c r="AW123" s="428"/>
      <c r="AX123" s="428"/>
      <c r="AY123" s="428"/>
      <c r="AZ123" s="428"/>
      <c r="BA123" s="428"/>
      <c r="BB123" s="428"/>
      <c r="BC123" s="428"/>
      <c r="BD123" s="428"/>
      <c r="BE123" s="428"/>
      <c r="BF123" s="409"/>
    </row>
    <row r="126" spans="8:58" x14ac:dyDescent="0.4">
      <c r="H126" s="434" t="s">
        <v>605</v>
      </c>
      <c r="I126" s="434"/>
      <c r="J126" s="434"/>
      <c r="K126" s="434"/>
      <c r="L126" s="434"/>
      <c r="M126" s="434"/>
      <c r="N126" s="434"/>
      <c r="O126" s="434"/>
      <c r="P126" s="434"/>
      <c r="Q126" s="434"/>
      <c r="R126" s="434"/>
      <c r="S126" s="434"/>
      <c r="T126" s="434"/>
      <c r="U126" s="434"/>
      <c r="V126" s="434"/>
      <c r="W126" s="434"/>
      <c r="X126" s="434"/>
      <c r="Y126" s="434"/>
      <c r="Z126" s="434"/>
      <c r="AA126" s="434"/>
      <c r="AB126" s="434"/>
      <c r="AC126" s="434"/>
      <c r="AD126" s="434"/>
      <c r="AE126" s="434"/>
      <c r="AF126" s="434"/>
      <c r="AG126" s="434"/>
      <c r="AH126" s="434"/>
      <c r="AI126" s="434"/>
      <c r="AJ126" s="434"/>
      <c r="AK126" s="434"/>
      <c r="AL126" s="434"/>
      <c r="AM126" s="434"/>
      <c r="AN126" s="434"/>
      <c r="AO126" s="434"/>
      <c r="AP126" s="434"/>
      <c r="AQ126" s="434"/>
      <c r="AR126" s="434"/>
      <c r="AS126" s="434"/>
      <c r="AT126" s="434"/>
      <c r="AU126" s="434"/>
      <c r="AV126" s="434"/>
      <c r="AW126" s="434"/>
      <c r="AX126" s="434"/>
      <c r="AY126" s="434"/>
      <c r="AZ126" s="434"/>
      <c r="BA126" s="434"/>
      <c r="BB126" s="434"/>
      <c r="BC126" s="434"/>
      <c r="BD126" s="434"/>
      <c r="BE126" s="434"/>
      <c r="BF126" s="434"/>
    </row>
    <row r="127" spans="8:58" x14ac:dyDescent="0.4">
      <c r="H127" s="220" t="s">
        <v>419</v>
      </c>
      <c r="I127" s="220"/>
      <c r="J127" s="220"/>
      <c r="K127" s="220"/>
      <c r="L127" s="220"/>
      <c r="M127" s="220"/>
      <c r="N127" s="220"/>
      <c r="O127" s="220"/>
      <c r="P127" s="220"/>
      <c r="Q127" s="220"/>
      <c r="R127" s="220" t="s">
        <v>1</v>
      </c>
      <c r="S127" s="220"/>
      <c r="T127" s="220"/>
      <c r="U127" s="220"/>
      <c r="V127" s="220"/>
      <c r="W127" s="220"/>
      <c r="X127" s="220"/>
      <c r="Y127" s="220"/>
      <c r="Z127" s="220"/>
      <c r="AA127" s="220"/>
      <c r="AB127" s="221" t="s">
        <v>420</v>
      </c>
      <c r="AC127" s="222"/>
      <c r="AD127" s="221" t="s">
        <v>421</v>
      </c>
      <c r="AE127" s="223"/>
      <c r="AF127" s="223"/>
      <c r="AG127" s="222"/>
      <c r="AH127" s="224" t="s">
        <v>422</v>
      </c>
      <c r="AI127" s="224"/>
      <c r="AJ127" s="220" t="s">
        <v>423</v>
      </c>
      <c r="AK127" s="220"/>
      <c r="AL127" s="220"/>
      <c r="AM127" s="220"/>
      <c r="AN127" s="220"/>
      <c r="AO127" s="220"/>
      <c r="AP127" s="220"/>
      <c r="AQ127" s="220"/>
      <c r="AR127" s="220"/>
      <c r="AS127" s="220"/>
      <c r="AT127" s="220"/>
      <c r="AU127" s="220"/>
      <c r="AV127" s="220"/>
      <c r="AW127" s="220"/>
      <c r="AX127" s="220"/>
      <c r="AY127" s="220"/>
      <c r="AZ127" s="220"/>
      <c r="BA127" s="220"/>
      <c r="BB127" s="220"/>
      <c r="BC127" s="220"/>
      <c r="BD127" s="220"/>
      <c r="BE127" s="220"/>
      <c r="BF127" s="220"/>
    </row>
    <row r="128" spans="8:58" x14ac:dyDescent="0.4">
      <c r="H128" s="177" t="s">
        <v>733</v>
      </c>
      <c r="I128" s="177"/>
      <c r="J128" s="177"/>
      <c r="K128" s="177"/>
      <c r="L128" s="177"/>
      <c r="M128" s="177"/>
      <c r="N128" s="177"/>
      <c r="O128" s="177"/>
      <c r="P128" s="177"/>
      <c r="Q128" s="177"/>
      <c r="R128" s="177" t="s">
        <v>734</v>
      </c>
      <c r="S128" s="177"/>
      <c r="T128" s="177"/>
      <c r="U128" s="177"/>
      <c r="V128" s="177"/>
      <c r="W128" s="177"/>
      <c r="X128" s="177"/>
      <c r="Y128" s="177"/>
      <c r="Z128" s="177"/>
      <c r="AA128" s="177"/>
      <c r="AB128" s="208" t="s">
        <v>449</v>
      </c>
      <c r="AC128" s="208"/>
      <c r="AD128" s="435" t="s">
        <v>735</v>
      </c>
      <c r="AE128" s="435"/>
      <c r="AF128" s="435"/>
      <c r="AG128" s="435"/>
      <c r="AH128" s="178" t="s">
        <v>428</v>
      </c>
      <c r="AI128" s="178"/>
      <c r="AJ128" s="212" t="s">
        <v>736</v>
      </c>
      <c r="AK128" s="212"/>
      <c r="AL128" s="212"/>
      <c r="AM128" s="212"/>
      <c r="AN128" s="212"/>
      <c r="AO128" s="212"/>
      <c r="AP128" s="212"/>
      <c r="AQ128" s="212"/>
      <c r="AR128" s="212"/>
      <c r="AS128" s="212"/>
      <c r="AT128" s="212"/>
      <c r="AU128" s="212"/>
      <c r="AV128" s="212"/>
      <c r="AW128" s="212"/>
      <c r="AX128" s="212"/>
      <c r="AY128" s="212"/>
      <c r="AZ128" s="212"/>
      <c r="BA128" s="212"/>
      <c r="BB128" s="212"/>
      <c r="BC128" s="212"/>
      <c r="BD128" s="212"/>
      <c r="BE128" s="212"/>
      <c r="BF128" s="212"/>
    </row>
    <row r="129" spans="8:61" ht="18.75" customHeight="1" x14ac:dyDescent="0.4">
      <c r="H129" s="177"/>
      <c r="I129" s="177"/>
      <c r="J129" s="177"/>
      <c r="K129" s="177"/>
      <c r="L129" s="177"/>
      <c r="M129" s="177"/>
      <c r="N129" s="177"/>
      <c r="O129" s="177"/>
      <c r="P129" s="177"/>
      <c r="Q129" s="177"/>
      <c r="R129" s="177"/>
      <c r="S129" s="177"/>
      <c r="T129" s="177"/>
      <c r="U129" s="177"/>
      <c r="V129" s="177"/>
      <c r="W129" s="177"/>
      <c r="X129" s="177"/>
      <c r="Y129" s="177"/>
      <c r="Z129" s="177"/>
      <c r="AA129" s="177"/>
      <c r="AB129" s="208"/>
      <c r="AC129" s="208"/>
      <c r="AD129" s="435"/>
      <c r="AE129" s="435"/>
      <c r="AF129" s="435"/>
      <c r="AG129" s="435"/>
      <c r="AH129" s="178"/>
      <c r="AI129" s="178"/>
      <c r="AJ129" s="212"/>
      <c r="AK129" s="212"/>
      <c r="AL129" s="212"/>
      <c r="AM129" s="212"/>
      <c r="AN129" s="212"/>
      <c r="AO129" s="212"/>
      <c r="AP129" s="212"/>
      <c r="AQ129" s="212"/>
      <c r="AR129" s="212"/>
      <c r="AS129" s="212"/>
      <c r="AT129" s="212"/>
      <c r="AU129" s="212"/>
      <c r="AV129" s="212"/>
      <c r="AW129" s="212"/>
      <c r="AX129" s="212"/>
      <c r="AY129" s="212"/>
      <c r="AZ129" s="212"/>
      <c r="BA129" s="212"/>
      <c r="BB129" s="212"/>
      <c r="BC129" s="212"/>
      <c r="BD129" s="212"/>
      <c r="BE129" s="212"/>
      <c r="BF129" s="212"/>
    </row>
    <row r="130" spans="8:61" ht="18.75" customHeight="1" x14ac:dyDescent="0.4">
      <c r="H130" s="177" t="s">
        <v>737</v>
      </c>
      <c r="I130" s="177"/>
      <c r="J130" s="177"/>
      <c r="K130" s="177"/>
      <c r="L130" s="177"/>
      <c r="M130" s="177"/>
      <c r="N130" s="177"/>
      <c r="O130" s="177"/>
      <c r="P130" s="177"/>
      <c r="Q130" s="177"/>
      <c r="R130" s="178" t="s">
        <v>738</v>
      </c>
      <c r="S130" s="178"/>
      <c r="T130" s="178"/>
      <c r="U130" s="178"/>
      <c r="V130" s="178"/>
      <c r="W130" s="178"/>
      <c r="X130" s="178"/>
      <c r="Y130" s="178"/>
      <c r="Z130" s="178"/>
      <c r="AA130" s="178"/>
      <c r="AB130" s="208" t="s">
        <v>449</v>
      </c>
      <c r="AC130" s="208"/>
      <c r="AD130" s="216" t="s">
        <v>739</v>
      </c>
      <c r="AE130" s="216"/>
      <c r="AF130" s="216"/>
      <c r="AG130" s="216"/>
      <c r="AH130" s="178" t="s">
        <v>428</v>
      </c>
      <c r="AI130" s="178"/>
      <c r="AJ130" s="212" t="s">
        <v>740</v>
      </c>
      <c r="AK130" s="213"/>
      <c r="AL130" s="213"/>
      <c r="AM130" s="213"/>
      <c r="AN130" s="213"/>
      <c r="AO130" s="213"/>
      <c r="AP130" s="213"/>
      <c r="AQ130" s="213"/>
      <c r="AR130" s="213"/>
      <c r="AS130" s="213"/>
      <c r="AT130" s="213"/>
      <c r="AU130" s="213"/>
      <c r="AV130" s="213"/>
      <c r="AW130" s="213"/>
      <c r="AX130" s="213"/>
      <c r="AY130" s="213"/>
      <c r="AZ130" s="213"/>
      <c r="BA130" s="213"/>
      <c r="BB130" s="213"/>
      <c r="BC130" s="213"/>
      <c r="BD130" s="213"/>
      <c r="BE130" s="213"/>
      <c r="BF130" s="213"/>
    </row>
    <row r="131" spans="8:61" ht="18.75" customHeight="1" x14ac:dyDescent="0.4">
      <c r="H131" s="177"/>
      <c r="I131" s="177"/>
      <c r="J131" s="177"/>
      <c r="K131" s="177"/>
      <c r="L131" s="177"/>
      <c r="M131" s="177"/>
      <c r="N131" s="177"/>
      <c r="O131" s="177"/>
      <c r="P131" s="177"/>
      <c r="Q131" s="177"/>
      <c r="R131" s="178"/>
      <c r="S131" s="178"/>
      <c r="T131" s="178"/>
      <c r="U131" s="178"/>
      <c r="V131" s="178"/>
      <c r="W131" s="178"/>
      <c r="X131" s="178"/>
      <c r="Y131" s="178"/>
      <c r="Z131" s="178"/>
      <c r="AA131" s="178"/>
      <c r="AB131" s="208"/>
      <c r="AC131" s="208"/>
      <c r="AD131" s="216"/>
      <c r="AE131" s="216"/>
      <c r="AF131" s="216"/>
      <c r="AG131" s="216"/>
      <c r="AH131" s="178"/>
      <c r="AI131" s="178"/>
      <c r="AJ131" s="213"/>
      <c r="AK131" s="213"/>
      <c r="AL131" s="213"/>
      <c r="AM131" s="213"/>
      <c r="AN131" s="213"/>
      <c r="AO131" s="213"/>
      <c r="AP131" s="213"/>
      <c r="AQ131" s="213"/>
      <c r="AR131" s="213"/>
      <c r="AS131" s="213"/>
      <c r="AT131" s="213"/>
      <c r="AU131" s="213"/>
      <c r="AV131" s="213"/>
      <c r="AW131" s="213"/>
      <c r="AX131" s="213"/>
      <c r="AY131" s="213"/>
      <c r="AZ131" s="213"/>
      <c r="BA131" s="213"/>
      <c r="BB131" s="213"/>
      <c r="BC131" s="213"/>
      <c r="BD131" s="213"/>
      <c r="BE131" s="213"/>
      <c r="BF131" s="213"/>
    </row>
    <row r="132" spans="8:61" ht="18.75" customHeight="1" x14ac:dyDescent="0.4">
      <c r="H132" s="177" t="s">
        <v>741</v>
      </c>
      <c r="I132" s="177"/>
      <c r="J132" s="177"/>
      <c r="K132" s="177"/>
      <c r="L132" s="177"/>
      <c r="M132" s="177"/>
      <c r="N132" s="177"/>
      <c r="O132" s="177"/>
      <c r="P132" s="177"/>
      <c r="Q132" s="177"/>
      <c r="R132" s="178" t="s">
        <v>742</v>
      </c>
      <c r="S132" s="178"/>
      <c r="T132" s="178"/>
      <c r="U132" s="178"/>
      <c r="V132" s="178"/>
      <c r="W132" s="178"/>
      <c r="X132" s="178"/>
      <c r="Y132" s="178"/>
      <c r="Z132" s="178"/>
      <c r="AA132" s="178"/>
      <c r="AB132" s="208" t="s">
        <v>449</v>
      </c>
      <c r="AC132" s="208"/>
      <c r="AD132" s="208" t="s">
        <v>743</v>
      </c>
      <c r="AE132" s="208"/>
      <c r="AF132" s="208"/>
      <c r="AG132" s="208"/>
      <c r="AH132" s="178" t="s">
        <v>428</v>
      </c>
      <c r="AI132" s="178"/>
      <c r="AJ132" s="212" t="s">
        <v>744</v>
      </c>
      <c r="AK132" s="212"/>
      <c r="AL132" s="212"/>
      <c r="AM132" s="212"/>
      <c r="AN132" s="212"/>
      <c r="AO132" s="212"/>
      <c r="AP132" s="212"/>
      <c r="AQ132" s="212"/>
      <c r="AR132" s="212"/>
      <c r="AS132" s="212"/>
      <c r="AT132" s="212"/>
      <c r="AU132" s="212"/>
      <c r="AV132" s="212"/>
      <c r="AW132" s="212"/>
      <c r="AX132" s="212"/>
      <c r="AY132" s="212"/>
      <c r="AZ132" s="212"/>
      <c r="BA132" s="212"/>
      <c r="BB132" s="212"/>
      <c r="BC132" s="212"/>
      <c r="BD132" s="212"/>
      <c r="BE132" s="212"/>
      <c r="BF132" s="212"/>
    </row>
    <row r="133" spans="8:61" ht="18.75" customHeight="1" x14ac:dyDescent="0.4">
      <c r="H133" s="177"/>
      <c r="I133" s="177"/>
      <c r="J133" s="177"/>
      <c r="K133" s="177"/>
      <c r="L133" s="177"/>
      <c r="M133" s="177"/>
      <c r="N133" s="177"/>
      <c r="O133" s="177"/>
      <c r="P133" s="177"/>
      <c r="Q133" s="177"/>
      <c r="R133" s="178"/>
      <c r="S133" s="178"/>
      <c r="T133" s="178"/>
      <c r="U133" s="178"/>
      <c r="V133" s="178"/>
      <c r="W133" s="178"/>
      <c r="X133" s="178"/>
      <c r="Y133" s="178"/>
      <c r="Z133" s="178"/>
      <c r="AA133" s="178"/>
      <c r="AB133" s="208"/>
      <c r="AC133" s="208"/>
      <c r="AD133" s="208"/>
      <c r="AE133" s="208"/>
      <c r="AF133" s="208"/>
      <c r="AG133" s="208"/>
      <c r="AH133" s="178"/>
      <c r="AI133" s="178"/>
      <c r="AJ133" s="212"/>
      <c r="AK133" s="212"/>
      <c r="AL133" s="212"/>
      <c r="AM133" s="212"/>
      <c r="AN133" s="212"/>
      <c r="AO133" s="212"/>
      <c r="AP133" s="212"/>
      <c r="AQ133" s="212"/>
      <c r="AR133" s="212"/>
      <c r="AS133" s="212"/>
      <c r="AT133" s="212"/>
      <c r="AU133" s="212"/>
      <c r="AV133" s="212"/>
      <c r="AW133" s="212"/>
      <c r="AX133" s="212"/>
      <c r="AY133" s="212"/>
      <c r="AZ133" s="212"/>
      <c r="BA133" s="212"/>
      <c r="BB133" s="212"/>
      <c r="BC133" s="212"/>
      <c r="BD133" s="212"/>
      <c r="BE133" s="212"/>
      <c r="BF133" s="212"/>
    </row>
    <row r="134" spans="8:61" ht="18.75" customHeight="1" x14ac:dyDescent="0.4">
      <c r="H134" s="177" t="s">
        <v>745</v>
      </c>
      <c r="I134" s="177"/>
      <c r="J134" s="177"/>
      <c r="K134" s="177"/>
      <c r="L134" s="177"/>
      <c r="M134" s="177"/>
      <c r="N134" s="177"/>
      <c r="O134" s="177"/>
      <c r="P134" s="177"/>
      <c r="Q134" s="177"/>
      <c r="R134" s="178" t="s">
        <v>746</v>
      </c>
      <c r="S134" s="178"/>
      <c r="T134" s="178"/>
      <c r="U134" s="178"/>
      <c r="V134" s="178"/>
      <c r="W134" s="178"/>
      <c r="X134" s="178"/>
      <c r="Y134" s="178"/>
      <c r="Z134" s="178"/>
      <c r="AA134" s="178"/>
      <c r="AB134" s="208" t="s">
        <v>449</v>
      </c>
      <c r="AC134" s="208"/>
      <c r="AD134" s="209" t="s">
        <v>747</v>
      </c>
      <c r="AE134" s="209"/>
      <c r="AF134" s="209"/>
      <c r="AG134" s="209"/>
      <c r="AH134" s="178" t="s">
        <v>428</v>
      </c>
      <c r="AI134" s="178"/>
      <c r="AJ134" s="212" t="s">
        <v>773</v>
      </c>
      <c r="AK134" s="212"/>
      <c r="AL134" s="212"/>
      <c r="AM134" s="212"/>
      <c r="AN134" s="212"/>
      <c r="AO134" s="212"/>
      <c r="AP134" s="212"/>
      <c r="AQ134" s="212"/>
      <c r="AR134" s="212"/>
      <c r="AS134" s="212"/>
      <c r="AT134" s="212"/>
      <c r="AU134" s="212"/>
      <c r="AV134" s="212"/>
      <c r="AW134" s="212"/>
      <c r="AX134" s="212"/>
      <c r="AY134" s="212"/>
      <c r="AZ134" s="212"/>
      <c r="BA134" s="212"/>
      <c r="BB134" s="212"/>
      <c r="BC134" s="212"/>
      <c r="BD134" s="212"/>
      <c r="BE134" s="212"/>
      <c r="BF134" s="212"/>
      <c r="BG134" s="37"/>
      <c r="BH134" s="37"/>
      <c r="BI134" s="37"/>
    </row>
    <row r="135" spans="8:61" ht="18.75" customHeight="1" x14ac:dyDescent="0.4">
      <c r="H135" s="177"/>
      <c r="I135" s="177"/>
      <c r="J135" s="177"/>
      <c r="K135" s="177"/>
      <c r="L135" s="177"/>
      <c r="M135" s="177"/>
      <c r="N135" s="177"/>
      <c r="O135" s="177"/>
      <c r="P135" s="177"/>
      <c r="Q135" s="177"/>
      <c r="R135" s="178"/>
      <c r="S135" s="178"/>
      <c r="T135" s="178"/>
      <c r="U135" s="178"/>
      <c r="V135" s="178"/>
      <c r="W135" s="178"/>
      <c r="X135" s="178"/>
      <c r="Y135" s="178"/>
      <c r="Z135" s="178"/>
      <c r="AA135" s="178"/>
      <c r="AB135" s="208"/>
      <c r="AC135" s="208"/>
      <c r="AD135" s="209"/>
      <c r="AE135" s="209"/>
      <c r="AF135" s="209"/>
      <c r="AG135" s="209"/>
      <c r="AH135" s="178"/>
      <c r="AI135" s="178"/>
      <c r="AJ135" s="212"/>
      <c r="AK135" s="212"/>
      <c r="AL135" s="212"/>
      <c r="AM135" s="212"/>
      <c r="AN135" s="212"/>
      <c r="AO135" s="212"/>
      <c r="AP135" s="212"/>
      <c r="AQ135" s="212"/>
      <c r="AR135" s="212"/>
      <c r="AS135" s="212"/>
      <c r="AT135" s="212"/>
      <c r="AU135" s="212"/>
      <c r="AV135" s="212"/>
      <c r="AW135" s="212"/>
      <c r="AX135" s="212"/>
      <c r="AY135" s="212"/>
      <c r="AZ135" s="212"/>
      <c r="BA135" s="212"/>
      <c r="BB135" s="212"/>
      <c r="BC135" s="212"/>
      <c r="BD135" s="212"/>
      <c r="BE135" s="212"/>
      <c r="BF135" s="212"/>
      <c r="BG135" s="37"/>
      <c r="BH135" s="37"/>
      <c r="BI135" s="37"/>
    </row>
    <row r="136" spans="8:61" ht="18.75" customHeight="1" x14ac:dyDescent="0.4">
      <c r="H136" s="177"/>
      <c r="I136" s="177"/>
      <c r="J136" s="177"/>
      <c r="K136" s="177"/>
      <c r="L136" s="177"/>
      <c r="M136" s="177"/>
      <c r="N136" s="177"/>
      <c r="O136" s="177"/>
      <c r="P136" s="177"/>
      <c r="Q136" s="177"/>
      <c r="R136" s="178"/>
      <c r="S136" s="178"/>
      <c r="T136" s="178"/>
      <c r="U136" s="178"/>
      <c r="V136" s="178"/>
      <c r="W136" s="178"/>
      <c r="X136" s="178"/>
      <c r="Y136" s="178"/>
      <c r="Z136" s="178"/>
      <c r="AA136" s="178"/>
      <c r="AB136" s="208"/>
      <c r="AC136" s="208"/>
      <c r="AD136" s="209"/>
      <c r="AE136" s="209"/>
      <c r="AF136" s="209"/>
      <c r="AG136" s="209"/>
      <c r="AH136" s="178"/>
      <c r="AI136" s="178"/>
      <c r="AJ136" s="212"/>
      <c r="AK136" s="212"/>
      <c r="AL136" s="212"/>
      <c r="AM136" s="212"/>
      <c r="AN136" s="212"/>
      <c r="AO136" s="212"/>
      <c r="AP136" s="212"/>
      <c r="AQ136" s="212"/>
      <c r="AR136" s="212"/>
      <c r="AS136" s="212"/>
      <c r="AT136" s="212"/>
      <c r="AU136" s="212"/>
      <c r="AV136" s="212"/>
      <c r="AW136" s="212"/>
      <c r="AX136" s="212"/>
      <c r="AY136" s="212"/>
      <c r="AZ136" s="212"/>
      <c r="BA136" s="212"/>
      <c r="BB136" s="212"/>
      <c r="BC136" s="212"/>
      <c r="BD136" s="212"/>
      <c r="BE136" s="212"/>
      <c r="BF136" s="212"/>
      <c r="BG136" s="37"/>
      <c r="BH136" s="37"/>
      <c r="BI136" s="37"/>
    </row>
    <row r="137" spans="8:61" x14ac:dyDescent="0.4">
      <c r="H137" s="177"/>
      <c r="I137" s="177"/>
      <c r="J137" s="177"/>
      <c r="K137" s="177"/>
      <c r="L137" s="177"/>
      <c r="M137" s="177"/>
      <c r="N137" s="177"/>
      <c r="O137" s="177"/>
      <c r="P137" s="177"/>
      <c r="Q137" s="177"/>
      <c r="R137" s="178"/>
      <c r="S137" s="178"/>
      <c r="T137" s="178"/>
      <c r="U137" s="178"/>
      <c r="V137" s="178"/>
      <c r="W137" s="178"/>
      <c r="X137" s="178"/>
      <c r="Y137" s="178"/>
      <c r="Z137" s="178"/>
      <c r="AA137" s="178"/>
      <c r="AB137" s="208"/>
      <c r="AC137" s="208"/>
      <c r="AD137" s="209"/>
      <c r="AE137" s="209"/>
      <c r="AF137" s="209"/>
      <c r="AG137" s="209"/>
      <c r="AH137" s="178"/>
      <c r="AI137" s="178"/>
      <c r="AJ137" s="212"/>
      <c r="AK137" s="212"/>
      <c r="AL137" s="212"/>
      <c r="AM137" s="212"/>
      <c r="AN137" s="212"/>
      <c r="AO137" s="212"/>
      <c r="AP137" s="212"/>
      <c r="AQ137" s="212"/>
      <c r="AR137" s="212"/>
      <c r="AS137" s="212"/>
      <c r="AT137" s="212"/>
      <c r="AU137" s="212"/>
      <c r="AV137" s="212"/>
      <c r="AW137" s="212"/>
      <c r="AX137" s="212"/>
      <c r="AY137" s="212"/>
      <c r="AZ137" s="212"/>
      <c r="BA137" s="212"/>
      <c r="BB137" s="212"/>
      <c r="BC137" s="212"/>
      <c r="BD137" s="212"/>
      <c r="BE137" s="212"/>
      <c r="BF137" s="212"/>
      <c r="BG137" s="37"/>
      <c r="BH137" s="37"/>
      <c r="BI137" s="37"/>
    </row>
    <row r="138" spans="8:61" x14ac:dyDescent="0.4">
      <c r="H138" s="174" t="s">
        <v>748</v>
      </c>
      <c r="I138" s="175"/>
      <c r="J138" s="175"/>
      <c r="K138" s="175"/>
      <c r="L138" s="175"/>
      <c r="M138" s="175"/>
      <c r="N138" s="175"/>
      <c r="O138" s="175"/>
      <c r="P138" s="175"/>
      <c r="Q138" s="175"/>
      <c r="R138" s="175"/>
      <c r="S138" s="175"/>
      <c r="T138" s="175"/>
      <c r="U138" s="175"/>
      <c r="V138" s="175"/>
      <c r="W138" s="175"/>
      <c r="X138" s="175"/>
      <c r="Y138" s="175"/>
      <c r="Z138" s="175"/>
      <c r="AA138" s="175"/>
      <c r="AB138" s="175"/>
      <c r="AC138" s="175"/>
      <c r="AD138" s="175"/>
      <c r="AE138" s="175"/>
      <c r="AF138" s="175"/>
      <c r="AG138" s="175"/>
      <c r="AH138" s="175"/>
      <c r="AI138" s="175"/>
      <c r="AJ138" s="175"/>
      <c r="AK138" s="175"/>
      <c r="AL138" s="175"/>
      <c r="AM138" s="175"/>
      <c r="AN138" s="175"/>
      <c r="AO138" s="175"/>
      <c r="AP138" s="175"/>
      <c r="AQ138" s="175"/>
      <c r="AR138" s="175"/>
      <c r="AS138" s="175"/>
      <c r="AT138" s="175"/>
      <c r="AU138" s="175"/>
      <c r="AV138" s="175"/>
      <c r="AW138" s="175"/>
      <c r="AX138" s="175"/>
      <c r="AY138" s="175"/>
      <c r="AZ138" s="175"/>
      <c r="BA138" s="175"/>
      <c r="BB138" s="175"/>
      <c r="BC138" s="175"/>
      <c r="BD138" s="175"/>
      <c r="BE138" s="175"/>
      <c r="BF138" s="176"/>
    </row>
    <row r="139" spans="8:61" x14ac:dyDescent="0.4">
      <c r="AD139" s="32"/>
      <c r="AE139" s="32"/>
      <c r="AF139" s="32"/>
      <c r="AG139" s="32"/>
    </row>
    <row r="140" spans="8:61" x14ac:dyDescent="0.4">
      <c r="AD140" s="32"/>
      <c r="AE140" s="32"/>
      <c r="AF140" s="32"/>
      <c r="AG140" s="32"/>
    </row>
    <row r="141" spans="8:61" x14ac:dyDescent="0.4">
      <c r="H141" s="217" t="s">
        <v>749</v>
      </c>
      <c r="I141" s="218"/>
      <c r="J141" s="218"/>
      <c r="K141" s="218"/>
      <c r="L141" s="218"/>
      <c r="M141" s="218"/>
      <c r="N141" s="218"/>
      <c r="O141" s="218"/>
      <c r="P141" s="218"/>
      <c r="Q141" s="218"/>
      <c r="R141" s="218"/>
      <c r="S141" s="218"/>
      <c r="T141" s="218"/>
      <c r="U141" s="218"/>
      <c r="V141" s="218"/>
      <c r="W141" s="218"/>
      <c r="X141" s="218"/>
      <c r="Y141" s="218"/>
      <c r="Z141" s="218"/>
      <c r="AA141" s="218"/>
      <c r="AB141" s="218"/>
      <c r="AC141" s="218"/>
      <c r="AD141" s="218"/>
      <c r="AE141" s="218"/>
      <c r="AF141" s="218"/>
      <c r="AG141" s="218"/>
      <c r="AH141" s="218"/>
      <c r="AI141" s="218"/>
      <c r="AJ141" s="218"/>
      <c r="AK141" s="218"/>
      <c r="AL141" s="218"/>
      <c r="AM141" s="218"/>
      <c r="AN141" s="218"/>
      <c r="AO141" s="218"/>
      <c r="AP141" s="218"/>
      <c r="AQ141" s="218"/>
      <c r="AR141" s="218"/>
      <c r="AS141" s="218"/>
      <c r="AT141" s="218"/>
      <c r="AU141" s="218"/>
      <c r="AV141" s="218"/>
      <c r="AW141" s="218"/>
      <c r="AX141" s="218"/>
      <c r="AY141" s="218"/>
      <c r="AZ141" s="218"/>
      <c r="BA141" s="218"/>
      <c r="BB141" s="218"/>
      <c r="BC141" s="218"/>
      <c r="BD141" s="218"/>
      <c r="BE141" s="218"/>
      <c r="BF141" s="219"/>
    </row>
    <row r="142" spans="8:61" x14ac:dyDescent="0.4">
      <c r="H142" s="220" t="s">
        <v>419</v>
      </c>
      <c r="I142" s="220"/>
      <c r="J142" s="220"/>
      <c r="K142" s="220"/>
      <c r="L142" s="220"/>
      <c r="M142" s="220"/>
      <c r="N142" s="220"/>
      <c r="O142" s="220"/>
      <c r="P142" s="220"/>
      <c r="Q142" s="220"/>
      <c r="R142" s="220" t="s">
        <v>1</v>
      </c>
      <c r="S142" s="220"/>
      <c r="T142" s="220"/>
      <c r="U142" s="220"/>
      <c r="V142" s="220"/>
      <c r="W142" s="220"/>
      <c r="X142" s="220"/>
      <c r="Y142" s="220"/>
      <c r="Z142" s="220"/>
      <c r="AA142" s="220"/>
      <c r="AB142" s="221" t="s">
        <v>420</v>
      </c>
      <c r="AC142" s="222"/>
      <c r="AD142" s="221" t="s">
        <v>421</v>
      </c>
      <c r="AE142" s="223"/>
      <c r="AF142" s="223"/>
      <c r="AG142" s="222"/>
      <c r="AH142" s="224" t="s">
        <v>422</v>
      </c>
      <c r="AI142" s="224"/>
      <c r="AJ142" s="220" t="s">
        <v>423</v>
      </c>
      <c r="AK142" s="220"/>
      <c r="AL142" s="220"/>
      <c r="AM142" s="220"/>
      <c r="AN142" s="220"/>
      <c r="AO142" s="220"/>
      <c r="AP142" s="220"/>
      <c r="AQ142" s="220"/>
      <c r="AR142" s="220"/>
      <c r="AS142" s="220"/>
      <c r="AT142" s="220"/>
      <c r="AU142" s="220"/>
      <c r="AV142" s="220"/>
      <c r="AW142" s="220"/>
      <c r="AX142" s="220"/>
      <c r="AY142" s="220"/>
      <c r="AZ142" s="220"/>
      <c r="BA142" s="220"/>
      <c r="BB142" s="220"/>
      <c r="BC142" s="220"/>
      <c r="BD142" s="220"/>
      <c r="BE142" s="220"/>
      <c r="BF142" s="220"/>
    </row>
    <row r="143" spans="8:61" x14ac:dyDescent="0.4">
      <c r="H143" s="177" t="s">
        <v>750</v>
      </c>
      <c r="I143" s="177"/>
      <c r="J143" s="177"/>
      <c r="K143" s="177"/>
      <c r="L143" s="177"/>
      <c r="M143" s="177"/>
      <c r="N143" s="177"/>
      <c r="O143" s="177"/>
      <c r="P143" s="177"/>
      <c r="Q143" s="177"/>
      <c r="R143" s="178" t="s">
        <v>751</v>
      </c>
      <c r="S143" s="178"/>
      <c r="T143" s="178"/>
      <c r="U143" s="178"/>
      <c r="V143" s="178"/>
      <c r="W143" s="178"/>
      <c r="X143" s="178"/>
      <c r="Y143" s="178"/>
      <c r="Z143" s="178"/>
      <c r="AA143" s="178"/>
      <c r="AB143" s="208" t="s">
        <v>449</v>
      </c>
      <c r="AC143" s="208"/>
      <c r="AD143" s="435" t="s">
        <v>752</v>
      </c>
      <c r="AE143" s="216"/>
      <c r="AF143" s="216"/>
      <c r="AG143" s="216"/>
      <c r="AH143" s="178" t="s">
        <v>428</v>
      </c>
      <c r="AI143" s="178"/>
      <c r="AJ143" s="212" t="s">
        <v>774</v>
      </c>
      <c r="AK143" s="213"/>
      <c r="AL143" s="213"/>
      <c r="AM143" s="213"/>
      <c r="AN143" s="213"/>
      <c r="AO143" s="213"/>
      <c r="AP143" s="213"/>
      <c r="AQ143" s="213"/>
      <c r="AR143" s="213"/>
      <c r="AS143" s="213"/>
      <c r="AT143" s="213"/>
      <c r="AU143" s="213"/>
      <c r="AV143" s="213"/>
      <c r="AW143" s="213"/>
      <c r="AX143" s="213"/>
      <c r="AY143" s="213"/>
      <c r="AZ143" s="213"/>
      <c r="BA143" s="213"/>
      <c r="BB143" s="213"/>
      <c r="BC143" s="213"/>
      <c r="BD143" s="213"/>
      <c r="BE143" s="213"/>
      <c r="BF143" s="213"/>
    </row>
    <row r="144" spans="8:61" x14ac:dyDescent="0.4">
      <c r="H144" s="177"/>
      <c r="I144" s="177"/>
      <c r="J144" s="177"/>
      <c r="K144" s="177"/>
      <c r="L144" s="177"/>
      <c r="M144" s="177"/>
      <c r="N144" s="177"/>
      <c r="O144" s="177"/>
      <c r="P144" s="177"/>
      <c r="Q144" s="177"/>
      <c r="R144" s="178"/>
      <c r="S144" s="178"/>
      <c r="T144" s="178"/>
      <c r="U144" s="178"/>
      <c r="V144" s="178"/>
      <c r="W144" s="178"/>
      <c r="X144" s="178"/>
      <c r="Y144" s="178"/>
      <c r="Z144" s="178"/>
      <c r="AA144" s="178"/>
      <c r="AB144" s="208"/>
      <c r="AC144" s="208"/>
      <c r="AD144" s="216"/>
      <c r="AE144" s="216"/>
      <c r="AF144" s="216"/>
      <c r="AG144" s="216"/>
      <c r="AH144" s="178"/>
      <c r="AI144" s="178"/>
      <c r="AJ144" s="212"/>
      <c r="AK144" s="213"/>
      <c r="AL144" s="213"/>
      <c r="AM144" s="213"/>
      <c r="AN144" s="213"/>
      <c r="AO144" s="213"/>
      <c r="AP144" s="213"/>
      <c r="AQ144" s="213"/>
      <c r="AR144" s="213"/>
      <c r="AS144" s="213"/>
      <c r="AT144" s="213"/>
      <c r="AU144" s="213"/>
      <c r="AV144" s="213"/>
      <c r="AW144" s="213"/>
      <c r="AX144" s="213"/>
      <c r="AY144" s="213"/>
      <c r="AZ144" s="213"/>
      <c r="BA144" s="213"/>
      <c r="BB144" s="213"/>
      <c r="BC144" s="213"/>
      <c r="BD144" s="213"/>
      <c r="BE144" s="213"/>
      <c r="BF144" s="213"/>
    </row>
    <row r="145" spans="8:58" x14ac:dyDescent="0.4">
      <c r="H145" s="447" t="s">
        <v>753</v>
      </c>
      <c r="I145" s="448"/>
      <c r="J145" s="448"/>
      <c r="K145" s="448"/>
      <c r="L145" s="448"/>
      <c r="M145" s="448"/>
      <c r="N145" s="448"/>
      <c r="O145" s="448"/>
      <c r="P145" s="448"/>
      <c r="Q145" s="449"/>
      <c r="R145" s="436" t="s">
        <v>754</v>
      </c>
      <c r="S145" s="453"/>
      <c r="T145" s="453"/>
      <c r="U145" s="453"/>
      <c r="V145" s="453"/>
      <c r="W145" s="453"/>
      <c r="X145" s="453"/>
      <c r="Y145" s="453"/>
      <c r="Z145" s="453"/>
      <c r="AA145" s="437"/>
      <c r="AB145" s="179" t="s">
        <v>449</v>
      </c>
      <c r="AC145" s="455"/>
      <c r="AD145" s="458" t="s">
        <v>755</v>
      </c>
      <c r="AE145" s="459"/>
      <c r="AF145" s="459"/>
      <c r="AG145" s="460"/>
      <c r="AH145" s="436" t="s">
        <v>428</v>
      </c>
      <c r="AI145" s="437"/>
      <c r="AJ145" s="440" t="s">
        <v>775</v>
      </c>
      <c r="AK145" s="441"/>
      <c r="AL145" s="441"/>
      <c r="AM145" s="441"/>
      <c r="AN145" s="441"/>
      <c r="AO145" s="441"/>
      <c r="AP145" s="441"/>
      <c r="AQ145" s="441"/>
      <c r="AR145" s="441"/>
      <c r="AS145" s="441"/>
      <c r="AT145" s="441"/>
      <c r="AU145" s="441"/>
      <c r="AV145" s="441"/>
      <c r="AW145" s="441"/>
      <c r="AX145" s="441"/>
      <c r="AY145" s="441"/>
      <c r="AZ145" s="441"/>
      <c r="BA145" s="441"/>
      <c r="BB145" s="441"/>
      <c r="BC145" s="441"/>
      <c r="BD145" s="441"/>
      <c r="BE145" s="441"/>
      <c r="BF145" s="442"/>
    </row>
    <row r="146" spans="8:58" ht="18.75" customHeight="1" x14ac:dyDescent="0.4">
      <c r="H146" s="450"/>
      <c r="I146" s="451"/>
      <c r="J146" s="451"/>
      <c r="K146" s="451"/>
      <c r="L146" s="451"/>
      <c r="M146" s="451"/>
      <c r="N146" s="451"/>
      <c r="O146" s="451"/>
      <c r="P146" s="451"/>
      <c r="Q146" s="452"/>
      <c r="R146" s="438"/>
      <c r="S146" s="454"/>
      <c r="T146" s="454"/>
      <c r="U146" s="454"/>
      <c r="V146" s="454"/>
      <c r="W146" s="454"/>
      <c r="X146" s="454"/>
      <c r="Y146" s="454"/>
      <c r="Z146" s="454"/>
      <c r="AA146" s="439"/>
      <c r="AB146" s="456"/>
      <c r="AC146" s="457"/>
      <c r="AD146" s="461"/>
      <c r="AE146" s="462"/>
      <c r="AF146" s="462"/>
      <c r="AG146" s="463"/>
      <c r="AH146" s="438"/>
      <c r="AI146" s="439"/>
      <c r="AJ146" s="443"/>
      <c r="AK146" s="444"/>
      <c r="AL146" s="444"/>
      <c r="AM146" s="444"/>
      <c r="AN146" s="444"/>
      <c r="AO146" s="444"/>
      <c r="AP146" s="444"/>
      <c r="AQ146" s="444"/>
      <c r="AR146" s="444"/>
      <c r="AS146" s="444"/>
      <c r="AT146" s="444"/>
      <c r="AU146" s="444"/>
      <c r="AV146" s="444"/>
      <c r="AW146" s="444"/>
      <c r="AX146" s="444"/>
      <c r="AY146" s="444"/>
      <c r="AZ146" s="444"/>
      <c r="BA146" s="444"/>
      <c r="BB146" s="444"/>
      <c r="BC146" s="444"/>
      <c r="BD146" s="444"/>
      <c r="BE146" s="444"/>
      <c r="BF146" s="445"/>
    </row>
    <row r="147" spans="8:58" x14ac:dyDescent="0.4">
      <c r="H147" s="177" t="s">
        <v>756</v>
      </c>
      <c r="I147" s="177"/>
      <c r="J147" s="177"/>
      <c r="K147" s="177"/>
      <c r="L147" s="177"/>
      <c r="M147" s="177"/>
      <c r="N147" s="177"/>
      <c r="O147" s="177"/>
      <c r="P147" s="177"/>
      <c r="Q147" s="177"/>
      <c r="R147" s="178" t="s">
        <v>757</v>
      </c>
      <c r="S147" s="178"/>
      <c r="T147" s="178"/>
      <c r="U147" s="178"/>
      <c r="V147" s="178"/>
      <c r="W147" s="178"/>
      <c r="X147" s="178"/>
      <c r="Y147" s="178"/>
      <c r="Z147" s="178"/>
      <c r="AA147" s="178"/>
      <c r="AB147" s="208" t="s">
        <v>449</v>
      </c>
      <c r="AC147" s="208"/>
      <c r="AD147" s="216" t="s">
        <v>758</v>
      </c>
      <c r="AE147" s="216"/>
      <c r="AF147" s="216"/>
      <c r="AG147" s="216"/>
      <c r="AH147" s="178" t="s">
        <v>428</v>
      </c>
      <c r="AI147" s="178"/>
      <c r="AJ147" s="212" t="s">
        <v>759</v>
      </c>
      <c r="AK147" s="213"/>
      <c r="AL147" s="213"/>
      <c r="AM147" s="213"/>
      <c r="AN147" s="213"/>
      <c r="AO147" s="213"/>
      <c r="AP147" s="213"/>
      <c r="AQ147" s="213"/>
      <c r="AR147" s="213"/>
      <c r="AS147" s="213"/>
      <c r="AT147" s="213"/>
      <c r="AU147" s="213"/>
      <c r="AV147" s="213"/>
      <c r="AW147" s="213"/>
      <c r="AX147" s="213"/>
      <c r="AY147" s="213"/>
      <c r="AZ147" s="213"/>
      <c r="BA147" s="213"/>
      <c r="BB147" s="213"/>
      <c r="BC147" s="213"/>
      <c r="BD147" s="213"/>
      <c r="BE147" s="213"/>
      <c r="BF147" s="213"/>
    </row>
    <row r="148" spans="8:58" ht="18.75" customHeight="1" x14ac:dyDescent="0.4">
      <c r="H148" s="177"/>
      <c r="I148" s="177"/>
      <c r="J148" s="177"/>
      <c r="K148" s="177"/>
      <c r="L148" s="177"/>
      <c r="M148" s="177"/>
      <c r="N148" s="177"/>
      <c r="O148" s="177"/>
      <c r="P148" s="177"/>
      <c r="Q148" s="177"/>
      <c r="R148" s="178"/>
      <c r="S148" s="178"/>
      <c r="T148" s="178"/>
      <c r="U148" s="178"/>
      <c r="V148" s="178"/>
      <c r="W148" s="178"/>
      <c r="X148" s="178"/>
      <c r="Y148" s="178"/>
      <c r="Z148" s="178"/>
      <c r="AA148" s="178"/>
      <c r="AB148" s="208"/>
      <c r="AC148" s="208"/>
      <c r="AD148" s="216"/>
      <c r="AE148" s="216"/>
      <c r="AF148" s="216"/>
      <c r="AG148" s="216"/>
      <c r="AH148" s="178"/>
      <c r="AI148" s="178"/>
      <c r="AJ148" s="213"/>
      <c r="AK148" s="213"/>
      <c r="AL148" s="213"/>
      <c r="AM148" s="213"/>
      <c r="AN148" s="213"/>
      <c r="AO148" s="213"/>
      <c r="AP148" s="213"/>
      <c r="AQ148" s="213"/>
      <c r="AR148" s="213"/>
      <c r="AS148" s="213"/>
      <c r="AT148" s="213"/>
      <c r="AU148" s="213"/>
      <c r="AV148" s="213"/>
      <c r="AW148" s="213"/>
      <c r="AX148" s="213"/>
      <c r="AY148" s="213"/>
      <c r="AZ148" s="213"/>
      <c r="BA148" s="213"/>
      <c r="BB148" s="213"/>
      <c r="BC148" s="213"/>
      <c r="BD148" s="213"/>
      <c r="BE148" s="213"/>
      <c r="BF148" s="213"/>
    </row>
    <row r="149" spans="8:58" ht="18.75" customHeight="1" x14ac:dyDescent="0.4">
      <c r="H149" s="177" t="s">
        <v>760</v>
      </c>
      <c r="I149" s="177"/>
      <c r="J149" s="177"/>
      <c r="K149" s="177"/>
      <c r="L149" s="177"/>
      <c r="M149" s="177"/>
      <c r="N149" s="177"/>
      <c r="O149" s="177"/>
      <c r="P149" s="177"/>
      <c r="Q149" s="177"/>
      <c r="R149" s="178" t="s">
        <v>761</v>
      </c>
      <c r="S149" s="178"/>
      <c r="T149" s="178"/>
      <c r="U149" s="178"/>
      <c r="V149" s="178"/>
      <c r="W149" s="178"/>
      <c r="X149" s="178"/>
      <c r="Y149" s="178"/>
      <c r="Z149" s="178"/>
      <c r="AA149" s="178"/>
      <c r="AB149" s="208" t="s">
        <v>449</v>
      </c>
      <c r="AC149" s="208"/>
      <c r="AD149" s="446" t="s">
        <v>762</v>
      </c>
      <c r="AE149" s="446"/>
      <c r="AF149" s="446"/>
      <c r="AG149" s="446"/>
      <c r="AH149" s="178" t="s">
        <v>428</v>
      </c>
      <c r="AI149" s="178"/>
      <c r="AJ149" s="212" t="s">
        <v>763</v>
      </c>
      <c r="AK149" s="213"/>
      <c r="AL149" s="213"/>
      <c r="AM149" s="213"/>
      <c r="AN149" s="213"/>
      <c r="AO149" s="213"/>
      <c r="AP149" s="213"/>
      <c r="AQ149" s="213"/>
      <c r="AR149" s="213"/>
      <c r="AS149" s="213"/>
      <c r="AT149" s="213"/>
      <c r="AU149" s="213"/>
      <c r="AV149" s="213"/>
      <c r="AW149" s="213"/>
      <c r="AX149" s="213"/>
      <c r="AY149" s="213"/>
      <c r="AZ149" s="213"/>
      <c r="BA149" s="213"/>
      <c r="BB149" s="213"/>
      <c r="BC149" s="213"/>
      <c r="BD149" s="213"/>
      <c r="BE149" s="213"/>
      <c r="BF149" s="213"/>
    </row>
    <row r="150" spans="8:58" ht="18.75" customHeight="1" x14ac:dyDescent="0.4">
      <c r="H150" s="177"/>
      <c r="I150" s="177"/>
      <c r="J150" s="177"/>
      <c r="K150" s="177"/>
      <c r="L150" s="177"/>
      <c r="M150" s="177"/>
      <c r="N150" s="177"/>
      <c r="O150" s="177"/>
      <c r="P150" s="177"/>
      <c r="Q150" s="177"/>
      <c r="R150" s="178"/>
      <c r="S150" s="178"/>
      <c r="T150" s="178"/>
      <c r="U150" s="178"/>
      <c r="V150" s="178"/>
      <c r="W150" s="178"/>
      <c r="X150" s="178"/>
      <c r="Y150" s="178"/>
      <c r="Z150" s="178"/>
      <c r="AA150" s="178"/>
      <c r="AB150" s="208"/>
      <c r="AC150" s="208"/>
      <c r="AD150" s="446"/>
      <c r="AE150" s="446"/>
      <c r="AF150" s="446"/>
      <c r="AG150" s="446"/>
      <c r="AH150" s="178"/>
      <c r="AI150" s="178"/>
      <c r="AJ150" s="213"/>
      <c r="AK150" s="213"/>
      <c r="AL150" s="213"/>
      <c r="AM150" s="213"/>
      <c r="AN150" s="213"/>
      <c r="AO150" s="213"/>
      <c r="AP150" s="213"/>
      <c r="AQ150" s="213"/>
      <c r="AR150" s="213"/>
      <c r="AS150" s="213"/>
      <c r="AT150" s="213"/>
      <c r="AU150" s="213"/>
      <c r="AV150" s="213"/>
      <c r="AW150" s="213"/>
      <c r="AX150" s="213"/>
      <c r="AY150" s="213"/>
      <c r="AZ150" s="213"/>
      <c r="BA150" s="213"/>
      <c r="BB150" s="213"/>
      <c r="BC150" s="213"/>
      <c r="BD150" s="213"/>
      <c r="BE150" s="213"/>
      <c r="BF150" s="213"/>
    </row>
    <row r="151" spans="8:58" x14ac:dyDescent="0.4">
      <c r="AD151" s="32"/>
      <c r="AE151" s="32"/>
      <c r="AF151" s="32"/>
      <c r="AG151" s="32"/>
    </row>
    <row r="152" spans="8:58" ht="18.75" customHeight="1" x14ac:dyDescent="0.4">
      <c r="AD152" s="32"/>
      <c r="AE152" s="32"/>
      <c r="AF152" s="32"/>
      <c r="AG152" s="32"/>
    </row>
    <row r="158" spans="8:58" ht="18.75" customHeight="1" x14ac:dyDescent="0.4"/>
  </sheetData>
  <mergeCells count="427">
    <mergeCell ref="AB89:AC89"/>
    <mergeCell ref="AD89:AG89"/>
    <mergeCell ref="AH89:AI89"/>
    <mergeCell ref="AJ89:BF89"/>
    <mergeCell ref="AB113:AC114"/>
    <mergeCell ref="AD113:AG114"/>
    <mergeCell ref="AH113:AI114"/>
    <mergeCell ref="AJ113:BF114"/>
    <mergeCell ref="AH101:AI101"/>
    <mergeCell ref="AJ101:BF101"/>
    <mergeCell ref="AB102:AC102"/>
    <mergeCell ref="AD102:AG102"/>
    <mergeCell ref="AH102:AI102"/>
    <mergeCell ref="AJ102:BF102"/>
    <mergeCell ref="AB108:AC109"/>
    <mergeCell ref="AD108:AG109"/>
    <mergeCell ref="AH108:AI109"/>
    <mergeCell ref="AJ108:BF109"/>
    <mergeCell ref="AB110:AC112"/>
    <mergeCell ref="AD110:AG112"/>
    <mergeCell ref="AH110:AI112"/>
    <mergeCell ref="AJ110:BF112"/>
    <mergeCell ref="AH103:AI103"/>
    <mergeCell ref="AJ103:BF103"/>
    <mergeCell ref="H149:Q150"/>
    <mergeCell ref="R149:AA150"/>
    <mergeCell ref="AB149:AC150"/>
    <mergeCell ref="AD149:AG150"/>
    <mergeCell ref="AH149:AI150"/>
    <mergeCell ref="AJ149:BF150"/>
    <mergeCell ref="H147:Q148"/>
    <mergeCell ref="R147:AA148"/>
    <mergeCell ref="AB147:AC148"/>
    <mergeCell ref="AD147:AG148"/>
    <mergeCell ref="AH147:AI148"/>
    <mergeCell ref="AJ147:BF148"/>
    <mergeCell ref="AH145:AI146"/>
    <mergeCell ref="AJ145:BF146"/>
    <mergeCell ref="H143:Q144"/>
    <mergeCell ref="R143:AA144"/>
    <mergeCell ref="AB143:AC144"/>
    <mergeCell ref="AD143:AG144"/>
    <mergeCell ref="AH143:AI144"/>
    <mergeCell ref="AJ143:BF144"/>
    <mergeCell ref="H138:BF138"/>
    <mergeCell ref="H141:BF141"/>
    <mergeCell ref="H142:Q142"/>
    <mergeCell ref="R142:AA142"/>
    <mergeCell ref="AB142:AC142"/>
    <mergeCell ref="AD142:AG142"/>
    <mergeCell ref="AH142:AI142"/>
    <mergeCell ref="AJ142:BF142"/>
    <mergeCell ref="H145:Q146"/>
    <mergeCell ref="R145:AA146"/>
    <mergeCell ref="AB145:AC146"/>
    <mergeCell ref="AD145:AG146"/>
    <mergeCell ref="H134:Q137"/>
    <mergeCell ref="R134:AA137"/>
    <mergeCell ref="AB134:AC137"/>
    <mergeCell ref="AD134:AG137"/>
    <mergeCell ref="AH134:AI137"/>
    <mergeCell ref="AJ134:BF137"/>
    <mergeCell ref="H132:Q133"/>
    <mergeCell ref="R132:AA133"/>
    <mergeCell ref="AB132:AC133"/>
    <mergeCell ref="AD132:AG133"/>
    <mergeCell ref="AH132:AI133"/>
    <mergeCell ref="AJ132:BF133"/>
    <mergeCell ref="H130:Q131"/>
    <mergeCell ref="R130:AA131"/>
    <mergeCell ref="AB130:AC131"/>
    <mergeCell ref="AD130:AG131"/>
    <mergeCell ref="AH130:AI131"/>
    <mergeCell ref="AJ130:BF131"/>
    <mergeCell ref="H128:Q129"/>
    <mergeCell ref="R128:AA129"/>
    <mergeCell ref="AB128:AC129"/>
    <mergeCell ref="AD128:AG129"/>
    <mergeCell ref="AH128:AI129"/>
    <mergeCell ref="AJ128:BF129"/>
    <mergeCell ref="H123:BF123"/>
    <mergeCell ref="H126:BF126"/>
    <mergeCell ref="H127:Q127"/>
    <mergeCell ref="R127:AA127"/>
    <mergeCell ref="AB127:AC127"/>
    <mergeCell ref="AD127:AG127"/>
    <mergeCell ref="AH127:AI127"/>
    <mergeCell ref="AJ127:BF127"/>
    <mergeCell ref="AB119:AC121"/>
    <mergeCell ref="AD119:AG121"/>
    <mergeCell ref="AH119:AI121"/>
    <mergeCell ref="AJ119:BF121"/>
    <mergeCell ref="AB122:AC122"/>
    <mergeCell ref="AD122:AG122"/>
    <mergeCell ref="AH122:AI122"/>
    <mergeCell ref="AJ122:BF122"/>
    <mergeCell ref="AB101:AC101"/>
    <mergeCell ref="AD101:AG101"/>
    <mergeCell ref="AB115:AC115"/>
    <mergeCell ref="AD115:AG115"/>
    <mergeCell ref="AH115:AI115"/>
    <mergeCell ref="AJ115:BF115"/>
    <mergeCell ref="H116:Q122"/>
    <mergeCell ref="R116:AA122"/>
    <mergeCell ref="AB116:AC118"/>
    <mergeCell ref="AD116:AG118"/>
    <mergeCell ref="AH116:AI118"/>
    <mergeCell ref="AJ116:BF118"/>
    <mergeCell ref="H104:Q115"/>
    <mergeCell ref="R104:AA115"/>
    <mergeCell ref="AB104:AC105"/>
    <mergeCell ref="AD104:AG105"/>
    <mergeCell ref="AH104:AI105"/>
    <mergeCell ref="AJ104:BF105"/>
    <mergeCell ref="AB106:AC107"/>
    <mergeCell ref="AD106:AG107"/>
    <mergeCell ref="AH106:AI107"/>
    <mergeCell ref="AJ106:BF107"/>
    <mergeCell ref="AB98:AC98"/>
    <mergeCell ref="AD98:AG98"/>
    <mergeCell ref="AH98:AI98"/>
    <mergeCell ref="AJ98:BF98"/>
    <mergeCell ref="AB99:AC99"/>
    <mergeCell ref="AD99:AG99"/>
    <mergeCell ref="AH99:AI99"/>
    <mergeCell ref="AJ99:BF99"/>
    <mergeCell ref="H95:Q103"/>
    <mergeCell ref="R95:AA103"/>
    <mergeCell ref="AB95:AC96"/>
    <mergeCell ref="AD95:AG96"/>
    <mergeCell ref="AH95:AI96"/>
    <mergeCell ref="AJ95:BF96"/>
    <mergeCell ref="AB97:AC97"/>
    <mergeCell ref="AD97:AG97"/>
    <mergeCell ref="AH97:AI97"/>
    <mergeCell ref="AJ97:BF97"/>
    <mergeCell ref="AB100:AC100"/>
    <mergeCell ref="AD100:AG100"/>
    <mergeCell ref="AH100:AI100"/>
    <mergeCell ref="AJ100:BF100"/>
    <mergeCell ref="AB103:AC103"/>
    <mergeCell ref="AD103:AG103"/>
    <mergeCell ref="H90:BF90"/>
    <mergeCell ref="H93:BF93"/>
    <mergeCell ref="H94:Q94"/>
    <mergeCell ref="R94:AA94"/>
    <mergeCell ref="AB94:AC94"/>
    <mergeCell ref="AD94:AG94"/>
    <mergeCell ref="AH94:AI94"/>
    <mergeCell ref="AJ94:BF94"/>
    <mergeCell ref="H81:Q85"/>
    <mergeCell ref="R81:AA85"/>
    <mergeCell ref="AB81:AC84"/>
    <mergeCell ref="AD81:AG84"/>
    <mergeCell ref="AH81:AI84"/>
    <mergeCell ref="AJ81:BF84"/>
    <mergeCell ref="AB85:AC85"/>
    <mergeCell ref="AD85:AG85"/>
    <mergeCell ref="AH85:AI85"/>
    <mergeCell ref="AJ85:BF85"/>
    <mergeCell ref="H86:Q89"/>
    <mergeCell ref="R86:AA89"/>
    <mergeCell ref="AB86:AC88"/>
    <mergeCell ref="AD86:AG88"/>
    <mergeCell ref="AH86:AI88"/>
    <mergeCell ref="AJ86:BF88"/>
    <mergeCell ref="H76:Q80"/>
    <mergeCell ref="R76:AA80"/>
    <mergeCell ref="AB76:AC79"/>
    <mergeCell ref="AD76:AG79"/>
    <mergeCell ref="AH76:AI79"/>
    <mergeCell ref="AJ76:BF79"/>
    <mergeCell ref="AB80:AC80"/>
    <mergeCell ref="AD80:AG80"/>
    <mergeCell ref="AH80:AI80"/>
    <mergeCell ref="AJ80:BF80"/>
    <mergeCell ref="H71:Q75"/>
    <mergeCell ref="R71:AA75"/>
    <mergeCell ref="AB71:AC74"/>
    <mergeCell ref="AD71:AG74"/>
    <mergeCell ref="AH71:AI74"/>
    <mergeCell ref="AJ71:BF74"/>
    <mergeCell ref="AB75:AC75"/>
    <mergeCell ref="AD75:AG75"/>
    <mergeCell ref="AH75:AI75"/>
    <mergeCell ref="AJ75:BF75"/>
    <mergeCell ref="AJ63:BF65"/>
    <mergeCell ref="AB66:AC66"/>
    <mergeCell ref="AD66:AG66"/>
    <mergeCell ref="AH66:AI66"/>
    <mergeCell ref="AJ66:BF66"/>
    <mergeCell ref="H67:Q70"/>
    <mergeCell ref="R67:AA70"/>
    <mergeCell ref="AB67:AC69"/>
    <mergeCell ref="AD67:AG69"/>
    <mergeCell ref="AH67:AI69"/>
    <mergeCell ref="AJ67:BF69"/>
    <mergeCell ref="AB70:AC70"/>
    <mergeCell ref="AD70:AG70"/>
    <mergeCell ref="AH70:AI70"/>
    <mergeCell ref="AJ70:BF70"/>
    <mergeCell ref="H50:Q58"/>
    <mergeCell ref="R50:AA58"/>
    <mergeCell ref="AB50:AC51"/>
    <mergeCell ref="AD50:AG51"/>
    <mergeCell ref="H63:Q66"/>
    <mergeCell ref="R63:AA66"/>
    <mergeCell ref="AB63:AC65"/>
    <mergeCell ref="AD63:AG65"/>
    <mergeCell ref="AH63:AI65"/>
    <mergeCell ref="H59:Q62"/>
    <mergeCell ref="R59:AA62"/>
    <mergeCell ref="AB59:AC61"/>
    <mergeCell ref="AD59:AG61"/>
    <mergeCell ref="AH59:AI61"/>
    <mergeCell ref="AJ59:BF61"/>
    <mergeCell ref="AB62:AC62"/>
    <mergeCell ref="AD62:AG62"/>
    <mergeCell ref="AH62:AI62"/>
    <mergeCell ref="AJ62:BF62"/>
    <mergeCell ref="AH50:AI51"/>
    <mergeCell ref="AJ50:BF51"/>
    <mergeCell ref="AB52:AC52"/>
    <mergeCell ref="AD52:AG52"/>
    <mergeCell ref="AH52:AI52"/>
    <mergeCell ref="AJ52:BF52"/>
    <mergeCell ref="AB55:AC55"/>
    <mergeCell ref="AD55:AG55"/>
    <mergeCell ref="AH55:AI55"/>
    <mergeCell ref="AJ55:BF55"/>
    <mergeCell ref="AH54:AI54"/>
    <mergeCell ref="AJ54:BF54"/>
    <mergeCell ref="AB58:AC58"/>
    <mergeCell ref="AD58:AG58"/>
    <mergeCell ref="AH58:AI58"/>
    <mergeCell ref="AJ58:BF58"/>
    <mergeCell ref="AB53:AC53"/>
    <mergeCell ref="AD53:AG53"/>
    <mergeCell ref="AH53:AI53"/>
    <mergeCell ref="AJ53:BF53"/>
    <mergeCell ref="AB54:AC54"/>
    <mergeCell ref="AD54:AG54"/>
    <mergeCell ref="AB56:AC56"/>
    <mergeCell ref="AD56:AG56"/>
    <mergeCell ref="AH56:AI56"/>
    <mergeCell ref="AJ56:BF56"/>
    <mergeCell ref="AB57:AC57"/>
    <mergeCell ref="AD57:AG57"/>
    <mergeCell ref="AH57:AI57"/>
    <mergeCell ref="AJ57:BF57"/>
    <mergeCell ref="H46:Q49"/>
    <mergeCell ref="R46:AA49"/>
    <mergeCell ref="AB46:AC48"/>
    <mergeCell ref="AD46:AG48"/>
    <mergeCell ref="AH46:AI48"/>
    <mergeCell ref="AJ46:BF48"/>
    <mergeCell ref="AB49:AC49"/>
    <mergeCell ref="AD49:AG49"/>
    <mergeCell ref="AH49:AI49"/>
    <mergeCell ref="AJ49:BF49"/>
    <mergeCell ref="AO25:AW25"/>
    <mergeCell ref="AX25:BF25"/>
    <mergeCell ref="H24:N24"/>
    <mergeCell ref="O24:V24"/>
    <mergeCell ref="W24:Y24"/>
    <mergeCell ref="AF24:AN24"/>
    <mergeCell ref="AO24:AW24"/>
    <mergeCell ref="AX24:BF24"/>
    <mergeCell ref="H45:Q45"/>
    <mergeCell ref="R45:AA45"/>
    <mergeCell ref="AB45:AC45"/>
    <mergeCell ref="AD45:AG45"/>
    <mergeCell ref="AH45:AI45"/>
    <mergeCell ref="AJ45:BF45"/>
    <mergeCell ref="H43:BF43"/>
    <mergeCell ref="H44:Q44"/>
    <mergeCell ref="R44:AA44"/>
    <mergeCell ref="AB44:AC44"/>
    <mergeCell ref="AD44:AG44"/>
    <mergeCell ref="AH44:AI44"/>
    <mergeCell ref="AJ44:BF44"/>
    <mergeCell ref="H30:N30"/>
    <mergeCell ref="O30:V30"/>
    <mergeCell ref="W30:Y30"/>
    <mergeCell ref="H23:N23"/>
    <mergeCell ref="O23:V23"/>
    <mergeCell ref="W23:Y23"/>
    <mergeCell ref="AF23:AN23"/>
    <mergeCell ref="H19:N19"/>
    <mergeCell ref="O19:V19"/>
    <mergeCell ref="W19:Y19"/>
    <mergeCell ref="H25:N25"/>
    <mergeCell ref="O25:V25"/>
    <mergeCell ref="W25:Y25"/>
    <mergeCell ref="AF25:AN25"/>
    <mergeCell ref="H16:N16"/>
    <mergeCell ref="O16:V16"/>
    <mergeCell ref="W16:Y16"/>
    <mergeCell ref="H15:N15"/>
    <mergeCell ref="O15:V15"/>
    <mergeCell ref="W15:Y15"/>
    <mergeCell ref="H18:N18"/>
    <mergeCell ref="O18:V18"/>
    <mergeCell ref="W18:Y18"/>
    <mergeCell ref="H17:N17"/>
    <mergeCell ref="O17:V17"/>
    <mergeCell ref="W17:Y17"/>
    <mergeCell ref="H11:N11"/>
    <mergeCell ref="O11:V11"/>
    <mergeCell ref="W11:Y11"/>
    <mergeCell ref="H9:N9"/>
    <mergeCell ref="O9:V9"/>
    <mergeCell ref="W9:Y9"/>
    <mergeCell ref="H10:N10"/>
    <mergeCell ref="O10:V10"/>
    <mergeCell ref="W10:Y10"/>
    <mergeCell ref="H8:N8"/>
    <mergeCell ref="O8:V8"/>
    <mergeCell ref="W8:Y8"/>
    <mergeCell ref="H5:N5"/>
    <mergeCell ref="O5:V5"/>
    <mergeCell ref="W5:Y5"/>
    <mergeCell ref="H6:N6"/>
    <mergeCell ref="O6:V6"/>
    <mergeCell ref="W6:Y6"/>
    <mergeCell ref="H2:N2"/>
    <mergeCell ref="O2:Y2"/>
    <mergeCell ref="H3:N3"/>
    <mergeCell ref="O3:V3"/>
    <mergeCell ref="W3:Y3"/>
    <mergeCell ref="H4:N4"/>
    <mergeCell ref="O4:V4"/>
    <mergeCell ref="W4:Y4"/>
    <mergeCell ref="H7:N7"/>
    <mergeCell ref="O7:V7"/>
    <mergeCell ref="W7:Y7"/>
    <mergeCell ref="H29:N29"/>
    <mergeCell ref="O29:V29"/>
    <mergeCell ref="W29:Y29"/>
    <mergeCell ref="O33:V33"/>
    <mergeCell ref="W33:Y33"/>
    <mergeCell ref="H34:N34"/>
    <mergeCell ref="O34:V34"/>
    <mergeCell ref="W34:Y34"/>
    <mergeCell ref="H35:N35"/>
    <mergeCell ref="O35:V35"/>
    <mergeCell ref="W35:Y35"/>
    <mergeCell ref="H31:N31"/>
    <mergeCell ref="O31:V31"/>
    <mergeCell ref="W31:Y31"/>
    <mergeCell ref="H32:N32"/>
    <mergeCell ref="O32:V32"/>
    <mergeCell ref="W32:Y32"/>
    <mergeCell ref="H33:N33"/>
    <mergeCell ref="H26:N26"/>
    <mergeCell ref="O26:V26"/>
    <mergeCell ref="W26:Y26"/>
    <mergeCell ref="H27:N27"/>
    <mergeCell ref="O27:V27"/>
    <mergeCell ref="W27:Y27"/>
    <mergeCell ref="H28:N28"/>
    <mergeCell ref="O28:V28"/>
    <mergeCell ref="W28:Y28"/>
    <mergeCell ref="H12:N12"/>
    <mergeCell ref="O12:V12"/>
    <mergeCell ref="W12:Y12"/>
    <mergeCell ref="H13:N13"/>
    <mergeCell ref="O13:V13"/>
    <mergeCell ref="W13:Y13"/>
    <mergeCell ref="H14:N14"/>
    <mergeCell ref="O14:V14"/>
    <mergeCell ref="W14:Y14"/>
    <mergeCell ref="H38:N38"/>
    <mergeCell ref="O38:V38"/>
    <mergeCell ref="W38:Y38"/>
    <mergeCell ref="AX37:BF37"/>
    <mergeCell ref="AO37:AW37"/>
    <mergeCell ref="AF37:AN37"/>
    <mergeCell ref="AX36:BF36"/>
    <mergeCell ref="AO36:AW36"/>
    <mergeCell ref="AF36:AN36"/>
    <mergeCell ref="H37:N37"/>
    <mergeCell ref="O37:V37"/>
    <mergeCell ref="W37:Y37"/>
    <mergeCell ref="H36:N36"/>
    <mergeCell ref="O36:V36"/>
    <mergeCell ref="W36:Y36"/>
    <mergeCell ref="AF32:AN32"/>
    <mergeCell ref="AX31:BF31"/>
    <mergeCell ref="AO31:AW31"/>
    <mergeCell ref="AF31:AN31"/>
    <mergeCell ref="AX30:BF30"/>
    <mergeCell ref="AO30:AW30"/>
    <mergeCell ref="AF30:AN30"/>
    <mergeCell ref="AX35:BF35"/>
    <mergeCell ref="AO35:AW35"/>
    <mergeCell ref="AF35:AN35"/>
    <mergeCell ref="AX34:BF34"/>
    <mergeCell ref="AO34:AW34"/>
    <mergeCell ref="AF34:AN34"/>
    <mergeCell ref="AX33:BF33"/>
    <mergeCell ref="AO33:AW33"/>
    <mergeCell ref="AF33:AN33"/>
    <mergeCell ref="AX26:BF26"/>
    <mergeCell ref="AO26:AW26"/>
    <mergeCell ref="AF26:AN26"/>
    <mergeCell ref="AO23:BF23"/>
    <mergeCell ref="AF38:AN38"/>
    <mergeCell ref="AF39:AN39"/>
    <mergeCell ref="AF40:AN40"/>
    <mergeCell ref="H20:N22"/>
    <mergeCell ref="O20:V22"/>
    <mergeCell ref="W20:Y22"/>
    <mergeCell ref="AO38:AW38"/>
    <mergeCell ref="AO39:AW39"/>
    <mergeCell ref="AO40:AW40"/>
    <mergeCell ref="AX29:BF29"/>
    <mergeCell ref="AO29:AW29"/>
    <mergeCell ref="AF29:AN29"/>
    <mergeCell ref="AX28:BF28"/>
    <mergeCell ref="AO28:AW28"/>
    <mergeCell ref="AF28:AN28"/>
    <mergeCell ref="AX27:BF27"/>
    <mergeCell ref="AO27:AW27"/>
    <mergeCell ref="AF27:AN27"/>
    <mergeCell ref="AX32:BF32"/>
    <mergeCell ref="AO32:AW32"/>
  </mergeCells>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概略図</vt:lpstr>
      <vt:lpstr>状態遷移図</vt:lpstr>
      <vt:lpstr>UDPパケット</vt:lpstr>
      <vt:lpstr>HBM</vt:lpstr>
      <vt:lpstr>ユーザ定義波形</vt:lpstr>
      <vt:lpstr>オシロ</vt:lpstr>
      <vt:lpstr>レジスタマップ_dout_x34</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keisuke koike</dc:creator>
  <cp:lastModifiedBy>Koike</cp:lastModifiedBy>
  <dcterms:created xsi:type="dcterms:W3CDTF">2022-05-02T06:06:30Z</dcterms:created>
  <dcterms:modified xsi:type="dcterms:W3CDTF">2025-05-14T02:01:26Z</dcterms:modified>
</cp:coreProperties>
</file>